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" sheetId="1" state="visible" r:id="rId1"/>
    <sheet name="Konaklama" sheetId="2" state="visible" r:id="rId2"/>
    <sheet name="Ödemeler" sheetId="3" state="visible" r:id="rId3"/>
    <sheet name="Ayarlar" sheetId="4" state="visible" r:id="rId4"/>
    <sheet name="Hesap" sheetId="5" state="hidden" r:id="rId5"/>
  </sheets>
  <definedNames>
    <definedName name="OdaListesi">Ayarlar!$A$4:$A$33</definedName>
    <definedName name="KaynakListesi">OFFSET(Ayarlar!$C$4,0,0,COUNTA(Ayarlar!$C$4:$C$33),1)</definedName>
    <definedName name="TurListesi">OFFSET(Ayarlar!$E$4,0,0,COUNTA(Ayarlar!$E$4:$E$13),1)</definedName>
    <definedName name="KaynakAralik">Ayarlar!$C$4:$C$33</definedName>
    <definedName name="TurAralik">Ayarlar!$E$4:$E$13</definedName>
    <definedName name="MaxKisi">Ayarlar!$H$4</definedName>
    <definedName name="RaporTarihi">Rapor!$A$4</definedName>
    <definedName name="hGB">Hesap!$B$2:$B$31</definedName>
    <definedName name="hGel">Hesap!$C$2:$C$31</definedName>
    <definedName name="hGlc">Hesap!$D$2:$D$31</definedName>
    <definedName name="hGid">Hesap!$E$2:$E$31</definedName>
    <definedName name="hGS">Hesap!$F$2:$F$31</definedName>
    <definedName name="hBos">Hesap!$G$2:$G$31</definedName>
    <definedName name="hSira">Hesap!$N$2:$N$31</definedName>
    <definedName name="hOda">Hesap!$A$2:$A$31</definedName>
    <definedName name="kOda">Konaklama!$A$6:$A$1005</definedName>
    <definedName name="kAd">Konaklama!$B$6:$B$1005</definedName>
    <definedName name="kKisi">Konaklama!$C$6:$C$1005</definedName>
    <definedName name="kGiris">Konaklama!$D$6:$D$1005</definedName>
    <definedName name="kCikis">Konaklama!$E$6:$E$1005</definedName>
    <definedName name="kDurum">Konaklama!$F$6:$F$1005</definedName>
    <definedName name="kTutar">Konaklama!$G$6:$G$1005</definedName>
    <definedName name="kKaynak">Konaklama!$H$6:$H$1005</definedName>
    <definedName name="kSure">Konaklama!$I$6:$I$1005</definedName>
    <definedName name="kGunluk">Konaklama!$J$6:$J$1005</definedName>
    <definedName name="kKontrol">Konaklama!$K$6:$K$1005</definedName>
    <definedName name="kAnahtar">Konaklama!$L$6:$L$1005</definedName>
    <definedName name="pTarih">'Ödemeler'!$A$6:$A$505</definedName>
    <definedName name="pOda">'Ödemeler'!$B$6:$B$505</definedName>
    <definedName name="pYapan">'Ödemeler'!$C$6:$C$505</definedName>
    <definedName name="pTutar">'Ödemeler'!$D$6:$D$505</definedName>
    <definedName name="pTur">'Ödemeler'!$E$6:$E$505</definedName>
    <definedName name="pAcik">'Ödemeler'!$F$6:$F$505</definedName>
    <definedName name="pKontrol">'Ödemeler'!$G$6:$G$505</definedName>
    <definedName name="pSira">'Ödemeler'!$H$6:$H$505</definedName>
    <definedName name="_xlnm.Print_Area" localSheetId="0">'Rapor'!$A$1:$I$70</definedName>
    <definedName name="_xlnm._FilterDatabase" localSheetId="1" hidden="1">'Konaklama'!$A$5:$K$1005</definedName>
    <definedName name="_xlnm._FilterDatabase" localSheetId="2" hidden="1">'Ödemeler'!$A$5:$G$505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4"/>
    </font>
    <font>
      <b val="1"/>
      <sz val="16"/>
    </font>
    <font>
      <b val="1"/>
      <sz val="12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pivotButton="0" quotePrefix="0" xfId="0"/>
    <xf numFmtId="4" fontId="6" fillId="0" borderId="1" pivotButton="0" quotePrefix="0" xfId="0"/>
    <xf numFmtId="0" fontId="7" fillId="0" borderId="1" pivotButton="0" quotePrefix="0" xfId="0"/>
    <xf numFmtId="4" fontId="7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/>
    </xf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  <xf numFmtId="4" fontId="0" fillId="3" borderId="1" applyProtection="1" pivotButton="0" quotePrefix="0" xfId="0">
      <protection locked="0" hidden="0"/>
    </xf>
    <xf numFmtId="0" fontId="0" fillId="4" borderId="1" pivotButton="0" quotePrefix="0" xfId="0"/>
    <xf numFmtId="4" fontId="0" fillId="4" borderId="1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6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C7CE"/>
          <bgColor rgb="00FFC7CE"/>
        </patternFill>
      </fill>
    </dxf>
    <dxf>
      <font>
        <strike val="1"/>
        <color rgb="00808080"/>
      </font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7" customWidth="1" min="8" max="8"/>
    <col width="24" customWidth="1" min="9" max="9"/>
    <col hidden="1" width="13" customWidth="1" min="11" max="11"/>
  </cols>
  <sheetData>
    <row r="1">
      <c r="A1" s="1" t="inlineStr">
        <is>
          <t>APART GÜN SONU RAPORU</t>
        </is>
      </c>
    </row>
    <row r="2" ht="24" customHeight="1">
      <c r="A2" s="2">
        <f>IF(COUNTIF(kKontrol,"HATA*")+COUNTIF(pKontrol,"HATA*")&gt;0,"⚠ DİKKAT: "&amp;(COUNTIF(kKontrol,"HATA*")+COUNTIF(pKontrol,"HATA*"))&amp;" kayıtta HATA var — Konaklama/Ödemeler sayfalarındaki kırmızı satırları düzeltin",IF(OR(F5&lt;&gt;SUM(hGS),F7&lt;&gt;SUMIFS(kKisi,kGiris,"&lt;="&amp;RaporTarihi,kCikis,"&gt;"&amp;RaporTarihi,kDurum,"&lt;&gt;İptal")),"⚠ DİKKAT: gün sonu oda/kişi sayısı tutmuyor — kayıtları kontrol edin",IF(COUNT(pSira)&gt;20,"⚠ DİKKAT: 20'den fazla ödeme var, rapora sığmıyor",IF(I6="","⚠ Kirli boş oda sayısını giriniz (yoksa 0 yazın)","✔ Kontroller temiz — rapor hazır"))))</f>
        <v/>
      </c>
    </row>
    <row r="4">
      <c r="A4" s="3" t="n">
        <v>46295</v>
      </c>
      <c r="B4" s="4" t="inlineStr">
        <is>
          <t>Gün Başı</t>
        </is>
      </c>
      <c r="C4" s="4" t="inlineStr">
        <is>
          <t>Gelen</t>
        </is>
      </c>
      <c r="D4" s="4" t="inlineStr">
        <is>
          <t>Gelecek</t>
        </is>
      </c>
      <c r="E4" s="4" t="inlineStr">
        <is>
          <t>Giden</t>
        </is>
      </c>
      <c r="F4" s="4" t="inlineStr">
        <is>
          <t>Gün Sonu</t>
        </is>
      </c>
      <c r="G4" s="4" t="inlineStr">
        <is>
          <t>Boş Odalar</t>
        </is>
      </c>
      <c r="H4" s="4" t="inlineStr">
        <is>
          <t>BOŞ ODA DURUMU</t>
        </is>
      </c>
      <c r="I4" s="5" t="n"/>
    </row>
    <row r="5">
      <c r="A5" s="5" t="n"/>
      <c r="B5" s="6">
        <f>SUM(hGB)</f>
        <v/>
      </c>
      <c r="C5" s="6">
        <f>SUM(hGel)</f>
        <v/>
      </c>
      <c r="D5" s="6">
        <f>SUM(hGlc)</f>
        <v/>
      </c>
      <c r="E5" s="6">
        <f>SUM(hGid)</f>
        <v/>
      </c>
      <c r="F5" s="7">
        <f>B5-E5+C5+D5</f>
        <v/>
      </c>
      <c r="G5" s="6">
        <f>COUNT(OdaListesi)-F5</f>
        <v/>
      </c>
      <c r="H5" s="6">
        <f>IF(I6="","",(G5-I6)&amp;" ODA BOŞ VE TEMİZ // "&amp;I6&amp;" ODA BOŞ VE KİRLİ")</f>
        <v/>
      </c>
      <c r="I5" s="6" t="n"/>
    </row>
    <row r="6" ht="78" customHeight="1">
      <c r="A6" s="8" t="inlineStr">
        <is>
          <t>Oda No</t>
        </is>
      </c>
      <c r="B6" s="6">
        <f>_xlfn.TEXTJOIN("-",TRUE,Hesap!H2:H31)</f>
        <v/>
      </c>
      <c r="C6" s="6">
        <f>_xlfn.TEXTJOIN("-",TRUE,Hesap!I2:I31)</f>
        <v/>
      </c>
      <c r="D6" s="6">
        <f>_xlfn.TEXTJOIN("-",TRUE,Hesap!J2:J31)</f>
        <v/>
      </c>
      <c r="E6" s="6">
        <f>_xlfn.TEXTJOIN("-",TRUE,Hesap!K2:K31)</f>
        <v/>
      </c>
      <c r="F6" s="6">
        <f>_xlfn.TEXTJOIN("-",TRUE,Hesap!L2:L31)</f>
        <v/>
      </c>
      <c r="G6" s="6">
        <f>_xlfn.TEXTJOIN("-",TRUE,Hesap!M2:M31)</f>
        <v/>
      </c>
      <c r="H6" s="6" t="inlineStr">
        <is>
          <t>Kirli boş oda sayısı ►</t>
        </is>
      </c>
      <c r="I6" s="9" t="n">
        <v>1</v>
      </c>
    </row>
    <row r="7">
      <c r="A7" s="8" t="inlineStr">
        <is>
          <t>Kişi Sayısı</t>
        </is>
      </c>
      <c r="B7" s="6">
        <f>SUMIFS(kKisi,kGiris,"&lt;"&amp;RaporTarihi,kCikis,"&gt;="&amp;RaporTarihi,kDurum,"Geldi")</f>
        <v/>
      </c>
      <c r="C7" s="6">
        <f>SUMIFS(kKisi,kGiris,RaporTarihi,kDurum,"Geldi")</f>
        <v/>
      </c>
      <c r="D7" s="6">
        <f>SUMIFS(kKisi,kGiris,RaporTarihi,kDurum,"Bekleniyor")</f>
        <v/>
      </c>
      <c r="E7" s="6">
        <f>SUMIFS(kKisi,kCikis,RaporTarihi,kDurum,"Geldi")</f>
        <v/>
      </c>
      <c r="F7" s="7">
        <f>B7-E7+C7+D7</f>
        <v/>
      </c>
      <c r="G7" s="6" t="n"/>
      <c r="H7" s="6">
        <f>G5&amp;" ODA BOŞ"</f>
        <v/>
      </c>
      <c r="I7" s="6" t="n"/>
    </row>
    <row r="9">
      <c r="A9" s="4" t="inlineStr">
        <is>
          <t>Oda - Gün Sonu</t>
        </is>
      </c>
      <c r="B9" s="4" t="inlineStr">
        <is>
          <t>İsim - Gün Sonu</t>
        </is>
      </c>
      <c r="C9" s="4" t="inlineStr">
        <is>
          <t>Kişi Sayısı</t>
        </is>
      </c>
      <c r="D9" s="4" t="inlineStr">
        <is>
          <t>Giriş Tarihi</t>
        </is>
      </c>
      <c r="E9" s="4" t="inlineStr">
        <is>
          <t>Çıkış Tarihi</t>
        </is>
      </c>
      <c r="F9" s="4" t="inlineStr">
        <is>
          <t>Süre (Gün)</t>
        </is>
      </c>
      <c r="G9" s="4" t="inlineStr">
        <is>
          <t>Günlük Oda Fiyatı</t>
        </is>
      </c>
      <c r="H9" s="4" t="inlineStr">
        <is>
          <t>Toplam Tutar</t>
        </is>
      </c>
      <c r="I9" s="4" t="inlineStr">
        <is>
          <t>Açıklama</t>
        </is>
      </c>
    </row>
    <row r="10">
      <c r="A10" s="6">
        <f>IFERROR(INDEX(hOda,MATCH(1,hSira,0)),"")</f>
        <v/>
      </c>
      <c r="B10" s="10">
        <f>IF($K10="","",INDEX(kAd,$K10))</f>
        <v/>
      </c>
      <c r="C10" s="6">
        <f>IF($K10="","",INDEX(kKisi,$K10))</f>
        <v/>
      </c>
      <c r="D10" s="11">
        <f>IF($K10="","",INDEX(kGiris,$K10))</f>
        <v/>
      </c>
      <c r="E10" s="11">
        <f>IF($K10="","",INDEX(kCikis,$K10))</f>
        <v/>
      </c>
      <c r="F10" s="6">
        <f>IF($K10="","",INDEX(kSure,$K10))</f>
        <v/>
      </c>
      <c r="G10" s="12">
        <f>IF($K10="","",INDEX(kGunluk,$K10))</f>
        <v/>
      </c>
      <c r="H10" s="12">
        <f>IF($K10="","",INDEX(kTutar,$K10))</f>
        <v/>
      </c>
      <c r="I10" s="6">
        <f>IF($K10="","",INDEX(kKaynak,$K10)&amp;IF(INDEX(kDurum,$K10)="Bekleniyor"," (GELECEK)",""))</f>
        <v/>
      </c>
      <c r="K10">
        <f>IF(A10="","",MATCH(A10,kAnahtar,0))</f>
        <v/>
      </c>
    </row>
    <row r="11">
      <c r="A11" s="6">
        <f>IFERROR(INDEX(hOda,MATCH(2,hSira,0)),"")</f>
        <v/>
      </c>
      <c r="B11" s="10">
        <f>IF($K11="","",INDEX(kAd,$K11))</f>
        <v/>
      </c>
      <c r="C11" s="6">
        <f>IF($K11="","",INDEX(kKisi,$K11))</f>
        <v/>
      </c>
      <c r="D11" s="11">
        <f>IF($K11="","",INDEX(kGiris,$K11))</f>
        <v/>
      </c>
      <c r="E11" s="11">
        <f>IF($K11="","",INDEX(kCikis,$K11))</f>
        <v/>
      </c>
      <c r="F11" s="6">
        <f>IF($K11="","",INDEX(kSure,$K11))</f>
        <v/>
      </c>
      <c r="G11" s="12">
        <f>IF($K11="","",INDEX(kGunluk,$K11))</f>
        <v/>
      </c>
      <c r="H11" s="12">
        <f>IF($K11="","",INDEX(kTutar,$K11))</f>
        <v/>
      </c>
      <c r="I11" s="6">
        <f>IF($K11="","",INDEX(kKaynak,$K11)&amp;IF(INDEX(kDurum,$K11)="Bekleniyor"," (GELECEK)",""))</f>
        <v/>
      </c>
      <c r="K11">
        <f>IF(A11="","",MATCH(A11,kAnahtar,0))</f>
        <v/>
      </c>
    </row>
    <row r="12">
      <c r="A12" s="6">
        <f>IFERROR(INDEX(hOda,MATCH(3,hSira,0)),"")</f>
        <v/>
      </c>
      <c r="B12" s="10">
        <f>IF($K12="","",INDEX(kAd,$K12))</f>
        <v/>
      </c>
      <c r="C12" s="6">
        <f>IF($K12="","",INDEX(kKisi,$K12))</f>
        <v/>
      </c>
      <c r="D12" s="11">
        <f>IF($K12="","",INDEX(kGiris,$K12))</f>
        <v/>
      </c>
      <c r="E12" s="11">
        <f>IF($K12="","",INDEX(kCikis,$K12))</f>
        <v/>
      </c>
      <c r="F12" s="6">
        <f>IF($K12="","",INDEX(kSure,$K12))</f>
        <v/>
      </c>
      <c r="G12" s="12">
        <f>IF($K12="","",INDEX(kGunluk,$K12))</f>
        <v/>
      </c>
      <c r="H12" s="12">
        <f>IF($K12="","",INDEX(kTutar,$K12))</f>
        <v/>
      </c>
      <c r="I12" s="6">
        <f>IF($K12="","",INDEX(kKaynak,$K12)&amp;IF(INDEX(kDurum,$K12)="Bekleniyor"," (GELECEK)",""))</f>
        <v/>
      </c>
      <c r="K12">
        <f>IF(A12="","",MATCH(A12,kAnahtar,0))</f>
        <v/>
      </c>
    </row>
    <row r="13">
      <c r="A13" s="6">
        <f>IFERROR(INDEX(hOda,MATCH(4,hSira,0)),"")</f>
        <v/>
      </c>
      <c r="B13" s="10">
        <f>IF($K13="","",INDEX(kAd,$K13))</f>
        <v/>
      </c>
      <c r="C13" s="6">
        <f>IF($K13="","",INDEX(kKisi,$K13))</f>
        <v/>
      </c>
      <c r="D13" s="11">
        <f>IF($K13="","",INDEX(kGiris,$K13))</f>
        <v/>
      </c>
      <c r="E13" s="11">
        <f>IF($K13="","",INDEX(kCikis,$K13))</f>
        <v/>
      </c>
      <c r="F13" s="6">
        <f>IF($K13="","",INDEX(kSure,$K13))</f>
        <v/>
      </c>
      <c r="G13" s="12">
        <f>IF($K13="","",INDEX(kGunluk,$K13))</f>
        <v/>
      </c>
      <c r="H13" s="12">
        <f>IF($K13="","",INDEX(kTutar,$K13))</f>
        <v/>
      </c>
      <c r="I13" s="6">
        <f>IF($K13="","",INDEX(kKaynak,$K13)&amp;IF(INDEX(kDurum,$K13)="Bekleniyor"," (GELECEK)",""))</f>
        <v/>
      </c>
      <c r="K13">
        <f>IF(A13="","",MATCH(A13,kAnahtar,0))</f>
        <v/>
      </c>
    </row>
    <row r="14">
      <c r="A14" s="6">
        <f>IFERROR(INDEX(hOda,MATCH(5,hSira,0)),"")</f>
        <v/>
      </c>
      <c r="B14" s="10">
        <f>IF($K14="","",INDEX(kAd,$K14))</f>
        <v/>
      </c>
      <c r="C14" s="6">
        <f>IF($K14="","",INDEX(kKisi,$K14))</f>
        <v/>
      </c>
      <c r="D14" s="11">
        <f>IF($K14="","",INDEX(kGiris,$K14))</f>
        <v/>
      </c>
      <c r="E14" s="11">
        <f>IF($K14="","",INDEX(kCikis,$K14))</f>
        <v/>
      </c>
      <c r="F14" s="6">
        <f>IF($K14="","",INDEX(kSure,$K14))</f>
        <v/>
      </c>
      <c r="G14" s="12">
        <f>IF($K14="","",INDEX(kGunluk,$K14))</f>
        <v/>
      </c>
      <c r="H14" s="12">
        <f>IF($K14="","",INDEX(kTutar,$K14))</f>
        <v/>
      </c>
      <c r="I14" s="6">
        <f>IF($K14="","",INDEX(kKaynak,$K14)&amp;IF(INDEX(kDurum,$K14)="Bekleniyor"," (GELECEK)",""))</f>
        <v/>
      </c>
      <c r="K14">
        <f>IF(A14="","",MATCH(A14,kAnahtar,0))</f>
        <v/>
      </c>
    </row>
    <row r="15">
      <c r="A15" s="6">
        <f>IFERROR(INDEX(hOda,MATCH(6,hSira,0)),"")</f>
        <v/>
      </c>
      <c r="B15" s="10">
        <f>IF($K15="","",INDEX(kAd,$K15))</f>
        <v/>
      </c>
      <c r="C15" s="6">
        <f>IF($K15="","",INDEX(kKisi,$K15))</f>
        <v/>
      </c>
      <c r="D15" s="11">
        <f>IF($K15="","",INDEX(kGiris,$K15))</f>
        <v/>
      </c>
      <c r="E15" s="11">
        <f>IF($K15="","",INDEX(kCikis,$K15))</f>
        <v/>
      </c>
      <c r="F15" s="6">
        <f>IF($K15="","",INDEX(kSure,$K15))</f>
        <v/>
      </c>
      <c r="G15" s="12">
        <f>IF($K15="","",INDEX(kGunluk,$K15))</f>
        <v/>
      </c>
      <c r="H15" s="12">
        <f>IF($K15="","",INDEX(kTutar,$K15))</f>
        <v/>
      </c>
      <c r="I15" s="6">
        <f>IF($K15="","",INDEX(kKaynak,$K15)&amp;IF(INDEX(kDurum,$K15)="Bekleniyor"," (GELECEK)",""))</f>
        <v/>
      </c>
      <c r="K15">
        <f>IF(A15="","",MATCH(A15,kAnahtar,0))</f>
        <v/>
      </c>
    </row>
    <row r="16">
      <c r="A16" s="6">
        <f>IFERROR(INDEX(hOda,MATCH(7,hSira,0)),"")</f>
        <v/>
      </c>
      <c r="B16" s="10">
        <f>IF($K16="","",INDEX(kAd,$K16))</f>
        <v/>
      </c>
      <c r="C16" s="6">
        <f>IF($K16="","",INDEX(kKisi,$K16))</f>
        <v/>
      </c>
      <c r="D16" s="11">
        <f>IF($K16="","",INDEX(kGiris,$K16))</f>
        <v/>
      </c>
      <c r="E16" s="11">
        <f>IF($K16="","",INDEX(kCikis,$K16))</f>
        <v/>
      </c>
      <c r="F16" s="6">
        <f>IF($K16="","",INDEX(kSure,$K16))</f>
        <v/>
      </c>
      <c r="G16" s="12">
        <f>IF($K16="","",INDEX(kGunluk,$K16))</f>
        <v/>
      </c>
      <c r="H16" s="12">
        <f>IF($K16="","",INDEX(kTutar,$K16))</f>
        <v/>
      </c>
      <c r="I16" s="6">
        <f>IF($K16="","",INDEX(kKaynak,$K16)&amp;IF(INDEX(kDurum,$K16)="Bekleniyor"," (GELECEK)",""))</f>
        <v/>
      </c>
      <c r="K16">
        <f>IF(A16="","",MATCH(A16,kAnahtar,0))</f>
        <v/>
      </c>
    </row>
    <row r="17">
      <c r="A17" s="6">
        <f>IFERROR(INDEX(hOda,MATCH(8,hSira,0)),"")</f>
        <v/>
      </c>
      <c r="B17" s="10">
        <f>IF($K17="","",INDEX(kAd,$K17))</f>
        <v/>
      </c>
      <c r="C17" s="6">
        <f>IF($K17="","",INDEX(kKisi,$K17))</f>
        <v/>
      </c>
      <c r="D17" s="11">
        <f>IF($K17="","",INDEX(kGiris,$K17))</f>
        <v/>
      </c>
      <c r="E17" s="11">
        <f>IF($K17="","",INDEX(kCikis,$K17))</f>
        <v/>
      </c>
      <c r="F17" s="6">
        <f>IF($K17="","",INDEX(kSure,$K17))</f>
        <v/>
      </c>
      <c r="G17" s="12">
        <f>IF($K17="","",INDEX(kGunluk,$K17))</f>
        <v/>
      </c>
      <c r="H17" s="12">
        <f>IF($K17="","",INDEX(kTutar,$K17))</f>
        <v/>
      </c>
      <c r="I17" s="6">
        <f>IF($K17="","",INDEX(kKaynak,$K17)&amp;IF(INDEX(kDurum,$K17)="Bekleniyor"," (GELECEK)",""))</f>
        <v/>
      </c>
      <c r="K17">
        <f>IF(A17="","",MATCH(A17,kAnahtar,0))</f>
        <v/>
      </c>
    </row>
    <row r="18">
      <c r="A18" s="6">
        <f>IFERROR(INDEX(hOda,MATCH(9,hSira,0)),"")</f>
        <v/>
      </c>
      <c r="B18" s="10">
        <f>IF($K18="","",INDEX(kAd,$K18))</f>
        <v/>
      </c>
      <c r="C18" s="6">
        <f>IF($K18="","",INDEX(kKisi,$K18))</f>
        <v/>
      </c>
      <c r="D18" s="11">
        <f>IF($K18="","",INDEX(kGiris,$K18))</f>
        <v/>
      </c>
      <c r="E18" s="11">
        <f>IF($K18="","",INDEX(kCikis,$K18))</f>
        <v/>
      </c>
      <c r="F18" s="6">
        <f>IF($K18="","",INDEX(kSure,$K18))</f>
        <v/>
      </c>
      <c r="G18" s="12">
        <f>IF($K18="","",INDEX(kGunluk,$K18))</f>
        <v/>
      </c>
      <c r="H18" s="12">
        <f>IF($K18="","",INDEX(kTutar,$K18))</f>
        <v/>
      </c>
      <c r="I18" s="6">
        <f>IF($K18="","",INDEX(kKaynak,$K18)&amp;IF(INDEX(kDurum,$K18)="Bekleniyor"," (GELECEK)",""))</f>
        <v/>
      </c>
      <c r="K18">
        <f>IF(A18="","",MATCH(A18,kAnahtar,0))</f>
        <v/>
      </c>
    </row>
    <row r="19">
      <c r="A19" s="6">
        <f>IFERROR(INDEX(hOda,MATCH(10,hSira,0)),"")</f>
        <v/>
      </c>
      <c r="B19" s="10">
        <f>IF($K19="","",INDEX(kAd,$K19))</f>
        <v/>
      </c>
      <c r="C19" s="6">
        <f>IF($K19="","",INDEX(kKisi,$K19))</f>
        <v/>
      </c>
      <c r="D19" s="11">
        <f>IF($K19="","",INDEX(kGiris,$K19))</f>
        <v/>
      </c>
      <c r="E19" s="11">
        <f>IF($K19="","",INDEX(kCikis,$K19))</f>
        <v/>
      </c>
      <c r="F19" s="6">
        <f>IF($K19="","",INDEX(kSure,$K19))</f>
        <v/>
      </c>
      <c r="G19" s="12">
        <f>IF($K19="","",INDEX(kGunluk,$K19))</f>
        <v/>
      </c>
      <c r="H19" s="12">
        <f>IF($K19="","",INDEX(kTutar,$K19))</f>
        <v/>
      </c>
      <c r="I19" s="6">
        <f>IF($K19="","",INDEX(kKaynak,$K19)&amp;IF(INDEX(kDurum,$K19)="Bekleniyor"," (GELECEK)",""))</f>
        <v/>
      </c>
      <c r="K19">
        <f>IF(A19="","",MATCH(A19,kAnahtar,0))</f>
        <v/>
      </c>
    </row>
    <row r="20">
      <c r="A20" s="6">
        <f>IFERROR(INDEX(hOda,MATCH(11,hSira,0)),"")</f>
        <v/>
      </c>
      <c r="B20" s="10">
        <f>IF($K20="","",INDEX(kAd,$K20))</f>
        <v/>
      </c>
      <c r="C20" s="6">
        <f>IF($K20="","",INDEX(kKisi,$K20))</f>
        <v/>
      </c>
      <c r="D20" s="11">
        <f>IF($K20="","",INDEX(kGiris,$K20))</f>
        <v/>
      </c>
      <c r="E20" s="11">
        <f>IF($K20="","",INDEX(kCikis,$K20))</f>
        <v/>
      </c>
      <c r="F20" s="6">
        <f>IF($K20="","",INDEX(kSure,$K20))</f>
        <v/>
      </c>
      <c r="G20" s="12">
        <f>IF($K20="","",INDEX(kGunluk,$K20))</f>
        <v/>
      </c>
      <c r="H20" s="12">
        <f>IF($K20="","",INDEX(kTutar,$K20))</f>
        <v/>
      </c>
      <c r="I20" s="6">
        <f>IF($K20="","",INDEX(kKaynak,$K20)&amp;IF(INDEX(kDurum,$K20)="Bekleniyor"," (GELECEK)",""))</f>
        <v/>
      </c>
      <c r="K20">
        <f>IF(A20="","",MATCH(A20,kAnahtar,0))</f>
        <v/>
      </c>
    </row>
    <row r="21">
      <c r="A21" s="6">
        <f>IFERROR(INDEX(hOda,MATCH(12,hSira,0)),"")</f>
        <v/>
      </c>
      <c r="B21" s="10">
        <f>IF($K21="","",INDEX(kAd,$K21))</f>
        <v/>
      </c>
      <c r="C21" s="6">
        <f>IF($K21="","",INDEX(kKisi,$K21))</f>
        <v/>
      </c>
      <c r="D21" s="11">
        <f>IF($K21="","",INDEX(kGiris,$K21))</f>
        <v/>
      </c>
      <c r="E21" s="11">
        <f>IF($K21="","",INDEX(kCikis,$K21))</f>
        <v/>
      </c>
      <c r="F21" s="6">
        <f>IF($K21="","",INDEX(kSure,$K21))</f>
        <v/>
      </c>
      <c r="G21" s="12">
        <f>IF($K21="","",INDEX(kGunluk,$K21))</f>
        <v/>
      </c>
      <c r="H21" s="12">
        <f>IF($K21="","",INDEX(kTutar,$K21))</f>
        <v/>
      </c>
      <c r="I21" s="6">
        <f>IF($K21="","",INDEX(kKaynak,$K21)&amp;IF(INDEX(kDurum,$K21)="Bekleniyor"," (GELECEK)",""))</f>
        <v/>
      </c>
      <c r="K21">
        <f>IF(A21="","",MATCH(A21,kAnahtar,0))</f>
        <v/>
      </c>
    </row>
    <row r="22">
      <c r="A22" s="6">
        <f>IFERROR(INDEX(hOda,MATCH(13,hSira,0)),"")</f>
        <v/>
      </c>
      <c r="B22" s="10">
        <f>IF($K22="","",INDEX(kAd,$K22))</f>
        <v/>
      </c>
      <c r="C22" s="6">
        <f>IF($K22="","",INDEX(kKisi,$K22))</f>
        <v/>
      </c>
      <c r="D22" s="11">
        <f>IF($K22="","",INDEX(kGiris,$K22))</f>
        <v/>
      </c>
      <c r="E22" s="11">
        <f>IF($K22="","",INDEX(kCikis,$K22))</f>
        <v/>
      </c>
      <c r="F22" s="6">
        <f>IF($K22="","",INDEX(kSure,$K22))</f>
        <v/>
      </c>
      <c r="G22" s="12">
        <f>IF($K22="","",INDEX(kGunluk,$K22))</f>
        <v/>
      </c>
      <c r="H22" s="12">
        <f>IF($K22="","",INDEX(kTutar,$K22))</f>
        <v/>
      </c>
      <c r="I22" s="6">
        <f>IF($K22="","",INDEX(kKaynak,$K22)&amp;IF(INDEX(kDurum,$K22)="Bekleniyor"," (GELECEK)",""))</f>
        <v/>
      </c>
      <c r="K22">
        <f>IF(A22="","",MATCH(A22,kAnahtar,0))</f>
        <v/>
      </c>
    </row>
    <row r="23">
      <c r="A23" s="6">
        <f>IFERROR(INDEX(hOda,MATCH(14,hSira,0)),"")</f>
        <v/>
      </c>
      <c r="B23" s="10">
        <f>IF($K23="","",INDEX(kAd,$K23))</f>
        <v/>
      </c>
      <c r="C23" s="6">
        <f>IF($K23="","",INDEX(kKisi,$K23))</f>
        <v/>
      </c>
      <c r="D23" s="11">
        <f>IF($K23="","",INDEX(kGiris,$K23))</f>
        <v/>
      </c>
      <c r="E23" s="11">
        <f>IF($K23="","",INDEX(kCikis,$K23))</f>
        <v/>
      </c>
      <c r="F23" s="6">
        <f>IF($K23="","",INDEX(kSure,$K23))</f>
        <v/>
      </c>
      <c r="G23" s="12">
        <f>IF($K23="","",INDEX(kGunluk,$K23))</f>
        <v/>
      </c>
      <c r="H23" s="12">
        <f>IF($K23="","",INDEX(kTutar,$K23))</f>
        <v/>
      </c>
      <c r="I23" s="6">
        <f>IF($K23="","",INDEX(kKaynak,$K23)&amp;IF(INDEX(kDurum,$K23)="Bekleniyor"," (GELECEK)",""))</f>
        <v/>
      </c>
      <c r="K23">
        <f>IF(A23="","",MATCH(A23,kAnahtar,0))</f>
        <v/>
      </c>
    </row>
    <row r="24">
      <c r="A24" s="6">
        <f>IFERROR(INDEX(hOda,MATCH(15,hSira,0)),"")</f>
        <v/>
      </c>
      <c r="B24" s="10">
        <f>IF($K24="","",INDEX(kAd,$K24))</f>
        <v/>
      </c>
      <c r="C24" s="6">
        <f>IF($K24="","",INDEX(kKisi,$K24))</f>
        <v/>
      </c>
      <c r="D24" s="11">
        <f>IF($K24="","",INDEX(kGiris,$K24))</f>
        <v/>
      </c>
      <c r="E24" s="11">
        <f>IF($K24="","",INDEX(kCikis,$K24))</f>
        <v/>
      </c>
      <c r="F24" s="6">
        <f>IF($K24="","",INDEX(kSure,$K24))</f>
        <v/>
      </c>
      <c r="G24" s="12">
        <f>IF($K24="","",INDEX(kGunluk,$K24))</f>
        <v/>
      </c>
      <c r="H24" s="12">
        <f>IF($K24="","",INDEX(kTutar,$K24))</f>
        <v/>
      </c>
      <c r="I24" s="6">
        <f>IF($K24="","",INDEX(kKaynak,$K24)&amp;IF(INDEX(kDurum,$K24)="Bekleniyor"," (GELECEK)",""))</f>
        <v/>
      </c>
      <c r="K24">
        <f>IF(A24="","",MATCH(A24,kAnahtar,0))</f>
        <v/>
      </c>
    </row>
    <row r="25">
      <c r="A25" s="6">
        <f>IFERROR(INDEX(hOda,MATCH(16,hSira,0)),"")</f>
        <v/>
      </c>
      <c r="B25" s="10">
        <f>IF($K25="","",INDEX(kAd,$K25))</f>
        <v/>
      </c>
      <c r="C25" s="6">
        <f>IF($K25="","",INDEX(kKisi,$K25))</f>
        <v/>
      </c>
      <c r="D25" s="11">
        <f>IF($K25="","",INDEX(kGiris,$K25))</f>
        <v/>
      </c>
      <c r="E25" s="11">
        <f>IF($K25="","",INDEX(kCikis,$K25))</f>
        <v/>
      </c>
      <c r="F25" s="6">
        <f>IF($K25="","",INDEX(kSure,$K25))</f>
        <v/>
      </c>
      <c r="G25" s="12">
        <f>IF($K25="","",INDEX(kGunluk,$K25))</f>
        <v/>
      </c>
      <c r="H25" s="12">
        <f>IF($K25="","",INDEX(kTutar,$K25))</f>
        <v/>
      </c>
      <c r="I25" s="6">
        <f>IF($K25="","",INDEX(kKaynak,$K25)&amp;IF(INDEX(kDurum,$K25)="Bekleniyor"," (GELECEK)",""))</f>
        <v/>
      </c>
      <c r="K25">
        <f>IF(A25="","",MATCH(A25,kAnahtar,0))</f>
        <v/>
      </c>
    </row>
    <row r="26">
      <c r="A26" s="6">
        <f>IFERROR(INDEX(hOda,MATCH(17,hSira,0)),"")</f>
        <v/>
      </c>
      <c r="B26" s="10">
        <f>IF($K26="","",INDEX(kAd,$K26))</f>
        <v/>
      </c>
      <c r="C26" s="6">
        <f>IF($K26="","",INDEX(kKisi,$K26))</f>
        <v/>
      </c>
      <c r="D26" s="11">
        <f>IF($K26="","",INDEX(kGiris,$K26))</f>
        <v/>
      </c>
      <c r="E26" s="11">
        <f>IF($K26="","",INDEX(kCikis,$K26))</f>
        <v/>
      </c>
      <c r="F26" s="6">
        <f>IF($K26="","",INDEX(kSure,$K26))</f>
        <v/>
      </c>
      <c r="G26" s="12">
        <f>IF($K26="","",INDEX(kGunluk,$K26))</f>
        <v/>
      </c>
      <c r="H26" s="12">
        <f>IF($K26="","",INDEX(kTutar,$K26))</f>
        <v/>
      </c>
      <c r="I26" s="6">
        <f>IF($K26="","",INDEX(kKaynak,$K26)&amp;IF(INDEX(kDurum,$K26)="Bekleniyor"," (GELECEK)",""))</f>
        <v/>
      </c>
      <c r="K26">
        <f>IF(A26="","",MATCH(A26,kAnahtar,0))</f>
        <v/>
      </c>
    </row>
    <row r="27">
      <c r="A27" s="6">
        <f>IFERROR(INDEX(hOda,MATCH(18,hSira,0)),"")</f>
        <v/>
      </c>
      <c r="B27" s="10">
        <f>IF($K27="","",INDEX(kAd,$K27))</f>
        <v/>
      </c>
      <c r="C27" s="6">
        <f>IF($K27="","",INDEX(kKisi,$K27))</f>
        <v/>
      </c>
      <c r="D27" s="11">
        <f>IF($K27="","",INDEX(kGiris,$K27))</f>
        <v/>
      </c>
      <c r="E27" s="11">
        <f>IF($K27="","",INDEX(kCikis,$K27))</f>
        <v/>
      </c>
      <c r="F27" s="6">
        <f>IF($K27="","",INDEX(kSure,$K27))</f>
        <v/>
      </c>
      <c r="G27" s="12">
        <f>IF($K27="","",INDEX(kGunluk,$K27))</f>
        <v/>
      </c>
      <c r="H27" s="12">
        <f>IF($K27="","",INDEX(kTutar,$K27))</f>
        <v/>
      </c>
      <c r="I27" s="6">
        <f>IF($K27="","",INDEX(kKaynak,$K27)&amp;IF(INDEX(kDurum,$K27)="Bekleniyor"," (GELECEK)",""))</f>
        <v/>
      </c>
      <c r="K27">
        <f>IF(A27="","",MATCH(A27,kAnahtar,0))</f>
        <v/>
      </c>
    </row>
    <row r="28">
      <c r="A28" s="6">
        <f>IFERROR(INDEX(hOda,MATCH(19,hSira,0)),"")</f>
        <v/>
      </c>
      <c r="B28" s="10">
        <f>IF($K28="","",INDEX(kAd,$K28))</f>
        <v/>
      </c>
      <c r="C28" s="6">
        <f>IF($K28="","",INDEX(kKisi,$K28))</f>
        <v/>
      </c>
      <c r="D28" s="11">
        <f>IF($K28="","",INDEX(kGiris,$K28))</f>
        <v/>
      </c>
      <c r="E28" s="11">
        <f>IF($K28="","",INDEX(kCikis,$K28))</f>
        <v/>
      </c>
      <c r="F28" s="6">
        <f>IF($K28="","",INDEX(kSure,$K28))</f>
        <v/>
      </c>
      <c r="G28" s="12">
        <f>IF($K28="","",INDEX(kGunluk,$K28))</f>
        <v/>
      </c>
      <c r="H28" s="12">
        <f>IF($K28="","",INDEX(kTutar,$K28))</f>
        <v/>
      </c>
      <c r="I28" s="6">
        <f>IF($K28="","",INDEX(kKaynak,$K28)&amp;IF(INDEX(kDurum,$K28)="Bekleniyor"," (GELECEK)",""))</f>
        <v/>
      </c>
      <c r="K28">
        <f>IF(A28="","",MATCH(A28,kAnahtar,0))</f>
        <v/>
      </c>
    </row>
    <row r="29">
      <c r="A29" s="6">
        <f>IFERROR(INDEX(hOda,MATCH(20,hSira,0)),"")</f>
        <v/>
      </c>
      <c r="B29" s="10">
        <f>IF($K29="","",INDEX(kAd,$K29))</f>
        <v/>
      </c>
      <c r="C29" s="6">
        <f>IF($K29="","",INDEX(kKisi,$K29))</f>
        <v/>
      </c>
      <c r="D29" s="11">
        <f>IF($K29="","",INDEX(kGiris,$K29))</f>
        <v/>
      </c>
      <c r="E29" s="11">
        <f>IF($K29="","",INDEX(kCikis,$K29))</f>
        <v/>
      </c>
      <c r="F29" s="6">
        <f>IF($K29="","",INDEX(kSure,$K29))</f>
        <v/>
      </c>
      <c r="G29" s="12">
        <f>IF($K29="","",INDEX(kGunluk,$K29))</f>
        <v/>
      </c>
      <c r="H29" s="12">
        <f>IF($K29="","",INDEX(kTutar,$K29))</f>
        <v/>
      </c>
      <c r="I29" s="6">
        <f>IF($K29="","",INDEX(kKaynak,$K29)&amp;IF(INDEX(kDurum,$K29)="Bekleniyor"," (GELECEK)",""))</f>
        <v/>
      </c>
      <c r="K29">
        <f>IF(A29="","",MATCH(A29,kAnahtar,0))</f>
        <v/>
      </c>
    </row>
    <row r="30">
      <c r="A30" s="6">
        <f>IFERROR(INDEX(hOda,MATCH(21,hSira,0)),"")</f>
        <v/>
      </c>
      <c r="B30" s="10">
        <f>IF($K30="","",INDEX(kAd,$K30))</f>
        <v/>
      </c>
      <c r="C30" s="6">
        <f>IF($K30="","",INDEX(kKisi,$K30))</f>
        <v/>
      </c>
      <c r="D30" s="11">
        <f>IF($K30="","",INDEX(kGiris,$K30))</f>
        <v/>
      </c>
      <c r="E30" s="11">
        <f>IF($K30="","",INDEX(kCikis,$K30))</f>
        <v/>
      </c>
      <c r="F30" s="6">
        <f>IF($K30="","",INDEX(kSure,$K30))</f>
        <v/>
      </c>
      <c r="G30" s="12">
        <f>IF($K30="","",INDEX(kGunluk,$K30))</f>
        <v/>
      </c>
      <c r="H30" s="12">
        <f>IF($K30="","",INDEX(kTutar,$K30))</f>
        <v/>
      </c>
      <c r="I30" s="6">
        <f>IF($K30="","",INDEX(kKaynak,$K30)&amp;IF(INDEX(kDurum,$K30)="Bekleniyor"," (GELECEK)",""))</f>
        <v/>
      </c>
      <c r="K30">
        <f>IF(A30="","",MATCH(A30,kAnahtar,0))</f>
        <v/>
      </c>
    </row>
    <row r="31">
      <c r="A31" s="6">
        <f>IFERROR(INDEX(hOda,MATCH(22,hSira,0)),"")</f>
        <v/>
      </c>
      <c r="B31" s="10">
        <f>IF($K31="","",INDEX(kAd,$K31))</f>
        <v/>
      </c>
      <c r="C31" s="6">
        <f>IF($K31="","",INDEX(kKisi,$K31))</f>
        <v/>
      </c>
      <c r="D31" s="11">
        <f>IF($K31="","",INDEX(kGiris,$K31))</f>
        <v/>
      </c>
      <c r="E31" s="11">
        <f>IF($K31="","",INDEX(kCikis,$K31))</f>
        <v/>
      </c>
      <c r="F31" s="6">
        <f>IF($K31="","",INDEX(kSure,$K31))</f>
        <v/>
      </c>
      <c r="G31" s="12">
        <f>IF($K31="","",INDEX(kGunluk,$K31))</f>
        <v/>
      </c>
      <c r="H31" s="12">
        <f>IF($K31="","",INDEX(kTutar,$K31))</f>
        <v/>
      </c>
      <c r="I31" s="6">
        <f>IF($K31="","",INDEX(kKaynak,$K31)&amp;IF(INDEX(kDurum,$K31)="Bekleniyor"," (GELECEK)",""))</f>
        <v/>
      </c>
      <c r="K31">
        <f>IF(A31="","",MATCH(A31,kAnahtar,0))</f>
        <v/>
      </c>
    </row>
    <row r="32">
      <c r="A32" s="6">
        <f>IFERROR(INDEX(hOda,MATCH(23,hSira,0)),"")</f>
        <v/>
      </c>
      <c r="B32" s="10">
        <f>IF($K32="","",INDEX(kAd,$K32))</f>
        <v/>
      </c>
      <c r="C32" s="6">
        <f>IF($K32="","",INDEX(kKisi,$K32))</f>
        <v/>
      </c>
      <c r="D32" s="11">
        <f>IF($K32="","",INDEX(kGiris,$K32))</f>
        <v/>
      </c>
      <c r="E32" s="11">
        <f>IF($K32="","",INDEX(kCikis,$K32))</f>
        <v/>
      </c>
      <c r="F32" s="6">
        <f>IF($K32="","",INDEX(kSure,$K32))</f>
        <v/>
      </c>
      <c r="G32" s="12">
        <f>IF($K32="","",INDEX(kGunluk,$K32))</f>
        <v/>
      </c>
      <c r="H32" s="12">
        <f>IF($K32="","",INDEX(kTutar,$K32))</f>
        <v/>
      </c>
      <c r="I32" s="6">
        <f>IF($K32="","",INDEX(kKaynak,$K32)&amp;IF(INDEX(kDurum,$K32)="Bekleniyor"," (GELECEK)",""))</f>
        <v/>
      </c>
      <c r="K32">
        <f>IF(A32="","",MATCH(A32,kAnahtar,0))</f>
        <v/>
      </c>
    </row>
    <row r="33">
      <c r="A33" s="6">
        <f>IFERROR(INDEX(hOda,MATCH(24,hSira,0)),"")</f>
        <v/>
      </c>
      <c r="B33" s="10">
        <f>IF($K33="","",INDEX(kAd,$K33))</f>
        <v/>
      </c>
      <c r="C33" s="6">
        <f>IF($K33="","",INDEX(kKisi,$K33))</f>
        <v/>
      </c>
      <c r="D33" s="11">
        <f>IF($K33="","",INDEX(kGiris,$K33))</f>
        <v/>
      </c>
      <c r="E33" s="11">
        <f>IF($K33="","",INDEX(kCikis,$K33))</f>
        <v/>
      </c>
      <c r="F33" s="6">
        <f>IF($K33="","",INDEX(kSure,$K33))</f>
        <v/>
      </c>
      <c r="G33" s="12">
        <f>IF($K33="","",INDEX(kGunluk,$K33))</f>
        <v/>
      </c>
      <c r="H33" s="12">
        <f>IF($K33="","",INDEX(kTutar,$K33))</f>
        <v/>
      </c>
      <c r="I33" s="6">
        <f>IF($K33="","",INDEX(kKaynak,$K33)&amp;IF(INDEX(kDurum,$K33)="Bekleniyor"," (GELECEK)",""))</f>
        <v/>
      </c>
      <c r="K33">
        <f>IF(A33="","",MATCH(A33,kAnahtar,0))</f>
        <v/>
      </c>
    </row>
    <row r="34">
      <c r="A34" s="6">
        <f>IFERROR(INDEX(hOda,MATCH(25,hSira,0)),"")</f>
        <v/>
      </c>
      <c r="B34" s="10">
        <f>IF($K34="","",INDEX(kAd,$K34))</f>
        <v/>
      </c>
      <c r="C34" s="6">
        <f>IF($K34="","",INDEX(kKisi,$K34))</f>
        <v/>
      </c>
      <c r="D34" s="11">
        <f>IF($K34="","",INDEX(kGiris,$K34))</f>
        <v/>
      </c>
      <c r="E34" s="11">
        <f>IF($K34="","",INDEX(kCikis,$K34))</f>
        <v/>
      </c>
      <c r="F34" s="6">
        <f>IF($K34="","",INDEX(kSure,$K34))</f>
        <v/>
      </c>
      <c r="G34" s="12">
        <f>IF($K34="","",INDEX(kGunluk,$K34))</f>
        <v/>
      </c>
      <c r="H34" s="12">
        <f>IF($K34="","",INDEX(kTutar,$K34))</f>
        <v/>
      </c>
      <c r="I34" s="6">
        <f>IF($K34="","",INDEX(kKaynak,$K34)&amp;IF(INDEX(kDurum,$K34)="Bekleniyor"," (GELECEK)",""))</f>
        <v/>
      </c>
      <c r="K34">
        <f>IF(A34="","",MATCH(A34,kAnahtar,0))</f>
        <v/>
      </c>
    </row>
    <row r="35">
      <c r="A35" s="6">
        <f>IFERROR(INDEX(hOda,MATCH(26,hSira,0)),"")</f>
        <v/>
      </c>
      <c r="B35" s="10">
        <f>IF($K35="","",INDEX(kAd,$K35))</f>
        <v/>
      </c>
      <c r="C35" s="6">
        <f>IF($K35="","",INDEX(kKisi,$K35))</f>
        <v/>
      </c>
      <c r="D35" s="11">
        <f>IF($K35="","",INDEX(kGiris,$K35))</f>
        <v/>
      </c>
      <c r="E35" s="11">
        <f>IF($K35="","",INDEX(kCikis,$K35))</f>
        <v/>
      </c>
      <c r="F35" s="6">
        <f>IF($K35="","",INDEX(kSure,$K35))</f>
        <v/>
      </c>
      <c r="G35" s="12">
        <f>IF($K35="","",INDEX(kGunluk,$K35))</f>
        <v/>
      </c>
      <c r="H35" s="12">
        <f>IF($K35="","",INDEX(kTutar,$K35))</f>
        <v/>
      </c>
      <c r="I35" s="6">
        <f>IF($K35="","",INDEX(kKaynak,$K35)&amp;IF(INDEX(kDurum,$K35)="Bekleniyor"," (GELECEK)",""))</f>
        <v/>
      </c>
      <c r="K35">
        <f>IF(A35="","",MATCH(A35,kAnahtar,0))</f>
        <v/>
      </c>
    </row>
    <row r="36">
      <c r="A36" s="6">
        <f>IFERROR(INDEX(hOda,MATCH(27,hSira,0)),"")</f>
        <v/>
      </c>
      <c r="B36" s="10">
        <f>IF($K36="","",INDEX(kAd,$K36))</f>
        <v/>
      </c>
      <c r="C36" s="6">
        <f>IF($K36="","",INDEX(kKisi,$K36))</f>
        <v/>
      </c>
      <c r="D36" s="11">
        <f>IF($K36="","",INDEX(kGiris,$K36))</f>
        <v/>
      </c>
      <c r="E36" s="11">
        <f>IF($K36="","",INDEX(kCikis,$K36))</f>
        <v/>
      </c>
      <c r="F36" s="6">
        <f>IF($K36="","",INDEX(kSure,$K36))</f>
        <v/>
      </c>
      <c r="G36" s="12">
        <f>IF($K36="","",INDEX(kGunluk,$K36))</f>
        <v/>
      </c>
      <c r="H36" s="12">
        <f>IF($K36="","",INDEX(kTutar,$K36))</f>
        <v/>
      </c>
      <c r="I36" s="6">
        <f>IF($K36="","",INDEX(kKaynak,$K36)&amp;IF(INDEX(kDurum,$K36)="Bekleniyor"," (GELECEK)",""))</f>
        <v/>
      </c>
      <c r="K36">
        <f>IF(A36="","",MATCH(A36,kAnahtar,0))</f>
        <v/>
      </c>
    </row>
    <row r="37">
      <c r="A37" s="6">
        <f>IFERROR(INDEX(hOda,MATCH(28,hSira,0)),"")</f>
        <v/>
      </c>
      <c r="B37" s="10">
        <f>IF($K37="","",INDEX(kAd,$K37))</f>
        <v/>
      </c>
      <c r="C37" s="6">
        <f>IF($K37="","",INDEX(kKisi,$K37))</f>
        <v/>
      </c>
      <c r="D37" s="11">
        <f>IF($K37="","",INDEX(kGiris,$K37))</f>
        <v/>
      </c>
      <c r="E37" s="11">
        <f>IF($K37="","",INDEX(kCikis,$K37))</f>
        <v/>
      </c>
      <c r="F37" s="6">
        <f>IF($K37="","",INDEX(kSure,$K37))</f>
        <v/>
      </c>
      <c r="G37" s="12">
        <f>IF($K37="","",INDEX(kGunluk,$K37))</f>
        <v/>
      </c>
      <c r="H37" s="12">
        <f>IF($K37="","",INDEX(kTutar,$K37))</f>
        <v/>
      </c>
      <c r="I37" s="6">
        <f>IF($K37="","",INDEX(kKaynak,$K37)&amp;IF(INDEX(kDurum,$K37)="Bekleniyor"," (GELECEK)",""))</f>
        <v/>
      </c>
      <c r="K37">
        <f>IF(A37="","",MATCH(A37,kAnahtar,0))</f>
        <v/>
      </c>
    </row>
    <row r="38">
      <c r="A38" s="6">
        <f>IFERROR(INDEX(hOda,MATCH(29,hSira,0)),"")</f>
        <v/>
      </c>
      <c r="B38" s="10">
        <f>IF($K38="","",INDEX(kAd,$K38))</f>
        <v/>
      </c>
      <c r="C38" s="6">
        <f>IF($K38="","",INDEX(kKisi,$K38))</f>
        <v/>
      </c>
      <c r="D38" s="11">
        <f>IF($K38="","",INDEX(kGiris,$K38))</f>
        <v/>
      </c>
      <c r="E38" s="11">
        <f>IF($K38="","",INDEX(kCikis,$K38))</f>
        <v/>
      </c>
      <c r="F38" s="6">
        <f>IF($K38="","",INDEX(kSure,$K38))</f>
        <v/>
      </c>
      <c r="G38" s="12">
        <f>IF($K38="","",INDEX(kGunluk,$K38))</f>
        <v/>
      </c>
      <c r="H38" s="12">
        <f>IF($K38="","",INDEX(kTutar,$K38))</f>
        <v/>
      </c>
      <c r="I38" s="6">
        <f>IF($K38="","",INDEX(kKaynak,$K38)&amp;IF(INDEX(kDurum,$K38)="Bekleniyor"," (GELECEK)",""))</f>
        <v/>
      </c>
      <c r="K38">
        <f>IF(A38="","",MATCH(A38,kAnahtar,0))</f>
        <v/>
      </c>
    </row>
    <row r="39">
      <c r="A39" s="6">
        <f>IFERROR(INDEX(hOda,MATCH(30,hSira,0)),"")</f>
        <v/>
      </c>
      <c r="B39" s="10">
        <f>IF($K39="","",INDEX(kAd,$K39))</f>
        <v/>
      </c>
      <c r="C39" s="6">
        <f>IF($K39="","",INDEX(kKisi,$K39))</f>
        <v/>
      </c>
      <c r="D39" s="11">
        <f>IF($K39="","",INDEX(kGiris,$K39))</f>
        <v/>
      </c>
      <c r="E39" s="11">
        <f>IF($K39="","",INDEX(kCikis,$K39))</f>
        <v/>
      </c>
      <c r="F39" s="6">
        <f>IF($K39="","",INDEX(kSure,$K39))</f>
        <v/>
      </c>
      <c r="G39" s="12">
        <f>IF($K39="","",INDEX(kGunluk,$K39))</f>
        <v/>
      </c>
      <c r="H39" s="12">
        <f>IF($K39="","",INDEX(kTutar,$K39))</f>
        <v/>
      </c>
      <c r="I39" s="6">
        <f>IF($K39="","",INDEX(kKaynak,$K39)&amp;IF(INDEX(kDurum,$K39)="Bekleniyor"," (GELECEK)",""))</f>
        <v/>
      </c>
      <c r="K39">
        <f>IF(A39="","",MATCH(A39,kAnahtar,0))</f>
        <v/>
      </c>
    </row>
    <row r="41">
      <c r="A41" s="8" t="inlineStr">
        <is>
          <t>Toplam Oda</t>
        </is>
      </c>
      <c r="C41" s="8" t="inlineStr">
        <is>
          <t>Toplam Kişi</t>
        </is>
      </c>
      <c r="G41" s="8" t="inlineStr">
        <is>
          <t>Günlük Toplam</t>
        </is>
      </c>
      <c r="H41" s="8" t="inlineStr">
        <is>
          <t>Günlük Ort</t>
        </is>
      </c>
    </row>
    <row r="42">
      <c r="A42" s="7">
        <f>COUNT(A10:A39)</f>
        <v/>
      </c>
      <c r="C42" s="7">
        <f>SUM(C10:C39)</f>
        <v/>
      </c>
      <c r="G42" s="13">
        <f>SUM(G10:G39)</f>
        <v/>
      </c>
      <c r="H42" s="13">
        <f>IFERROR(G42/A42,0)</f>
        <v/>
      </c>
    </row>
    <row r="44">
      <c r="A44" s="4" t="inlineStr">
        <is>
          <t>ÖDEME - ODA</t>
        </is>
      </c>
      <c r="B44" s="4" t="inlineStr">
        <is>
          <t>ÖDEMEYİ YAPAN</t>
        </is>
      </c>
      <c r="C44" s="4" t="inlineStr">
        <is>
          <t>TUTAR</t>
        </is>
      </c>
      <c r="D44" s="4" t="inlineStr">
        <is>
          <t>ÖDEME TÜRÜ</t>
        </is>
      </c>
      <c r="E44" s="4" t="inlineStr">
        <is>
          <t>AÇIKLAMA</t>
        </is>
      </c>
      <c r="F44" s="14" t="n"/>
      <c r="G44" s="14" t="n"/>
      <c r="H44" s="14" t="n"/>
      <c r="I44" s="15" t="n"/>
    </row>
    <row r="45">
      <c r="A45" s="6">
        <f>IF($K45="","",INDEX(pOda,$K45))</f>
        <v/>
      </c>
      <c r="B45" s="10">
        <f>IF($K45="","",INDEX(pYapan,$K45))</f>
        <v/>
      </c>
      <c r="C45" s="12">
        <f>IF($K45="","",INDEX(pTutar,$K45))</f>
        <v/>
      </c>
      <c r="D45" s="6">
        <f>IF($K45="","",INDEX(pTur,$K45))</f>
        <v/>
      </c>
      <c r="E45" s="6">
        <f>IF($K45="","",INDEX(pAcik,$K45)&amp;"")</f>
        <v/>
      </c>
      <c r="F45" s="6" t="n"/>
      <c r="G45" s="6" t="n"/>
      <c r="H45" s="6" t="n"/>
      <c r="I45" s="6" t="n"/>
      <c r="K45">
        <f>IFERROR(MATCH(1,pSira,0),"")</f>
        <v/>
      </c>
    </row>
    <row r="46">
      <c r="A46" s="6">
        <f>IF($K46="","",INDEX(pOda,$K46))</f>
        <v/>
      </c>
      <c r="B46" s="10">
        <f>IF($K46="","",INDEX(pYapan,$K46))</f>
        <v/>
      </c>
      <c r="C46" s="12">
        <f>IF($K46="","",INDEX(pTutar,$K46))</f>
        <v/>
      </c>
      <c r="D46" s="6">
        <f>IF($K46="","",INDEX(pTur,$K46))</f>
        <v/>
      </c>
      <c r="E46" s="6">
        <f>IF($K46="","",INDEX(pAcik,$K46)&amp;"")</f>
        <v/>
      </c>
      <c r="F46" s="6" t="n"/>
      <c r="G46" s="6" t="n"/>
      <c r="H46" s="6" t="n"/>
      <c r="I46" s="6" t="n"/>
      <c r="K46">
        <f>IFERROR(MATCH(2,pSira,0),"")</f>
        <v/>
      </c>
    </row>
    <row r="47">
      <c r="A47" s="6">
        <f>IF($K47="","",INDEX(pOda,$K47))</f>
        <v/>
      </c>
      <c r="B47" s="10">
        <f>IF($K47="","",INDEX(pYapan,$K47))</f>
        <v/>
      </c>
      <c r="C47" s="12">
        <f>IF($K47="","",INDEX(pTutar,$K47))</f>
        <v/>
      </c>
      <c r="D47" s="6">
        <f>IF($K47="","",INDEX(pTur,$K47))</f>
        <v/>
      </c>
      <c r="E47" s="6">
        <f>IF($K47="","",INDEX(pAcik,$K47)&amp;"")</f>
        <v/>
      </c>
      <c r="F47" s="6" t="n"/>
      <c r="G47" s="6" t="n"/>
      <c r="H47" s="6" t="n"/>
      <c r="I47" s="6" t="n"/>
      <c r="K47">
        <f>IFERROR(MATCH(3,pSira,0),"")</f>
        <v/>
      </c>
    </row>
    <row r="48">
      <c r="A48" s="6">
        <f>IF($K48="","",INDEX(pOda,$K48))</f>
        <v/>
      </c>
      <c r="B48" s="10">
        <f>IF($K48="","",INDEX(pYapan,$K48))</f>
        <v/>
      </c>
      <c r="C48" s="12">
        <f>IF($K48="","",INDEX(pTutar,$K48))</f>
        <v/>
      </c>
      <c r="D48" s="6">
        <f>IF($K48="","",INDEX(pTur,$K48))</f>
        <v/>
      </c>
      <c r="E48" s="6">
        <f>IF($K48="","",INDEX(pAcik,$K48)&amp;"")</f>
        <v/>
      </c>
      <c r="F48" s="6" t="n"/>
      <c r="G48" s="6" t="n"/>
      <c r="H48" s="6" t="n"/>
      <c r="I48" s="6" t="n"/>
      <c r="K48">
        <f>IFERROR(MATCH(4,pSira,0),"")</f>
        <v/>
      </c>
    </row>
    <row r="49">
      <c r="A49" s="6">
        <f>IF($K49="","",INDEX(pOda,$K49))</f>
        <v/>
      </c>
      <c r="B49" s="10">
        <f>IF($K49="","",INDEX(pYapan,$K49))</f>
        <v/>
      </c>
      <c r="C49" s="12">
        <f>IF($K49="","",INDEX(pTutar,$K49))</f>
        <v/>
      </c>
      <c r="D49" s="6">
        <f>IF($K49="","",INDEX(pTur,$K49))</f>
        <v/>
      </c>
      <c r="E49" s="6">
        <f>IF($K49="","",INDEX(pAcik,$K49)&amp;"")</f>
        <v/>
      </c>
      <c r="F49" s="6" t="n"/>
      <c r="G49" s="6" t="n"/>
      <c r="H49" s="6" t="n"/>
      <c r="I49" s="6" t="n"/>
      <c r="K49">
        <f>IFERROR(MATCH(5,pSira,0),"")</f>
        <v/>
      </c>
    </row>
    <row r="50">
      <c r="A50" s="6">
        <f>IF($K50="","",INDEX(pOda,$K50))</f>
        <v/>
      </c>
      <c r="B50" s="10">
        <f>IF($K50="","",INDEX(pYapan,$K50))</f>
        <v/>
      </c>
      <c r="C50" s="12">
        <f>IF($K50="","",INDEX(pTutar,$K50))</f>
        <v/>
      </c>
      <c r="D50" s="6">
        <f>IF($K50="","",INDEX(pTur,$K50))</f>
        <v/>
      </c>
      <c r="E50" s="6">
        <f>IF($K50="","",INDEX(pAcik,$K50)&amp;"")</f>
        <v/>
      </c>
      <c r="F50" s="6" t="n"/>
      <c r="G50" s="6" t="n"/>
      <c r="H50" s="6" t="n"/>
      <c r="I50" s="6" t="n"/>
      <c r="K50">
        <f>IFERROR(MATCH(6,pSira,0),"")</f>
        <v/>
      </c>
    </row>
    <row r="51">
      <c r="A51" s="6">
        <f>IF($K51="","",INDEX(pOda,$K51))</f>
        <v/>
      </c>
      <c r="B51" s="10">
        <f>IF($K51="","",INDEX(pYapan,$K51))</f>
        <v/>
      </c>
      <c r="C51" s="12">
        <f>IF($K51="","",INDEX(pTutar,$K51))</f>
        <v/>
      </c>
      <c r="D51" s="6">
        <f>IF($K51="","",INDEX(pTur,$K51))</f>
        <v/>
      </c>
      <c r="E51" s="6">
        <f>IF($K51="","",INDEX(pAcik,$K51)&amp;"")</f>
        <v/>
      </c>
      <c r="F51" s="6" t="n"/>
      <c r="G51" s="6" t="n"/>
      <c r="H51" s="6" t="n"/>
      <c r="I51" s="6" t="n"/>
      <c r="K51">
        <f>IFERROR(MATCH(7,pSira,0),"")</f>
        <v/>
      </c>
    </row>
    <row r="52">
      <c r="A52" s="6">
        <f>IF($K52="","",INDEX(pOda,$K52))</f>
        <v/>
      </c>
      <c r="B52" s="10">
        <f>IF($K52="","",INDEX(pYapan,$K52))</f>
        <v/>
      </c>
      <c r="C52" s="12">
        <f>IF($K52="","",INDEX(pTutar,$K52))</f>
        <v/>
      </c>
      <c r="D52" s="6">
        <f>IF($K52="","",INDEX(pTur,$K52))</f>
        <v/>
      </c>
      <c r="E52" s="6">
        <f>IF($K52="","",INDEX(pAcik,$K52)&amp;"")</f>
        <v/>
      </c>
      <c r="F52" s="6" t="n"/>
      <c r="G52" s="6" t="n"/>
      <c r="H52" s="6" t="n"/>
      <c r="I52" s="6" t="n"/>
      <c r="K52">
        <f>IFERROR(MATCH(8,pSira,0),"")</f>
        <v/>
      </c>
    </row>
    <row r="53">
      <c r="A53" s="6">
        <f>IF($K53="","",INDEX(pOda,$K53))</f>
        <v/>
      </c>
      <c r="B53" s="10">
        <f>IF($K53="","",INDEX(pYapan,$K53))</f>
        <v/>
      </c>
      <c r="C53" s="12">
        <f>IF($K53="","",INDEX(pTutar,$K53))</f>
        <v/>
      </c>
      <c r="D53" s="6">
        <f>IF($K53="","",INDEX(pTur,$K53))</f>
        <v/>
      </c>
      <c r="E53" s="6">
        <f>IF($K53="","",INDEX(pAcik,$K53)&amp;"")</f>
        <v/>
      </c>
      <c r="F53" s="6" t="n"/>
      <c r="G53" s="6" t="n"/>
      <c r="H53" s="6" t="n"/>
      <c r="I53" s="6" t="n"/>
      <c r="K53">
        <f>IFERROR(MATCH(9,pSira,0),"")</f>
        <v/>
      </c>
    </row>
    <row r="54">
      <c r="A54" s="6">
        <f>IF($K54="","",INDEX(pOda,$K54))</f>
        <v/>
      </c>
      <c r="B54" s="10">
        <f>IF($K54="","",INDEX(pYapan,$K54))</f>
        <v/>
      </c>
      <c r="C54" s="12">
        <f>IF($K54="","",INDEX(pTutar,$K54))</f>
        <v/>
      </c>
      <c r="D54" s="6">
        <f>IF($K54="","",INDEX(pTur,$K54))</f>
        <v/>
      </c>
      <c r="E54" s="6">
        <f>IF($K54="","",INDEX(pAcik,$K54)&amp;"")</f>
        <v/>
      </c>
      <c r="F54" s="6" t="n"/>
      <c r="G54" s="6" t="n"/>
      <c r="H54" s="6" t="n"/>
      <c r="I54" s="6" t="n"/>
      <c r="K54">
        <f>IFERROR(MATCH(10,pSira,0),"")</f>
        <v/>
      </c>
    </row>
    <row r="55">
      <c r="A55" s="6">
        <f>IF($K55="","",INDEX(pOda,$K55))</f>
        <v/>
      </c>
      <c r="B55" s="10">
        <f>IF($K55="","",INDEX(pYapan,$K55))</f>
        <v/>
      </c>
      <c r="C55" s="12">
        <f>IF($K55="","",INDEX(pTutar,$K55))</f>
        <v/>
      </c>
      <c r="D55" s="6">
        <f>IF($K55="","",INDEX(pTur,$K55))</f>
        <v/>
      </c>
      <c r="E55" s="6">
        <f>IF($K55="","",INDEX(pAcik,$K55)&amp;"")</f>
        <v/>
      </c>
      <c r="F55" s="6" t="n"/>
      <c r="G55" s="6" t="n"/>
      <c r="H55" s="6" t="n"/>
      <c r="I55" s="6" t="n"/>
      <c r="K55">
        <f>IFERROR(MATCH(11,pSira,0),"")</f>
        <v/>
      </c>
    </row>
    <row r="56">
      <c r="A56" s="6">
        <f>IF($K56="","",INDEX(pOda,$K56))</f>
        <v/>
      </c>
      <c r="B56" s="10">
        <f>IF($K56="","",INDEX(pYapan,$K56))</f>
        <v/>
      </c>
      <c r="C56" s="12">
        <f>IF($K56="","",INDEX(pTutar,$K56))</f>
        <v/>
      </c>
      <c r="D56" s="6">
        <f>IF($K56="","",INDEX(pTur,$K56))</f>
        <v/>
      </c>
      <c r="E56" s="6">
        <f>IF($K56="","",INDEX(pAcik,$K56)&amp;"")</f>
        <v/>
      </c>
      <c r="F56" s="6" t="n"/>
      <c r="G56" s="6" t="n"/>
      <c r="H56" s="6" t="n"/>
      <c r="I56" s="6" t="n"/>
      <c r="K56">
        <f>IFERROR(MATCH(12,pSira,0),"")</f>
        <v/>
      </c>
    </row>
    <row r="57">
      <c r="A57" s="6">
        <f>IF($K57="","",INDEX(pOda,$K57))</f>
        <v/>
      </c>
      <c r="B57" s="10">
        <f>IF($K57="","",INDEX(pYapan,$K57))</f>
        <v/>
      </c>
      <c r="C57" s="12">
        <f>IF($K57="","",INDEX(pTutar,$K57))</f>
        <v/>
      </c>
      <c r="D57" s="6">
        <f>IF($K57="","",INDEX(pTur,$K57))</f>
        <v/>
      </c>
      <c r="E57" s="6">
        <f>IF($K57="","",INDEX(pAcik,$K57)&amp;"")</f>
        <v/>
      </c>
      <c r="F57" s="6" t="n"/>
      <c r="G57" s="6" t="n"/>
      <c r="H57" s="6" t="n"/>
      <c r="I57" s="6" t="n"/>
      <c r="K57">
        <f>IFERROR(MATCH(13,pSira,0),"")</f>
        <v/>
      </c>
    </row>
    <row r="58">
      <c r="A58" s="6">
        <f>IF($K58="","",INDEX(pOda,$K58))</f>
        <v/>
      </c>
      <c r="B58" s="10">
        <f>IF($K58="","",INDEX(pYapan,$K58))</f>
        <v/>
      </c>
      <c r="C58" s="12">
        <f>IF($K58="","",INDEX(pTutar,$K58))</f>
        <v/>
      </c>
      <c r="D58" s="6">
        <f>IF($K58="","",INDEX(pTur,$K58))</f>
        <v/>
      </c>
      <c r="E58" s="6">
        <f>IF($K58="","",INDEX(pAcik,$K58)&amp;"")</f>
        <v/>
      </c>
      <c r="F58" s="6" t="n"/>
      <c r="G58" s="6" t="n"/>
      <c r="H58" s="6" t="n"/>
      <c r="I58" s="6" t="n"/>
      <c r="K58">
        <f>IFERROR(MATCH(14,pSira,0),"")</f>
        <v/>
      </c>
    </row>
    <row r="59">
      <c r="A59" s="6">
        <f>IF($K59="","",INDEX(pOda,$K59))</f>
        <v/>
      </c>
      <c r="B59" s="10">
        <f>IF($K59="","",INDEX(pYapan,$K59))</f>
        <v/>
      </c>
      <c r="C59" s="12">
        <f>IF($K59="","",INDEX(pTutar,$K59))</f>
        <v/>
      </c>
      <c r="D59" s="6">
        <f>IF($K59="","",INDEX(pTur,$K59))</f>
        <v/>
      </c>
      <c r="E59" s="6">
        <f>IF($K59="","",INDEX(pAcik,$K59)&amp;"")</f>
        <v/>
      </c>
      <c r="F59" s="6" t="n"/>
      <c r="G59" s="6" t="n"/>
      <c r="H59" s="6" t="n"/>
      <c r="I59" s="6" t="n"/>
      <c r="K59">
        <f>IFERROR(MATCH(15,pSira,0),"")</f>
        <v/>
      </c>
    </row>
    <row r="60">
      <c r="A60" s="6">
        <f>IF($K60="","",INDEX(pOda,$K60))</f>
        <v/>
      </c>
      <c r="B60" s="10">
        <f>IF($K60="","",INDEX(pYapan,$K60))</f>
        <v/>
      </c>
      <c r="C60" s="12">
        <f>IF($K60="","",INDEX(pTutar,$K60))</f>
        <v/>
      </c>
      <c r="D60" s="6">
        <f>IF($K60="","",INDEX(pTur,$K60))</f>
        <v/>
      </c>
      <c r="E60" s="6">
        <f>IF($K60="","",INDEX(pAcik,$K60)&amp;"")</f>
        <v/>
      </c>
      <c r="F60" s="6" t="n"/>
      <c r="G60" s="6" t="n"/>
      <c r="H60" s="6" t="n"/>
      <c r="I60" s="6" t="n"/>
      <c r="K60">
        <f>IFERROR(MATCH(16,pSira,0),"")</f>
        <v/>
      </c>
    </row>
    <row r="61">
      <c r="A61" s="6">
        <f>IF($K61="","",INDEX(pOda,$K61))</f>
        <v/>
      </c>
      <c r="B61" s="10">
        <f>IF($K61="","",INDEX(pYapan,$K61))</f>
        <v/>
      </c>
      <c r="C61" s="12">
        <f>IF($K61="","",INDEX(pTutar,$K61))</f>
        <v/>
      </c>
      <c r="D61" s="6">
        <f>IF($K61="","",INDEX(pTur,$K61))</f>
        <v/>
      </c>
      <c r="E61" s="6">
        <f>IF($K61="","",INDEX(pAcik,$K61)&amp;"")</f>
        <v/>
      </c>
      <c r="F61" s="6" t="n"/>
      <c r="G61" s="6" t="n"/>
      <c r="H61" s="6" t="n"/>
      <c r="I61" s="6" t="n"/>
      <c r="K61">
        <f>IFERROR(MATCH(17,pSira,0),"")</f>
        <v/>
      </c>
    </row>
    <row r="62">
      <c r="A62" s="6">
        <f>IF($K62="","",INDEX(pOda,$K62))</f>
        <v/>
      </c>
      <c r="B62" s="10">
        <f>IF($K62="","",INDEX(pYapan,$K62))</f>
        <v/>
      </c>
      <c r="C62" s="12">
        <f>IF($K62="","",INDEX(pTutar,$K62))</f>
        <v/>
      </c>
      <c r="D62" s="6">
        <f>IF($K62="","",INDEX(pTur,$K62))</f>
        <v/>
      </c>
      <c r="E62" s="6">
        <f>IF($K62="","",INDEX(pAcik,$K62)&amp;"")</f>
        <v/>
      </c>
      <c r="F62" s="6" t="n"/>
      <c r="G62" s="6" t="n"/>
      <c r="H62" s="6" t="n"/>
      <c r="I62" s="6" t="n"/>
      <c r="K62">
        <f>IFERROR(MATCH(18,pSira,0),"")</f>
        <v/>
      </c>
    </row>
    <row r="63">
      <c r="A63" s="6">
        <f>IF($K63="","",INDEX(pOda,$K63))</f>
        <v/>
      </c>
      <c r="B63" s="10">
        <f>IF($K63="","",INDEX(pYapan,$K63))</f>
        <v/>
      </c>
      <c r="C63" s="12">
        <f>IF($K63="","",INDEX(pTutar,$K63))</f>
        <v/>
      </c>
      <c r="D63" s="6">
        <f>IF($K63="","",INDEX(pTur,$K63))</f>
        <v/>
      </c>
      <c r="E63" s="6">
        <f>IF($K63="","",INDEX(pAcik,$K63)&amp;"")</f>
        <v/>
      </c>
      <c r="F63" s="6" t="n"/>
      <c r="G63" s="6" t="n"/>
      <c r="H63" s="6" t="n"/>
      <c r="I63" s="6" t="n"/>
      <c r="K63">
        <f>IFERROR(MATCH(19,pSira,0),"")</f>
        <v/>
      </c>
    </row>
    <row r="64">
      <c r="A64" s="6">
        <f>IF($K64="","",INDEX(pOda,$K64))</f>
        <v/>
      </c>
      <c r="B64" s="10">
        <f>IF($K64="","",INDEX(pYapan,$K64))</f>
        <v/>
      </c>
      <c r="C64" s="12">
        <f>IF($K64="","",INDEX(pTutar,$K64))</f>
        <v/>
      </c>
      <c r="D64" s="6">
        <f>IF($K64="","",INDEX(pTur,$K64))</f>
        <v/>
      </c>
      <c r="E64" s="6">
        <f>IF($K64="","",INDEX(pAcik,$K64)&amp;"")</f>
        <v/>
      </c>
      <c r="F64" s="6" t="n"/>
      <c r="G64" s="6" t="n"/>
      <c r="H64" s="6" t="n"/>
      <c r="I64" s="6" t="n"/>
      <c r="K64">
        <f>IFERROR(MATCH(20,pSira,0),"")</f>
        <v/>
      </c>
    </row>
    <row r="66">
      <c r="A66" s="16" t="inlineStr">
        <is>
          <t>TOPLAM TAHSİLAT</t>
        </is>
      </c>
      <c r="B66" s="15" t="n"/>
      <c r="C66" s="17">
        <f>SUMIFS(pTutar,pTarih,RaporTarihi)</f>
        <v/>
      </c>
    </row>
    <row r="67">
      <c r="A67" s="18">
        <f>IF(Ayarlar!E4="","",Ayarlar!E4)</f>
        <v/>
      </c>
      <c r="B67" s="15" t="n"/>
      <c r="C67" s="19">
        <f>IF(A67="","",SUMIFS(pTutar,pTarih,RaporTarihi,pTur,A67))</f>
        <v/>
      </c>
    </row>
    <row r="68">
      <c r="A68" s="18">
        <f>IF(Ayarlar!E5="","",Ayarlar!E5)</f>
        <v/>
      </c>
      <c r="B68" s="15" t="n"/>
      <c r="C68" s="19">
        <f>IF(A68="","",SUMIFS(pTutar,pTarih,RaporTarihi,pTur,A68))</f>
        <v/>
      </c>
    </row>
    <row r="69">
      <c r="A69" s="18">
        <f>IF(Ayarlar!E6="","",Ayarlar!E6)</f>
        <v/>
      </c>
      <c r="B69" s="15" t="n"/>
      <c r="C69" s="19">
        <f>IF(A69="","",SUMIFS(pTutar,pTarih,RaporTarihi,pTur,A69))</f>
        <v/>
      </c>
    </row>
    <row r="70">
      <c r="A70" s="18">
        <f>IF(Ayarlar!E7="","",Ayarlar!E7)</f>
        <v/>
      </c>
      <c r="B70" s="15" t="n"/>
      <c r="C70" s="19">
        <f>IF(A70="","",SUMIFS(pTutar,pTarih,RaporTarihi,pTur,A70))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2">
    <mergeCell ref="E50:I50"/>
    <mergeCell ref="E55:I55"/>
    <mergeCell ref="E62:I62"/>
    <mergeCell ref="E52:I52"/>
    <mergeCell ref="H4:I4"/>
    <mergeCell ref="A70:B70"/>
    <mergeCell ref="E48:I48"/>
    <mergeCell ref="A69:B69"/>
    <mergeCell ref="E64:I64"/>
    <mergeCell ref="E44:I44"/>
    <mergeCell ref="A2:I2"/>
    <mergeCell ref="E51:I51"/>
    <mergeCell ref="E63:I63"/>
    <mergeCell ref="A66:B66"/>
    <mergeCell ref="E58:I58"/>
    <mergeCell ref="E60:I60"/>
    <mergeCell ref="E59:I59"/>
    <mergeCell ref="A4:A5"/>
    <mergeCell ref="H7:I7"/>
    <mergeCell ref="E46:I46"/>
    <mergeCell ref="E49:I49"/>
    <mergeCell ref="E45:I45"/>
    <mergeCell ref="E61:I61"/>
    <mergeCell ref="E57:I57"/>
    <mergeCell ref="E54:I54"/>
    <mergeCell ref="A68:B68"/>
    <mergeCell ref="A1:I1"/>
    <mergeCell ref="H5:I5"/>
    <mergeCell ref="E53:I53"/>
    <mergeCell ref="A67:B67"/>
    <mergeCell ref="E47:I47"/>
    <mergeCell ref="E56:I56"/>
  </mergeCells>
  <conditionalFormatting sqref="A2:I2">
    <cfRule type="expression" priority="1" dxfId="0">
      <formula>LEFT($A$2,1)="⚠"</formula>
    </cfRule>
    <cfRule type="expression" priority="2" dxfId="1">
      <formula>LEFT($A$2,1)="✔"</formula>
    </cfRule>
  </conditionalFormatting>
  <conditionalFormatting sqref="A10:I39">
    <cfRule type="expression" priority="3" dxfId="2">
      <formula>ISNUMBER(SEARCH("GELECEK",$I10))</formula>
    </cfRule>
  </conditionalFormatting>
  <dataValidations count="2">
    <dataValidation sqref="A4" showDropDown="0" showInputMessage="0" showErrorMessage="1" allowBlank="1" errorTitle="Geçersiz tarih" error="Gerçek bir tarih girin (gg.aa.yyyy)." type="date" errorStyle="stop" operator="between">
      <formula1>43831</formula1>
      <formula2>73050</formula2>
    </dataValidation>
    <dataValidation sqref="I6" showDropDown="0" showInputMessage="0" showErrorMessage="1" allowBlank="1" errorTitle="Geçersiz sayı" error="Kirli oda sayısı 0 ile boş oda sayısı arasında tam sayı olmalı." type="whole" errorStyle="stop" operator="between">
      <formula1>0</formula1>
      <formula2>$G$5</formula2>
    </dataValidation>
  </dataValidation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8" customWidth="1" min="3" max="3"/>
    <col width="13" customWidth="1" min="4" max="4"/>
    <col width="13" customWidth="1" min="5" max="5"/>
    <col width="14" customWidth="1" min="6" max="6"/>
    <col width="14" customWidth="1" min="7" max="7"/>
    <col width="20" customWidth="1" min="8" max="8"/>
    <col width="10" customWidth="1" min="9" max="9"/>
    <col width="14" customWidth="1" min="10" max="10"/>
    <col width="38" customWidth="1" min="11" max="11"/>
    <col hidden="1" width="8" customWidth="1" min="12" max="12"/>
  </cols>
  <sheetData>
    <row r="1">
      <c r="A1" s="20" t="inlineStr">
        <is>
          <t>KONAKLAMA KAYITLARI</t>
        </is>
      </c>
    </row>
    <row r="2">
      <c r="A2" s="21" t="inlineStr">
        <is>
          <t>Her konaklama için BİR satır girin (odadan çıkan misafir de silinmez, kayıtta kalır). Sarı hücreler girilir, gri hücreler otomatiktir. Kontrol sütunu 'OK' olmadan rapor onaylanmaz.</t>
        </is>
      </c>
    </row>
    <row r="3">
      <c r="A3" s="21" t="inlineStr">
        <is>
          <t>Giriş Durumu: Bekleniyor = bugün gelecek ama henüz gelmedi · Geldi = otele giriş yaptı · İptal = gelmedi/iptal.</t>
        </is>
      </c>
    </row>
    <row r="5">
      <c r="A5" s="4" t="inlineStr">
        <is>
          <t>Oda No</t>
        </is>
      </c>
      <c r="B5" s="4" t="inlineStr">
        <is>
          <t>Misafir Adı</t>
        </is>
      </c>
      <c r="C5" s="4" t="inlineStr">
        <is>
          <t>Kişi Sayısı</t>
        </is>
      </c>
      <c r="D5" s="4" t="inlineStr">
        <is>
          <t>Giriş Tarihi</t>
        </is>
      </c>
      <c r="E5" s="4" t="inlineStr">
        <is>
          <t>Çıkış Tarihi</t>
        </is>
      </c>
      <c r="F5" s="4" t="inlineStr">
        <is>
          <t>Giriş Durumu</t>
        </is>
      </c>
      <c r="G5" s="4" t="inlineStr">
        <is>
          <t>Toplam Tutar</t>
        </is>
      </c>
      <c r="H5" s="4" t="inlineStr">
        <is>
          <t>Açıklama / Kaynak</t>
        </is>
      </c>
      <c r="I5" s="4" t="inlineStr">
        <is>
          <t>Süre (Gün)</t>
        </is>
      </c>
      <c r="J5" s="4" t="inlineStr">
        <is>
          <t>Günlük Oda Fiyatı</t>
        </is>
      </c>
      <c r="K5" s="4" t="inlineStr">
        <is>
          <t>Kontrol</t>
        </is>
      </c>
      <c r="L5" s="4" t="inlineStr">
        <is>
          <t>Gün Sonu Anahtar</t>
        </is>
      </c>
    </row>
    <row r="6">
      <c r="A6" s="22" t="n">
        <v>18</v>
      </c>
      <c r="B6" s="22" t="inlineStr">
        <is>
          <t>MUHAMMET SEMİH KÖSE</t>
        </is>
      </c>
      <c r="C6" s="22" t="n">
        <v>4</v>
      </c>
      <c r="D6" s="23" t="n">
        <v>46278</v>
      </c>
      <c r="E6" s="23" t="n">
        <v>46563</v>
      </c>
      <c r="F6" s="22" t="inlineStr">
        <is>
          <t>Geldi</t>
        </is>
      </c>
      <c r="G6" s="24" t="n">
        <v>498192</v>
      </c>
      <c r="H6" s="22" t="inlineStr">
        <is>
          <t>ÖĞRENCİ</t>
        </is>
      </c>
      <c r="I6" s="25">
        <f>IF(AND(ISNUMBER(D6),ISNUMBER(E6)),E6-D6,"")</f>
        <v/>
      </c>
      <c r="J6" s="26">
        <f>IF(AND(ISNUMBER(I6),ISNUMBER(G6)),IF(I6&gt;0,G6/I6,""),"")</f>
        <v/>
      </c>
      <c r="K6" s="25">
        <f>IF(COUNTA(A6:H6)=0,"",IF(OR(A6="",B6="",C6="",D6="",E6="",F6="",G6="",H6=""),"HATA: eksik bilgi",IF(COUNTIF(OdaListesi,A6)=0,"HATA: geçersiz oda no",IF(OR(NOT(ISNUMBER(D6)),NOT(ISNUMBER(E6))),"HATA: tarih geçersiz",IF(E6&lt;=D6,"HATA: çıkış girişten sonra olmalı",IF(OR(NOT(ISNUMBER(C6)),C6&lt;1,C6&gt;MaxKisi,C6&lt;&gt;INT(C6)),"HATA: kişi sayısı geçersiz",IF(OR(NOT(ISNUMBER(G6)),G6&lt;0),"HATA: tutar geçersiz",IF(B6&lt;&gt;TRIM(B6),"HATA: isimde baştaki/sondaki boşluk",IF(COUNTIF(KaynakAralik,H6)=0,"HATA: kaynak listede yok",IF(AND(F6&lt;&gt;"Bekleniyor",F6&lt;&gt;"Geldi",F6&lt;&gt;"İptal"),"HATA: giriş durumu geçersiz",IF(AND(F6&lt;&gt;"İptal",COUNTIFS($A$6:$A$1005,A6,$D$6:$D$1005,"&lt;"&amp;E6,$E$6:$E$1005,"&gt;"&amp;D6,$F$6:$F$1005,"&lt;&gt;İptal")&gt;1),"HATA: oda bu tarihlerde çakışıyor",IF(AND(F6="Bekleniyor",D6&lt;RaporTarihi),"HATA: giriş günü geçti, Geldi veya İptal yapın","OK"))))))))))))</f>
        <v/>
      </c>
      <c r="L6" s="25">
        <f>IF(AND(ISNUMBER(A6),F6&lt;&gt;"İptal",ISNUMBER(D6),ISNUMBER(E6),D6&lt;=RaporTarihi,E6&gt;RaporTarihi),A6,"")</f>
        <v/>
      </c>
    </row>
    <row r="7">
      <c r="A7" s="22" t="n">
        <v>20</v>
      </c>
      <c r="B7" s="22" t="inlineStr">
        <is>
          <t>MEHMET EFE ÇELEBİ</t>
        </is>
      </c>
      <c r="C7" s="22" t="n">
        <v>4</v>
      </c>
      <c r="D7" s="23" t="n">
        <v>46286</v>
      </c>
      <c r="E7" s="23" t="n">
        <v>46553</v>
      </c>
      <c r="F7" s="22" t="inlineStr">
        <is>
          <t>Geldi</t>
        </is>
      </c>
      <c r="G7" s="24" t="n">
        <v>471522</v>
      </c>
      <c r="H7" s="22" t="inlineStr">
        <is>
          <t>ÖĞRENCİ</t>
        </is>
      </c>
      <c r="I7" s="25">
        <f>IF(AND(ISNUMBER(D7),ISNUMBER(E7)),E7-D7,"")</f>
        <v/>
      </c>
      <c r="J7" s="26">
        <f>IF(AND(ISNUMBER(I7),ISNUMBER(G7)),IF(I7&gt;0,G7/I7,""),"")</f>
        <v/>
      </c>
      <c r="K7" s="25">
        <f>IF(COUNTA(A7:H7)=0,"",IF(OR(A7="",B7="",C7="",D7="",E7="",F7="",G7="",H7=""),"HATA: eksik bilgi",IF(COUNTIF(OdaListesi,A7)=0,"HATA: geçersiz oda no",IF(OR(NOT(ISNUMBER(D7)),NOT(ISNUMBER(E7))),"HATA: tarih geçersiz",IF(E7&lt;=D7,"HATA: çıkış girişten sonra olmalı",IF(OR(NOT(ISNUMBER(C7)),C7&lt;1,C7&gt;MaxKisi,C7&lt;&gt;INT(C7)),"HATA: kişi sayısı geçersiz",IF(OR(NOT(ISNUMBER(G7)),G7&lt;0),"HATA: tutar geçersiz",IF(B7&lt;&gt;TRIM(B7),"HATA: isimde baştaki/sondaki boşluk",IF(COUNTIF(KaynakAralik,H7)=0,"HATA: kaynak listede yok",IF(AND(F7&lt;&gt;"Bekleniyor",F7&lt;&gt;"Geldi",F7&lt;&gt;"İptal"),"HATA: giriş durumu geçersiz",IF(AND(F7&lt;&gt;"İptal",COUNTIFS($A$6:$A$1005,A7,$D$6:$D$1005,"&lt;"&amp;E7,$E$6:$E$1005,"&gt;"&amp;D7,$F$6:$F$1005,"&lt;&gt;İptal")&gt;1),"HATA: oda bu tarihlerde çakışıyor",IF(AND(F7="Bekleniyor",D7&lt;RaporTarihi),"HATA: giriş günü geçti, Geldi veya İptal yapın","OK"))))))))))))</f>
        <v/>
      </c>
      <c r="L7" s="25">
        <f>IF(AND(ISNUMBER(A7),F7&lt;&gt;"İptal",ISNUMBER(D7),ISNUMBER(E7),D7&lt;=RaporTarihi,E7&gt;RaporTarihi),A7,"")</f>
        <v/>
      </c>
    </row>
    <row r="8">
      <c r="A8" s="22" t="n">
        <v>22</v>
      </c>
      <c r="B8" s="22" t="inlineStr">
        <is>
          <t>HAYAL YAVAŞ</t>
        </is>
      </c>
      <c r="C8" s="22" t="n">
        <v>4</v>
      </c>
      <c r="D8" s="23" t="n">
        <v>46281</v>
      </c>
      <c r="E8" s="23" t="n">
        <v>46553</v>
      </c>
      <c r="F8" s="22" t="inlineStr">
        <is>
          <t>Geldi</t>
        </is>
      </c>
      <c r="G8" s="24" t="n">
        <v>480352</v>
      </c>
      <c r="H8" s="22" t="inlineStr">
        <is>
          <t>ÖĞRENCİ</t>
        </is>
      </c>
      <c r="I8" s="25">
        <f>IF(AND(ISNUMBER(D8),ISNUMBER(E8)),E8-D8,"")</f>
        <v/>
      </c>
      <c r="J8" s="26">
        <f>IF(AND(ISNUMBER(I8),ISNUMBER(G8)),IF(I8&gt;0,G8/I8,""),"")</f>
        <v/>
      </c>
      <c r="K8" s="25">
        <f>IF(COUNTA(A8:H8)=0,"",IF(OR(A8="",B8="",C8="",D8="",E8="",F8="",G8="",H8=""),"HATA: eksik bilgi",IF(COUNTIF(OdaListesi,A8)=0,"HATA: geçersiz oda no",IF(OR(NOT(ISNUMBER(D8)),NOT(ISNUMBER(E8))),"HATA: tarih geçersiz",IF(E8&lt;=D8,"HATA: çıkış girişten sonra olmalı",IF(OR(NOT(ISNUMBER(C8)),C8&lt;1,C8&gt;MaxKisi,C8&lt;&gt;INT(C8)),"HATA: kişi sayısı geçersiz",IF(OR(NOT(ISNUMBER(G8)),G8&lt;0),"HATA: tutar geçersiz",IF(B8&lt;&gt;TRIM(B8),"HATA: isimde baştaki/sondaki boşluk",IF(COUNTIF(KaynakAralik,H8)=0,"HATA: kaynak listede yok",IF(AND(F8&lt;&gt;"Bekleniyor",F8&lt;&gt;"Geldi",F8&lt;&gt;"İptal"),"HATA: giriş durumu geçersiz",IF(AND(F8&lt;&gt;"İptal",COUNTIFS($A$6:$A$1005,A8,$D$6:$D$1005,"&lt;"&amp;E8,$E$6:$E$1005,"&gt;"&amp;D8,$F$6:$F$1005,"&lt;&gt;İptal")&gt;1),"HATA: oda bu tarihlerde çakışıyor",IF(AND(F8="Bekleniyor",D8&lt;RaporTarihi),"HATA: giriş günü geçti, Geldi veya İptal yapın","OK"))))))))))))</f>
        <v/>
      </c>
      <c r="L8" s="25">
        <f>IF(AND(ISNUMBER(A8),F8&lt;&gt;"İptal",ISNUMBER(D8),ISNUMBER(E8),D8&lt;=RaporTarihi,E8&gt;RaporTarihi),A8,"")</f>
        <v/>
      </c>
    </row>
    <row r="9">
      <c r="A9" s="22" t="n">
        <v>24</v>
      </c>
      <c r="B9" s="22" t="inlineStr">
        <is>
          <t>BEREN TEZSEZENER</t>
        </is>
      </c>
      <c r="C9" s="22" t="n">
        <v>2</v>
      </c>
      <c r="D9" s="23" t="n">
        <v>46277</v>
      </c>
      <c r="E9" s="23" t="n">
        <v>46553</v>
      </c>
      <c r="F9" s="22" t="inlineStr">
        <is>
          <t>Geldi</t>
        </is>
      </c>
      <c r="G9" s="24" t="n">
        <v>482298</v>
      </c>
      <c r="H9" s="22" t="inlineStr">
        <is>
          <t>ÖĞRENCİ</t>
        </is>
      </c>
      <c r="I9" s="25">
        <f>IF(AND(ISNUMBER(D9),ISNUMBER(E9)),E9-D9,"")</f>
        <v/>
      </c>
      <c r="J9" s="26">
        <f>IF(AND(ISNUMBER(I9),ISNUMBER(G9)),IF(I9&gt;0,G9/I9,""),"")</f>
        <v/>
      </c>
      <c r="K9" s="25">
        <f>IF(COUNTA(A9:H9)=0,"",IF(OR(A9="",B9="",C9="",D9="",E9="",F9="",G9="",H9=""),"HATA: eksik bilgi",IF(COUNTIF(OdaListesi,A9)=0,"HATA: geçersiz oda no",IF(OR(NOT(ISNUMBER(D9)),NOT(ISNUMBER(E9))),"HATA: tarih geçersiz",IF(E9&lt;=D9,"HATA: çıkış girişten sonra olmalı",IF(OR(NOT(ISNUMBER(C9)),C9&lt;1,C9&gt;MaxKisi,C9&lt;&gt;INT(C9)),"HATA: kişi sayısı geçersiz",IF(OR(NOT(ISNUMBER(G9)),G9&lt;0),"HATA: tutar geçersiz",IF(B9&lt;&gt;TRIM(B9),"HATA: isimde baştaki/sondaki boşluk",IF(COUNTIF(KaynakAralik,H9)=0,"HATA: kaynak listede yok",IF(AND(F9&lt;&gt;"Bekleniyor",F9&lt;&gt;"Geldi",F9&lt;&gt;"İptal"),"HATA: giriş durumu geçersiz",IF(AND(F9&lt;&gt;"İptal",COUNTIFS($A$6:$A$1005,A9,$D$6:$D$1005,"&lt;"&amp;E9,$E$6:$E$1005,"&gt;"&amp;D9,$F$6:$F$1005,"&lt;&gt;İptal")&gt;1),"HATA: oda bu tarihlerde çakışıyor",IF(AND(F9="Bekleniyor",D9&lt;RaporTarihi),"HATA: giriş günü geçti, Geldi veya İptal yapın","OK"))))))))))))</f>
        <v/>
      </c>
      <c r="L9" s="25">
        <f>IF(AND(ISNUMBER(A9),F9&lt;&gt;"İptal",ISNUMBER(D9),ISNUMBER(E9),D9&lt;=RaporTarihi,E9&gt;RaporTarihi),A9,"")</f>
        <v/>
      </c>
    </row>
    <row r="10">
      <c r="A10" s="22" t="n">
        <v>26</v>
      </c>
      <c r="B10" s="22" t="inlineStr">
        <is>
          <t>HİLAL KIVRAK</t>
        </is>
      </c>
      <c r="C10" s="22" t="n">
        <v>2</v>
      </c>
      <c r="D10" s="23" t="n">
        <v>46269</v>
      </c>
      <c r="E10" s="23" t="n">
        <v>46553</v>
      </c>
      <c r="F10" s="22" t="inlineStr">
        <is>
          <t>Geldi</t>
        </is>
      </c>
      <c r="G10" s="24" t="n">
        <v>496450</v>
      </c>
      <c r="H10" s="22" t="inlineStr">
        <is>
          <t>ÖĞRENCİ</t>
        </is>
      </c>
      <c r="I10" s="25">
        <f>IF(AND(ISNUMBER(D10),ISNUMBER(E10)),E10-D10,"")</f>
        <v/>
      </c>
      <c r="J10" s="26">
        <f>IF(AND(ISNUMBER(I10),ISNUMBER(G10)),IF(I10&gt;0,G10/I10,""),"")</f>
        <v/>
      </c>
      <c r="K10" s="25">
        <f>IF(COUNTA(A10:H10)=0,"",IF(OR(A10="",B10="",C10="",D10="",E10="",F10="",G10="",H10=""),"HATA: eksik bilgi",IF(COUNTIF(OdaListesi,A10)=0,"HATA: geçersiz oda no",IF(OR(NOT(ISNUMBER(D10)),NOT(ISNUMBER(E10))),"HATA: tarih geçersiz",IF(E10&lt;=D10,"HATA: çıkış girişten sonra olmalı",IF(OR(NOT(ISNUMBER(C10)),C10&lt;1,C10&gt;MaxKisi,C10&lt;&gt;INT(C10)),"HATA: kişi sayısı geçersiz",IF(OR(NOT(ISNUMBER(G10)),G10&lt;0),"HATA: tutar geçersiz",IF(B10&lt;&gt;TRIM(B10),"HATA: isimde baştaki/sondaki boşluk",IF(COUNTIF(KaynakAralik,H10)=0,"HATA: kaynak listede yok",IF(AND(F10&lt;&gt;"Bekleniyor",F10&lt;&gt;"Geldi",F10&lt;&gt;"İptal"),"HATA: giriş durumu geçersiz",IF(AND(F10&lt;&gt;"İptal",COUNTIFS($A$6:$A$1005,A10,$D$6:$D$1005,"&lt;"&amp;E10,$E$6:$E$1005,"&gt;"&amp;D10,$F$6:$F$1005,"&lt;&gt;İptal")&gt;1),"HATA: oda bu tarihlerde çakışıyor",IF(AND(F10="Bekleniyor",D10&lt;RaporTarihi),"HATA: giriş günü geçti, Geldi veya İptal yapın","OK"))))))))))))</f>
        <v/>
      </c>
      <c r="L10" s="25">
        <f>IF(AND(ISNUMBER(A10),F10&lt;&gt;"İptal",ISNUMBER(D10),ISNUMBER(E10),D10&lt;=RaporTarihi,E10&gt;RaporTarihi),A10,"")</f>
        <v/>
      </c>
    </row>
    <row r="11">
      <c r="A11" s="22" t="n">
        <v>29</v>
      </c>
      <c r="B11" s="22" t="inlineStr">
        <is>
          <t>EDA NUR RUŞİTLER</t>
        </is>
      </c>
      <c r="C11" s="22" t="n">
        <v>2</v>
      </c>
      <c r="D11" s="23" t="n">
        <v>46278</v>
      </c>
      <c r="E11" s="23" t="n">
        <v>46553</v>
      </c>
      <c r="F11" s="22" t="inlineStr">
        <is>
          <t>Geldi</t>
        </is>
      </c>
      <c r="G11" s="24" t="n">
        <v>480532</v>
      </c>
      <c r="H11" s="22" t="inlineStr">
        <is>
          <t>ÖĞRENCİ</t>
        </is>
      </c>
      <c r="I11" s="25">
        <f>IF(AND(ISNUMBER(D11),ISNUMBER(E11)),E11-D11,"")</f>
        <v/>
      </c>
      <c r="J11" s="26">
        <f>IF(AND(ISNUMBER(I11),ISNUMBER(G11)),IF(I11&gt;0,G11/I11,""),"")</f>
        <v/>
      </c>
      <c r="K11" s="25">
        <f>IF(COUNTA(A11:H11)=0,"",IF(OR(A11="",B11="",C11="",D11="",E11="",F11="",G11="",H11=""),"HATA: eksik bilgi",IF(COUNTIF(OdaListesi,A11)=0,"HATA: geçersiz oda no",IF(OR(NOT(ISNUMBER(D11)),NOT(ISNUMBER(E11))),"HATA: tarih geçersiz",IF(E11&lt;=D11,"HATA: çıkış girişten sonra olmalı",IF(OR(NOT(ISNUMBER(C11)),C11&lt;1,C11&gt;MaxKisi,C11&lt;&gt;INT(C11)),"HATA: kişi sayısı geçersiz",IF(OR(NOT(ISNUMBER(G11)),G11&lt;0),"HATA: tutar geçersiz",IF(B11&lt;&gt;TRIM(B11),"HATA: isimde baştaki/sondaki boşluk",IF(COUNTIF(KaynakAralik,H11)=0,"HATA: kaynak listede yok",IF(AND(F11&lt;&gt;"Bekleniyor",F11&lt;&gt;"Geldi",F11&lt;&gt;"İptal"),"HATA: giriş durumu geçersiz",IF(AND(F11&lt;&gt;"İptal",COUNTIFS($A$6:$A$1005,A11,$D$6:$D$1005,"&lt;"&amp;E11,$E$6:$E$1005,"&gt;"&amp;D11,$F$6:$F$1005,"&lt;&gt;İptal")&gt;1),"HATA: oda bu tarihlerde çakışıyor",IF(AND(F11="Bekleniyor",D11&lt;RaporTarihi),"HATA: giriş günü geçti, Geldi veya İptal yapın","OK"))))))))))))</f>
        <v/>
      </c>
      <c r="L11" s="25">
        <f>IF(AND(ISNUMBER(A11),F11&lt;&gt;"İptal",ISNUMBER(D11),ISNUMBER(E11),D11&lt;=RaporTarihi,E11&gt;RaporTarihi),A11,"")</f>
        <v/>
      </c>
    </row>
    <row r="12">
      <c r="A12" s="22" t="n">
        <v>13</v>
      </c>
      <c r="B12" s="22" t="inlineStr">
        <is>
          <t>ZAKARIA EL KHATABI</t>
        </is>
      </c>
      <c r="C12" s="22" t="n">
        <v>3</v>
      </c>
      <c r="D12" s="23" t="n">
        <v>46290</v>
      </c>
      <c r="E12" s="23" t="n">
        <v>46296</v>
      </c>
      <c r="F12" s="22" t="inlineStr">
        <is>
          <t>Geldi</t>
        </is>
      </c>
      <c r="G12" s="24" t="n">
        <v>30600</v>
      </c>
      <c r="H12" s="22" t="inlineStr">
        <is>
          <t>MÜNFERİT</t>
        </is>
      </c>
      <c r="I12" s="25">
        <f>IF(AND(ISNUMBER(D12),ISNUMBER(E12)),E12-D12,"")</f>
        <v/>
      </c>
      <c r="J12" s="26">
        <f>IF(AND(ISNUMBER(I12),ISNUMBER(G12)),IF(I12&gt;0,G12/I12,""),"")</f>
        <v/>
      </c>
      <c r="K12" s="25">
        <f>IF(COUNTA(A12:H12)=0,"",IF(OR(A12="",B12="",C12="",D12="",E12="",F12="",G12="",H12=""),"HATA: eksik bilgi",IF(COUNTIF(OdaListesi,A12)=0,"HATA: geçersiz oda no",IF(OR(NOT(ISNUMBER(D12)),NOT(ISNUMBER(E12))),"HATA: tarih geçersiz",IF(E12&lt;=D12,"HATA: çıkış girişten sonra olmalı",IF(OR(NOT(ISNUMBER(C12)),C12&lt;1,C12&gt;MaxKisi,C12&lt;&gt;INT(C12)),"HATA: kişi sayısı geçersiz",IF(OR(NOT(ISNUMBER(G12)),G12&lt;0),"HATA: tutar geçersiz",IF(B12&lt;&gt;TRIM(B12),"HATA: isimde baştaki/sondaki boşluk",IF(COUNTIF(KaynakAralik,H12)=0,"HATA: kaynak listede yok",IF(AND(F12&lt;&gt;"Bekleniyor",F12&lt;&gt;"Geldi",F12&lt;&gt;"İptal"),"HATA: giriş durumu geçersiz",IF(AND(F12&lt;&gt;"İptal",COUNTIFS($A$6:$A$1005,A12,$D$6:$D$1005,"&lt;"&amp;E12,$E$6:$E$1005,"&gt;"&amp;D12,$F$6:$F$1005,"&lt;&gt;İptal")&gt;1),"HATA: oda bu tarihlerde çakışıyor",IF(AND(F12="Bekleniyor",D12&lt;RaporTarihi),"HATA: giriş günü geçti, Geldi veya İptal yapın","OK"))))))))))))</f>
        <v/>
      </c>
      <c r="L12" s="25">
        <f>IF(AND(ISNUMBER(A12),F12&lt;&gt;"İptal",ISNUMBER(D12),ISNUMBER(E12),D12&lt;=RaporTarihi,E12&gt;RaporTarihi),A12,"")</f>
        <v/>
      </c>
    </row>
    <row r="13">
      <c r="A13" s="22" t="n">
        <v>16</v>
      </c>
      <c r="B13" s="22" t="inlineStr">
        <is>
          <t>SALİH ARABAYAPAN</t>
        </is>
      </c>
      <c r="C13" s="22" t="n">
        <v>5</v>
      </c>
      <c r="D13" s="23" t="n">
        <v>46292</v>
      </c>
      <c r="E13" s="23" t="n">
        <v>46299</v>
      </c>
      <c r="F13" s="22" t="inlineStr">
        <is>
          <t>Geldi</t>
        </is>
      </c>
      <c r="G13" s="24" t="n">
        <v>37999.99</v>
      </c>
      <c r="H13" s="22" t="inlineStr">
        <is>
          <t>MÜNFERİT</t>
        </is>
      </c>
      <c r="I13" s="25">
        <f>IF(AND(ISNUMBER(D13),ISNUMBER(E13)),E13-D13,"")</f>
        <v/>
      </c>
      <c r="J13" s="26">
        <f>IF(AND(ISNUMBER(I13),ISNUMBER(G13)),IF(I13&gt;0,G13/I13,""),"")</f>
        <v/>
      </c>
      <c r="K13" s="25">
        <f>IF(COUNTA(A13:H13)=0,"",IF(OR(A13="",B13="",C13="",D13="",E13="",F13="",G13="",H13=""),"HATA: eksik bilgi",IF(COUNTIF(OdaListesi,A13)=0,"HATA: geçersiz oda no",IF(OR(NOT(ISNUMBER(D13)),NOT(ISNUMBER(E13))),"HATA: tarih geçersiz",IF(E13&lt;=D13,"HATA: çıkış girişten sonra olmalı",IF(OR(NOT(ISNUMBER(C13)),C13&lt;1,C13&gt;MaxKisi,C13&lt;&gt;INT(C13)),"HATA: kişi sayısı geçersiz",IF(OR(NOT(ISNUMBER(G13)),G13&lt;0),"HATA: tutar geçersiz",IF(B13&lt;&gt;TRIM(B13),"HATA: isimde baştaki/sondaki boşluk",IF(COUNTIF(KaynakAralik,H13)=0,"HATA: kaynak listede yok",IF(AND(F13&lt;&gt;"Bekleniyor",F13&lt;&gt;"Geldi",F13&lt;&gt;"İptal"),"HATA: giriş durumu geçersiz",IF(AND(F13&lt;&gt;"İptal",COUNTIFS($A$6:$A$1005,A13,$D$6:$D$1005,"&lt;"&amp;E13,$E$6:$E$1005,"&gt;"&amp;D13,$F$6:$F$1005,"&lt;&gt;İptal")&gt;1),"HATA: oda bu tarihlerde çakışıyor",IF(AND(F13="Bekleniyor",D13&lt;RaporTarihi),"HATA: giriş günü geçti, Geldi veya İptal yapın","OK"))))))))))))</f>
        <v/>
      </c>
      <c r="L13" s="25">
        <f>IF(AND(ISNUMBER(A13),F13&lt;&gt;"İptal",ISNUMBER(D13),ISNUMBER(E13),D13&lt;=RaporTarihi,E13&gt;RaporTarihi),A13,"")</f>
        <v/>
      </c>
    </row>
    <row r="14">
      <c r="A14" s="22" t="n">
        <v>31</v>
      </c>
      <c r="B14" s="22" t="inlineStr">
        <is>
          <t>MEHMET EMIN DINC</t>
        </is>
      </c>
      <c r="C14" s="22" t="n">
        <v>4</v>
      </c>
      <c r="D14" s="23" t="n">
        <v>46291</v>
      </c>
      <c r="E14" s="23" t="n">
        <v>46298</v>
      </c>
      <c r="F14" s="22" t="inlineStr">
        <is>
          <t>Geldi</t>
        </is>
      </c>
      <c r="G14" s="24" t="n">
        <v>37087</v>
      </c>
      <c r="H14" s="22" t="inlineStr">
        <is>
          <t>ODAMAX</t>
        </is>
      </c>
      <c r="I14" s="25">
        <f>IF(AND(ISNUMBER(D14),ISNUMBER(E14)),E14-D14,"")</f>
        <v/>
      </c>
      <c r="J14" s="26">
        <f>IF(AND(ISNUMBER(I14),ISNUMBER(G14)),IF(I14&gt;0,G14/I14,""),"")</f>
        <v/>
      </c>
      <c r="K14" s="25">
        <f>IF(COUNTA(A14:H14)=0,"",IF(OR(A14="",B14="",C14="",D14="",E14="",F14="",G14="",H14=""),"HATA: eksik bilgi",IF(COUNTIF(OdaListesi,A14)=0,"HATA: geçersiz oda no",IF(OR(NOT(ISNUMBER(D14)),NOT(ISNUMBER(E14))),"HATA: tarih geçersiz",IF(E14&lt;=D14,"HATA: çıkış girişten sonra olmalı",IF(OR(NOT(ISNUMBER(C14)),C14&lt;1,C14&gt;MaxKisi,C14&lt;&gt;INT(C14)),"HATA: kişi sayısı geçersiz",IF(OR(NOT(ISNUMBER(G14)),G14&lt;0),"HATA: tutar geçersiz",IF(B14&lt;&gt;TRIM(B14),"HATA: isimde baştaki/sondaki boşluk",IF(COUNTIF(KaynakAralik,H14)=0,"HATA: kaynak listede yok",IF(AND(F14&lt;&gt;"Bekleniyor",F14&lt;&gt;"Geldi",F14&lt;&gt;"İptal"),"HATA: giriş durumu geçersiz",IF(AND(F14&lt;&gt;"İptal",COUNTIFS($A$6:$A$1005,A14,$D$6:$D$1005,"&lt;"&amp;E14,$E$6:$E$1005,"&gt;"&amp;D14,$F$6:$F$1005,"&lt;&gt;İptal")&gt;1),"HATA: oda bu tarihlerde çakışıyor",IF(AND(F14="Bekleniyor",D14&lt;RaporTarihi),"HATA: giriş günü geçti, Geldi veya İptal yapın","OK"))))))))))))</f>
        <v/>
      </c>
      <c r="L14" s="25">
        <f>IF(AND(ISNUMBER(A14),F14&lt;&gt;"İptal",ISNUMBER(D14),ISNUMBER(E14),D14&lt;=RaporTarihi,E14&gt;RaporTarihi),A14,"")</f>
        <v/>
      </c>
    </row>
    <row r="15">
      <c r="A15" s="22" t="n">
        <v>8</v>
      </c>
      <c r="B15" s="22" t="inlineStr">
        <is>
          <t>KÜBRA TOPRAK KOLCU</t>
        </is>
      </c>
      <c r="C15" s="22" t="n">
        <v>4</v>
      </c>
      <c r="D15" s="23" t="n">
        <v>46295</v>
      </c>
      <c r="E15" s="23" t="n">
        <v>46296</v>
      </c>
      <c r="F15" s="22" t="inlineStr">
        <is>
          <t>Geldi</t>
        </is>
      </c>
      <c r="G15" s="24" t="n">
        <v>4337</v>
      </c>
      <c r="H15" s="22" t="inlineStr">
        <is>
          <t>JOLLYTUR</t>
        </is>
      </c>
      <c r="I15" s="25">
        <f>IF(AND(ISNUMBER(D15),ISNUMBER(E15)),E15-D15,"")</f>
        <v/>
      </c>
      <c r="J15" s="26">
        <f>IF(AND(ISNUMBER(I15),ISNUMBER(G15)),IF(I15&gt;0,G15/I15,""),"")</f>
        <v/>
      </c>
      <c r="K15" s="25">
        <f>IF(COUNTA(A15:H15)=0,"",IF(OR(A15="",B15="",C15="",D15="",E15="",F15="",G15="",H15=""),"HATA: eksik bilgi",IF(COUNTIF(OdaListesi,A15)=0,"HATA: geçersiz oda no",IF(OR(NOT(ISNUMBER(D15)),NOT(ISNUMBER(E15))),"HATA: tarih geçersiz",IF(E15&lt;=D15,"HATA: çıkış girişten sonra olmalı",IF(OR(NOT(ISNUMBER(C15)),C15&lt;1,C15&gt;MaxKisi,C15&lt;&gt;INT(C15)),"HATA: kişi sayısı geçersiz",IF(OR(NOT(ISNUMBER(G15)),G15&lt;0),"HATA: tutar geçersiz",IF(B15&lt;&gt;TRIM(B15),"HATA: isimde baştaki/sondaki boşluk",IF(COUNTIF(KaynakAralik,H15)=0,"HATA: kaynak listede yok",IF(AND(F15&lt;&gt;"Bekleniyor",F15&lt;&gt;"Geldi",F15&lt;&gt;"İptal"),"HATA: giriş durumu geçersiz",IF(AND(F15&lt;&gt;"İptal",COUNTIFS($A$6:$A$1005,A15,$D$6:$D$1005,"&lt;"&amp;E15,$E$6:$E$1005,"&gt;"&amp;D15,$F$6:$F$1005,"&lt;&gt;İptal")&gt;1),"HATA: oda bu tarihlerde çakışıyor",IF(AND(F15="Bekleniyor",D15&lt;RaporTarihi),"HATA: giriş günü geçti, Geldi veya İptal yapın","OK"))))))))))))</f>
        <v/>
      </c>
      <c r="L15" s="25">
        <f>IF(AND(ISNUMBER(A15),F15&lt;&gt;"İptal",ISNUMBER(D15),ISNUMBER(E15),D15&lt;=RaporTarihi,E15&gt;RaporTarihi),A15,"")</f>
        <v/>
      </c>
    </row>
    <row r="16">
      <c r="A16" s="22" t="n">
        <v>14</v>
      </c>
      <c r="B16" s="22" t="inlineStr">
        <is>
          <t>BATI BAKKALOĞLU</t>
        </is>
      </c>
      <c r="C16" s="22" t="n">
        <v>5</v>
      </c>
      <c r="D16" s="23" t="n">
        <v>46295</v>
      </c>
      <c r="E16" s="23" t="n">
        <v>46299</v>
      </c>
      <c r="F16" s="22" t="inlineStr">
        <is>
          <t>Geldi</t>
        </is>
      </c>
      <c r="G16" s="24" t="n">
        <v>20000</v>
      </c>
      <c r="H16" s="22" t="inlineStr">
        <is>
          <t>MÜNFERİT</t>
        </is>
      </c>
      <c r="I16" s="25">
        <f>IF(AND(ISNUMBER(D16),ISNUMBER(E16)),E16-D16,"")</f>
        <v/>
      </c>
      <c r="J16" s="26">
        <f>IF(AND(ISNUMBER(I16),ISNUMBER(G16)),IF(I16&gt;0,G16/I16,""),"")</f>
        <v/>
      </c>
      <c r="K16" s="25">
        <f>IF(COUNTA(A16:H16)=0,"",IF(OR(A16="",B16="",C16="",D16="",E16="",F16="",G16="",H16=""),"HATA: eksik bilgi",IF(COUNTIF(OdaListesi,A16)=0,"HATA: geçersiz oda no",IF(OR(NOT(ISNUMBER(D16)),NOT(ISNUMBER(E16))),"HATA: tarih geçersiz",IF(E16&lt;=D16,"HATA: çıkış girişten sonra olmalı",IF(OR(NOT(ISNUMBER(C16)),C16&lt;1,C16&gt;MaxKisi,C16&lt;&gt;INT(C16)),"HATA: kişi sayısı geçersiz",IF(OR(NOT(ISNUMBER(G16)),G16&lt;0),"HATA: tutar geçersiz",IF(B16&lt;&gt;TRIM(B16),"HATA: isimde baştaki/sondaki boşluk",IF(COUNTIF(KaynakAralik,H16)=0,"HATA: kaynak listede yok",IF(AND(F16&lt;&gt;"Bekleniyor",F16&lt;&gt;"Geldi",F16&lt;&gt;"İptal"),"HATA: giriş durumu geçersiz",IF(AND(F16&lt;&gt;"İptal",COUNTIFS($A$6:$A$1005,A16,$D$6:$D$1005,"&lt;"&amp;E16,$E$6:$E$1005,"&gt;"&amp;D16,$F$6:$F$1005,"&lt;&gt;İptal")&gt;1),"HATA: oda bu tarihlerde çakışıyor",IF(AND(F16="Bekleniyor",D16&lt;RaporTarihi),"HATA: giriş günü geçti, Geldi veya İptal yapın","OK"))))))))))))</f>
        <v/>
      </c>
      <c r="L16" s="25">
        <f>IF(AND(ISNUMBER(A16),F16&lt;&gt;"İptal",ISNUMBER(D16),ISNUMBER(E16),D16&lt;=RaporTarihi,E16&gt;RaporTarihi),A16,"")</f>
        <v/>
      </c>
    </row>
    <row r="17">
      <c r="A17" s="22" t="n">
        <v>25</v>
      </c>
      <c r="B17" s="22" t="inlineStr">
        <is>
          <t>MEHMET YENER</t>
        </is>
      </c>
      <c r="C17" s="22" t="n">
        <v>4</v>
      </c>
      <c r="D17" s="23" t="n">
        <v>46295</v>
      </c>
      <c r="E17" s="23" t="n">
        <v>46299</v>
      </c>
      <c r="F17" s="22" t="inlineStr">
        <is>
          <t>Bekleniyor</t>
        </is>
      </c>
      <c r="G17" s="24" t="n">
        <v>2000</v>
      </c>
      <c r="H17" s="22" t="inlineStr">
        <is>
          <t>COMP-MARATON</t>
        </is>
      </c>
      <c r="I17" s="25">
        <f>IF(AND(ISNUMBER(D17),ISNUMBER(E17)),E17-D17,"")</f>
        <v/>
      </c>
      <c r="J17" s="26">
        <f>IF(AND(ISNUMBER(I17),ISNUMBER(G17)),IF(I17&gt;0,G17/I17,""),"")</f>
        <v/>
      </c>
      <c r="K17" s="25">
        <f>IF(COUNTA(A17:H17)=0,"",IF(OR(A17="",B17="",C17="",D17="",E17="",F17="",G17="",H17=""),"HATA: eksik bilgi",IF(COUNTIF(OdaListesi,A17)=0,"HATA: geçersiz oda no",IF(OR(NOT(ISNUMBER(D17)),NOT(ISNUMBER(E17))),"HATA: tarih geçersiz",IF(E17&lt;=D17,"HATA: çıkış girişten sonra olmalı",IF(OR(NOT(ISNUMBER(C17)),C17&lt;1,C17&gt;MaxKisi,C17&lt;&gt;INT(C17)),"HATA: kişi sayısı geçersiz",IF(OR(NOT(ISNUMBER(G17)),G17&lt;0),"HATA: tutar geçersiz",IF(B17&lt;&gt;TRIM(B17),"HATA: isimde baştaki/sondaki boşluk",IF(COUNTIF(KaynakAralik,H17)=0,"HATA: kaynak listede yok",IF(AND(F17&lt;&gt;"Bekleniyor",F17&lt;&gt;"Geldi",F17&lt;&gt;"İptal"),"HATA: giriş durumu geçersiz",IF(AND(F17&lt;&gt;"İptal",COUNTIFS($A$6:$A$1005,A17,$D$6:$D$1005,"&lt;"&amp;E17,$E$6:$E$1005,"&gt;"&amp;D17,$F$6:$F$1005,"&lt;&gt;İptal")&gt;1),"HATA: oda bu tarihlerde çakışıyor",IF(AND(F17="Bekleniyor",D17&lt;RaporTarihi),"HATA: giriş günü geçti, Geldi veya İptal yapın","OK"))))))))))))</f>
        <v/>
      </c>
      <c r="L17" s="25">
        <f>IF(AND(ISNUMBER(A17),F17&lt;&gt;"İptal",ISNUMBER(D17),ISNUMBER(E17),D17&lt;=RaporTarihi,E17&gt;RaporTarihi),A17,"")</f>
        <v/>
      </c>
    </row>
    <row r="18">
      <c r="A18" s="22" t="n">
        <v>28</v>
      </c>
      <c r="B18" s="22" t="inlineStr">
        <is>
          <t>ÇERKEZ BİLİR</t>
        </is>
      </c>
      <c r="C18" s="22" t="n">
        <v>2</v>
      </c>
      <c r="D18" s="23" t="n">
        <v>46295</v>
      </c>
      <c r="E18" s="23" t="n">
        <v>46299</v>
      </c>
      <c r="F18" s="22" t="inlineStr">
        <is>
          <t>Bekleniyor</t>
        </is>
      </c>
      <c r="G18" s="24" t="n">
        <v>2000</v>
      </c>
      <c r="H18" s="22" t="inlineStr">
        <is>
          <t>COMP-MARATON</t>
        </is>
      </c>
      <c r="I18" s="25">
        <f>IF(AND(ISNUMBER(D18),ISNUMBER(E18)),E18-D18,"")</f>
        <v/>
      </c>
      <c r="J18" s="26">
        <f>IF(AND(ISNUMBER(I18),ISNUMBER(G18)),IF(I18&gt;0,G18/I18,""),"")</f>
        <v/>
      </c>
      <c r="K18" s="25">
        <f>IF(COUNTA(A18:H18)=0,"",IF(OR(A18="",B18="",C18="",D18="",E18="",F18="",G18="",H18=""),"HATA: eksik bilgi",IF(COUNTIF(OdaListesi,A18)=0,"HATA: geçersiz oda no",IF(OR(NOT(ISNUMBER(D18)),NOT(ISNUMBER(E18))),"HATA: tarih geçersiz",IF(E18&lt;=D18,"HATA: çıkış girişten sonra olmalı",IF(OR(NOT(ISNUMBER(C18)),C18&lt;1,C18&gt;MaxKisi,C18&lt;&gt;INT(C18)),"HATA: kişi sayısı geçersiz",IF(OR(NOT(ISNUMBER(G18)),G18&lt;0),"HATA: tutar geçersiz",IF(B18&lt;&gt;TRIM(B18),"HATA: isimde baştaki/sondaki boşluk",IF(COUNTIF(KaynakAralik,H18)=0,"HATA: kaynak listede yok",IF(AND(F18&lt;&gt;"Bekleniyor",F18&lt;&gt;"Geldi",F18&lt;&gt;"İptal"),"HATA: giriş durumu geçersiz",IF(AND(F18&lt;&gt;"İptal",COUNTIFS($A$6:$A$1005,A18,$D$6:$D$1005,"&lt;"&amp;E18,$E$6:$E$1005,"&gt;"&amp;D18,$F$6:$F$1005,"&lt;&gt;İptal")&gt;1),"HATA: oda bu tarihlerde çakışıyor",IF(AND(F18="Bekleniyor",D18&lt;RaporTarihi),"HATA: giriş günü geçti, Geldi veya İptal yapın","OK"))))))))))))</f>
        <v/>
      </c>
      <c r="L18" s="25">
        <f>IF(AND(ISNUMBER(A18),F18&lt;&gt;"İptal",ISNUMBER(D18),ISNUMBER(E18),D18&lt;=RaporTarihi,E18&gt;RaporTarihi),A18,"")</f>
        <v/>
      </c>
    </row>
    <row r="19">
      <c r="A19" s="22" t="n">
        <v>6</v>
      </c>
      <c r="B19" s="22" t="inlineStr">
        <is>
          <t>ÖRNEK GİDEN MİSAFİR 06</t>
        </is>
      </c>
      <c r="C19" s="22" t="n">
        <v>3</v>
      </c>
      <c r="D19" s="23" t="n">
        <v>46292</v>
      </c>
      <c r="E19" s="23" t="n">
        <v>46295</v>
      </c>
      <c r="F19" s="22" t="inlineStr">
        <is>
          <t>Geldi</t>
        </is>
      </c>
      <c r="G19" s="24" t="n">
        <v>0</v>
      </c>
      <c r="H19" s="22" t="inlineStr">
        <is>
          <t>MÜNFERİT</t>
        </is>
      </c>
      <c r="I19" s="25">
        <f>IF(AND(ISNUMBER(D19),ISNUMBER(E19)),E19-D19,"")</f>
        <v/>
      </c>
      <c r="J19" s="26">
        <f>IF(AND(ISNUMBER(I19),ISNUMBER(G19)),IF(I19&gt;0,G19/I19,""),"")</f>
        <v/>
      </c>
      <c r="K19" s="25">
        <f>IF(COUNTA(A19:H19)=0,"",IF(OR(A19="",B19="",C19="",D19="",E19="",F19="",G19="",H19=""),"HATA: eksik bilgi",IF(COUNTIF(OdaListesi,A19)=0,"HATA: geçersiz oda no",IF(OR(NOT(ISNUMBER(D19)),NOT(ISNUMBER(E19))),"HATA: tarih geçersiz",IF(E19&lt;=D19,"HATA: çıkış girişten sonra olmalı",IF(OR(NOT(ISNUMBER(C19)),C19&lt;1,C19&gt;MaxKisi,C19&lt;&gt;INT(C19)),"HATA: kişi sayısı geçersiz",IF(OR(NOT(ISNUMBER(G19)),G19&lt;0),"HATA: tutar geçersiz",IF(B19&lt;&gt;TRIM(B19),"HATA: isimde baştaki/sondaki boşluk",IF(COUNTIF(KaynakAralik,H19)=0,"HATA: kaynak listede yok",IF(AND(F19&lt;&gt;"Bekleniyor",F19&lt;&gt;"Geldi",F19&lt;&gt;"İptal"),"HATA: giriş durumu geçersiz",IF(AND(F19&lt;&gt;"İptal",COUNTIFS($A$6:$A$1005,A19,$D$6:$D$1005,"&lt;"&amp;E19,$E$6:$E$1005,"&gt;"&amp;D19,$F$6:$F$1005,"&lt;&gt;İptal")&gt;1),"HATA: oda bu tarihlerde çakışıyor",IF(AND(F19="Bekleniyor",D19&lt;RaporTarihi),"HATA: giriş günü geçti, Geldi veya İptal yapın","OK"))))))))))))</f>
        <v/>
      </c>
      <c r="L19" s="25">
        <f>IF(AND(ISNUMBER(A19),F19&lt;&gt;"İptal",ISNUMBER(D19),ISNUMBER(E19),D19&lt;=RaporTarihi,E19&gt;RaporTarihi),A19,"")</f>
        <v/>
      </c>
    </row>
    <row r="20">
      <c r="A20" s="22" t="n">
        <v>7</v>
      </c>
      <c r="B20" s="22" t="inlineStr">
        <is>
          <t>ÖRNEK GİDEN MİSAFİR 07</t>
        </is>
      </c>
      <c r="C20" s="22" t="n">
        <v>3</v>
      </c>
      <c r="D20" s="23" t="n">
        <v>46292</v>
      </c>
      <c r="E20" s="23" t="n">
        <v>46295</v>
      </c>
      <c r="F20" s="22" t="inlineStr">
        <is>
          <t>Geldi</t>
        </is>
      </c>
      <c r="G20" s="24" t="n">
        <v>0</v>
      </c>
      <c r="H20" s="22" t="inlineStr">
        <is>
          <t>MÜNFERİT</t>
        </is>
      </c>
      <c r="I20" s="25">
        <f>IF(AND(ISNUMBER(D20),ISNUMBER(E20)),E20-D20,"")</f>
        <v/>
      </c>
      <c r="J20" s="26">
        <f>IF(AND(ISNUMBER(I20),ISNUMBER(G20)),IF(I20&gt;0,G20/I20,""),"")</f>
        <v/>
      </c>
      <c r="K20" s="25">
        <f>IF(COUNTA(A20:H20)=0,"",IF(OR(A20="",B20="",C20="",D20="",E20="",F20="",G20="",H20=""),"HATA: eksik bilgi",IF(COUNTIF(OdaListesi,A20)=0,"HATA: geçersiz oda no",IF(OR(NOT(ISNUMBER(D20)),NOT(ISNUMBER(E20))),"HATA: tarih geçersiz",IF(E20&lt;=D20,"HATA: çıkış girişten sonra olmalı",IF(OR(NOT(ISNUMBER(C20)),C20&lt;1,C20&gt;MaxKisi,C20&lt;&gt;INT(C20)),"HATA: kişi sayısı geçersiz",IF(OR(NOT(ISNUMBER(G20)),G20&lt;0),"HATA: tutar geçersiz",IF(B20&lt;&gt;TRIM(B20),"HATA: isimde baştaki/sondaki boşluk",IF(COUNTIF(KaynakAralik,H20)=0,"HATA: kaynak listede yok",IF(AND(F20&lt;&gt;"Bekleniyor",F20&lt;&gt;"Geldi",F20&lt;&gt;"İptal"),"HATA: giriş durumu geçersiz",IF(AND(F20&lt;&gt;"İptal",COUNTIFS($A$6:$A$1005,A20,$D$6:$D$1005,"&lt;"&amp;E20,$E$6:$E$1005,"&gt;"&amp;D20,$F$6:$F$1005,"&lt;&gt;İptal")&gt;1),"HATA: oda bu tarihlerde çakışıyor",IF(AND(F20="Bekleniyor",D20&lt;RaporTarihi),"HATA: giriş günü geçti, Geldi veya İptal yapın","OK"))))))))))))</f>
        <v/>
      </c>
      <c r="L20" s="25">
        <f>IF(AND(ISNUMBER(A20),F20&lt;&gt;"İptal",ISNUMBER(D20),ISNUMBER(E20),D20&lt;=RaporTarihi,E20&gt;RaporTarihi),A20,"")</f>
        <v/>
      </c>
    </row>
    <row r="21">
      <c r="A21" s="22" t="n">
        <v>8</v>
      </c>
      <c r="B21" s="22" t="inlineStr">
        <is>
          <t>ÖRNEK GİDEN MİSAFİR 08</t>
        </is>
      </c>
      <c r="C21" s="22" t="n">
        <v>4</v>
      </c>
      <c r="D21" s="23" t="n">
        <v>46292</v>
      </c>
      <c r="E21" s="23" t="n">
        <v>46295</v>
      </c>
      <c r="F21" s="22" t="inlineStr">
        <is>
          <t>Geldi</t>
        </is>
      </c>
      <c r="G21" s="24" t="n">
        <v>0</v>
      </c>
      <c r="H21" s="22" t="inlineStr">
        <is>
          <t>MÜNFERİT</t>
        </is>
      </c>
      <c r="I21" s="25">
        <f>IF(AND(ISNUMBER(D21),ISNUMBER(E21)),E21-D21,"")</f>
        <v/>
      </c>
      <c r="J21" s="26">
        <f>IF(AND(ISNUMBER(I21),ISNUMBER(G21)),IF(I21&gt;0,G21/I21,""),"")</f>
        <v/>
      </c>
      <c r="K21" s="25">
        <f>IF(COUNTA(A21:H21)=0,"",IF(OR(A21="",B21="",C21="",D21="",E21="",F21="",G21="",H21=""),"HATA: eksik bilgi",IF(COUNTIF(OdaListesi,A21)=0,"HATA: geçersiz oda no",IF(OR(NOT(ISNUMBER(D21)),NOT(ISNUMBER(E21))),"HATA: tarih geçersiz",IF(E21&lt;=D21,"HATA: çıkış girişten sonra olmalı",IF(OR(NOT(ISNUMBER(C21)),C21&lt;1,C21&gt;MaxKisi,C21&lt;&gt;INT(C21)),"HATA: kişi sayısı geçersiz",IF(OR(NOT(ISNUMBER(G21)),G21&lt;0),"HATA: tutar geçersiz",IF(B21&lt;&gt;TRIM(B21),"HATA: isimde baştaki/sondaki boşluk",IF(COUNTIF(KaynakAralik,H21)=0,"HATA: kaynak listede yok",IF(AND(F21&lt;&gt;"Bekleniyor",F21&lt;&gt;"Geldi",F21&lt;&gt;"İptal"),"HATA: giriş durumu geçersiz",IF(AND(F21&lt;&gt;"İptal",COUNTIFS($A$6:$A$1005,A21,$D$6:$D$1005,"&lt;"&amp;E21,$E$6:$E$1005,"&gt;"&amp;D21,$F$6:$F$1005,"&lt;&gt;İptal")&gt;1),"HATA: oda bu tarihlerde çakışıyor",IF(AND(F21="Bekleniyor",D21&lt;RaporTarihi),"HATA: giriş günü geçti, Geldi veya İptal yapın","OK"))))))))))))</f>
        <v/>
      </c>
      <c r="L21" s="25">
        <f>IF(AND(ISNUMBER(A21),F21&lt;&gt;"İptal",ISNUMBER(D21),ISNUMBER(E21),D21&lt;=RaporTarihi,E21&gt;RaporTarihi),A21,"")</f>
        <v/>
      </c>
    </row>
    <row r="22">
      <c r="A22" s="22" t="n"/>
      <c r="B22" s="22" t="n"/>
      <c r="C22" s="22" t="n"/>
      <c r="D22" s="23" t="n"/>
      <c r="E22" s="23" t="n"/>
      <c r="F22" s="22" t="n"/>
      <c r="G22" s="24" t="n"/>
      <c r="H22" s="22" t="n"/>
      <c r="I22" s="25">
        <f>IF(AND(ISNUMBER(D22),ISNUMBER(E22)),E22-D22,"")</f>
        <v/>
      </c>
      <c r="J22" s="26">
        <f>IF(AND(ISNUMBER(I22),ISNUMBER(G22)),IF(I22&gt;0,G22/I22,""),"")</f>
        <v/>
      </c>
      <c r="K22" s="25">
        <f>IF(COUNTA(A22:H22)=0,"",IF(OR(A22="",B22="",C22="",D22="",E22="",F22="",G22="",H22=""),"HATA: eksik bilgi",IF(COUNTIF(OdaListesi,A22)=0,"HATA: geçersiz oda no",IF(OR(NOT(ISNUMBER(D22)),NOT(ISNUMBER(E22))),"HATA: tarih geçersiz",IF(E22&lt;=D22,"HATA: çıkış girişten sonra olmalı",IF(OR(NOT(ISNUMBER(C22)),C22&lt;1,C22&gt;MaxKisi,C22&lt;&gt;INT(C22)),"HATA: kişi sayısı geçersiz",IF(OR(NOT(ISNUMBER(G22)),G22&lt;0),"HATA: tutar geçersiz",IF(B22&lt;&gt;TRIM(B22),"HATA: isimde baştaki/sondaki boşluk",IF(COUNTIF(KaynakAralik,H22)=0,"HATA: kaynak listede yok",IF(AND(F22&lt;&gt;"Bekleniyor",F22&lt;&gt;"Geldi",F22&lt;&gt;"İptal"),"HATA: giriş durumu geçersiz",IF(AND(F22&lt;&gt;"İptal",COUNTIFS($A$6:$A$1005,A22,$D$6:$D$1005,"&lt;"&amp;E22,$E$6:$E$1005,"&gt;"&amp;D22,$F$6:$F$1005,"&lt;&gt;İptal")&gt;1),"HATA: oda bu tarihlerde çakışıyor",IF(AND(F22="Bekleniyor",D22&lt;RaporTarihi),"HATA: giriş günü geçti, Geldi veya İptal yapın","OK"))))))))))))</f>
        <v/>
      </c>
      <c r="L22" s="25">
        <f>IF(AND(ISNUMBER(A22),F22&lt;&gt;"İptal",ISNUMBER(D22),ISNUMBER(E22),D22&lt;=RaporTarihi,E22&gt;RaporTarihi),A22,"")</f>
        <v/>
      </c>
    </row>
    <row r="23">
      <c r="A23" s="22" t="n"/>
      <c r="B23" s="22" t="n"/>
      <c r="C23" s="22" t="n"/>
      <c r="D23" s="23" t="n"/>
      <c r="E23" s="23" t="n"/>
      <c r="F23" s="22" t="n"/>
      <c r="G23" s="24" t="n"/>
      <c r="H23" s="22" t="n"/>
      <c r="I23" s="25">
        <f>IF(AND(ISNUMBER(D23),ISNUMBER(E23)),E23-D23,"")</f>
        <v/>
      </c>
      <c r="J23" s="26">
        <f>IF(AND(ISNUMBER(I23),ISNUMBER(G23)),IF(I23&gt;0,G23/I23,""),"")</f>
        <v/>
      </c>
      <c r="K23" s="25">
        <f>IF(COUNTA(A23:H23)=0,"",IF(OR(A23="",B23="",C23="",D23="",E23="",F23="",G23="",H23=""),"HATA: eksik bilgi",IF(COUNTIF(OdaListesi,A23)=0,"HATA: geçersiz oda no",IF(OR(NOT(ISNUMBER(D23)),NOT(ISNUMBER(E23))),"HATA: tarih geçersiz",IF(E23&lt;=D23,"HATA: çıkış girişten sonra olmalı",IF(OR(NOT(ISNUMBER(C23)),C23&lt;1,C23&gt;MaxKisi,C23&lt;&gt;INT(C23)),"HATA: kişi sayısı geçersiz",IF(OR(NOT(ISNUMBER(G23)),G23&lt;0),"HATA: tutar geçersiz",IF(B23&lt;&gt;TRIM(B23),"HATA: isimde baştaki/sondaki boşluk",IF(COUNTIF(KaynakAralik,H23)=0,"HATA: kaynak listede yok",IF(AND(F23&lt;&gt;"Bekleniyor",F23&lt;&gt;"Geldi",F23&lt;&gt;"İptal"),"HATA: giriş durumu geçersiz",IF(AND(F23&lt;&gt;"İptal",COUNTIFS($A$6:$A$1005,A23,$D$6:$D$1005,"&lt;"&amp;E23,$E$6:$E$1005,"&gt;"&amp;D23,$F$6:$F$1005,"&lt;&gt;İptal")&gt;1),"HATA: oda bu tarihlerde çakışıyor",IF(AND(F23="Bekleniyor",D23&lt;RaporTarihi),"HATA: giriş günü geçti, Geldi veya İptal yapın","OK"))))))))))))</f>
        <v/>
      </c>
      <c r="L23" s="25">
        <f>IF(AND(ISNUMBER(A23),F23&lt;&gt;"İptal",ISNUMBER(D23),ISNUMBER(E23),D23&lt;=RaporTarihi,E23&gt;RaporTarihi),A23,"")</f>
        <v/>
      </c>
    </row>
    <row r="24">
      <c r="A24" s="22" t="n"/>
      <c r="B24" s="22" t="n"/>
      <c r="C24" s="22" t="n"/>
      <c r="D24" s="23" t="n"/>
      <c r="E24" s="23" t="n"/>
      <c r="F24" s="22" t="n"/>
      <c r="G24" s="24" t="n"/>
      <c r="H24" s="22" t="n"/>
      <c r="I24" s="25">
        <f>IF(AND(ISNUMBER(D24),ISNUMBER(E24)),E24-D24,"")</f>
        <v/>
      </c>
      <c r="J24" s="26">
        <f>IF(AND(ISNUMBER(I24),ISNUMBER(G24)),IF(I24&gt;0,G24/I24,""),"")</f>
        <v/>
      </c>
      <c r="K24" s="25">
        <f>IF(COUNTA(A24:H24)=0,"",IF(OR(A24="",B24="",C24="",D24="",E24="",F24="",G24="",H24=""),"HATA: eksik bilgi",IF(COUNTIF(OdaListesi,A24)=0,"HATA: geçersiz oda no",IF(OR(NOT(ISNUMBER(D24)),NOT(ISNUMBER(E24))),"HATA: tarih geçersiz",IF(E24&lt;=D24,"HATA: çıkış girişten sonra olmalı",IF(OR(NOT(ISNUMBER(C24)),C24&lt;1,C24&gt;MaxKisi,C24&lt;&gt;INT(C24)),"HATA: kişi sayısı geçersiz",IF(OR(NOT(ISNUMBER(G24)),G24&lt;0),"HATA: tutar geçersiz",IF(B24&lt;&gt;TRIM(B24),"HATA: isimde baştaki/sondaki boşluk",IF(COUNTIF(KaynakAralik,H24)=0,"HATA: kaynak listede yok",IF(AND(F24&lt;&gt;"Bekleniyor",F24&lt;&gt;"Geldi",F24&lt;&gt;"İptal"),"HATA: giriş durumu geçersiz",IF(AND(F24&lt;&gt;"İptal",COUNTIFS($A$6:$A$1005,A24,$D$6:$D$1005,"&lt;"&amp;E24,$E$6:$E$1005,"&gt;"&amp;D24,$F$6:$F$1005,"&lt;&gt;İptal")&gt;1),"HATA: oda bu tarihlerde çakışıyor",IF(AND(F24="Bekleniyor",D24&lt;RaporTarihi),"HATA: giriş günü geçti, Geldi veya İptal yapın","OK"))))))))))))</f>
        <v/>
      </c>
      <c r="L24" s="25">
        <f>IF(AND(ISNUMBER(A24),F24&lt;&gt;"İptal",ISNUMBER(D24),ISNUMBER(E24),D24&lt;=RaporTarihi,E24&gt;RaporTarihi),A24,"")</f>
        <v/>
      </c>
    </row>
    <row r="25">
      <c r="A25" s="22" t="n"/>
      <c r="B25" s="22" t="n"/>
      <c r="C25" s="22" t="n"/>
      <c r="D25" s="23" t="n"/>
      <c r="E25" s="23" t="n"/>
      <c r="F25" s="22" t="n"/>
      <c r="G25" s="24" t="n"/>
      <c r="H25" s="22" t="n"/>
      <c r="I25" s="25">
        <f>IF(AND(ISNUMBER(D25),ISNUMBER(E25)),E25-D25,"")</f>
        <v/>
      </c>
      <c r="J25" s="26">
        <f>IF(AND(ISNUMBER(I25),ISNUMBER(G25)),IF(I25&gt;0,G25/I25,""),"")</f>
        <v/>
      </c>
      <c r="K25" s="25">
        <f>IF(COUNTA(A25:H25)=0,"",IF(OR(A25="",B25="",C25="",D25="",E25="",F25="",G25="",H25=""),"HATA: eksik bilgi",IF(COUNTIF(OdaListesi,A25)=0,"HATA: geçersiz oda no",IF(OR(NOT(ISNUMBER(D25)),NOT(ISNUMBER(E25))),"HATA: tarih geçersiz",IF(E25&lt;=D25,"HATA: çıkış girişten sonra olmalı",IF(OR(NOT(ISNUMBER(C25)),C25&lt;1,C25&gt;MaxKisi,C25&lt;&gt;INT(C25)),"HATA: kişi sayısı geçersiz",IF(OR(NOT(ISNUMBER(G25)),G25&lt;0),"HATA: tutar geçersiz",IF(B25&lt;&gt;TRIM(B25),"HATA: isimde baştaki/sondaki boşluk",IF(COUNTIF(KaynakAralik,H25)=0,"HATA: kaynak listede yok",IF(AND(F25&lt;&gt;"Bekleniyor",F25&lt;&gt;"Geldi",F25&lt;&gt;"İptal"),"HATA: giriş durumu geçersiz",IF(AND(F25&lt;&gt;"İptal",COUNTIFS($A$6:$A$1005,A25,$D$6:$D$1005,"&lt;"&amp;E25,$E$6:$E$1005,"&gt;"&amp;D25,$F$6:$F$1005,"&lt;&gt;İptal")&gt;1),"HATA: oda bu tarihlerde çakışıyor",IF(AND(F25="Bekleniyor",D25&lt;RaporTarihi),"HATA: giriş günü geçti, Geldi veya İptal yapın","OK"))))))))))))</f>
        <v/>
      </c>
      <c r="L25" s="25">
        <f>IF(AND(ISNUMBER(A25),F25&lt;&gt;"İptal",ISNUMBER(D25),ISNUMBER(E25),D25&lt;=RaporTarihi,E25&gt;RaporTarihi),A25,"")</f>
        <v/>
      </c>
    </row>
    <row r="26">
      <c r="A26" s="22" t="n"/>
      <c r="B26" s="22" t="n"/>
      <c r="C26" s="22" t="n"/>
      <c r="D26" s="23" t="n"/>
      <c r="E26" s="23" t="n"/>
      <c r="F26" s="22" t="n"/>
      <c r="G26" s="24" t="n"/>
      <c r="H26" s="22" t="n"/>
      <c r="I26" s="25">
        <f>IF(AND(ISNUMBER(D26),ISNUMBER(E26)),E26-D26,"")</f>
        <v/>
      </c>
      <c r="J26" s="26">
        <f>IF(AND(ISNUMBER(I26),ISNUMBER(G26)),IF(I26&gt;0,G26/I26,""),"")</f>
        <v/>
      </c>
      <c r="K26" s="25">
        <f>IF(COUNTA(A26:H26)=0,"",IF(OR(A26="",B26="",C26="",D26="",E26="",F26="",G26="",H26=""),"HATA: eksik bilgi",IF(COUNTIF(OdaListesi,A26)=0,"HATA: geçersiz oda no",IF(OR(NOT(ISNUMBER(D26)),NOT(ISNUMBER(E26))),"HATA: tarih geçersiz",IF(E26&lt;=D26,"HATA: çıkış girişten sonra olmalı",IF(OR(NOT(ISNUMBER(C26)),C26&lt;1,C26&gt;MaxKisi,C26&lt;&gt;INT(C26)),"HATA: kişi sayısı geçersiz",IF(OR(NOT(ISNUMBER(G26)),G26&lt;0),"HATA: tutar geçersiz",IF(B26&lt;&gt;TRIM(B26),"HATA: isimde baştaki/sondaki boşluk",IF(COUNTIF(KaynakAralik,H26)=0,"HATA: kaynak listede yok",IF(AND(F26&lt;&gt;"Bekleniyor",F26&lt;&gt;"Geldi",F26&lt;&gt;"İptal"),"HATA: giriş durumu geçersiz",IF(AND(F26&lt;&gt;"İptal",COUNTIFS($A$6:$A$1005,A26,$D$6:$D$1005,"&lt;"&amp;E26,$E$6:$E$1005,"&gt;"&amp;D26,$F$6:$F$1005,"&lt;&gt;İptal")&gt;1),"HATA: oda bu tarihlerde çakışıyor",IF(AND(F26="Bekleniyor",D26&lt;RaporTarihi),"HATA: giriş günü geçti, Geldi veya İptal yapın","OK"))))))))))))</f>
        <v/>
      </c>
      <c r="L26" s="25">
        <f>IF(AND(ISNUMBER(A26),F26&lt;&gt;"İptal",ISNUMBER(D26),ISNUMBER(E26),D26&lt;=RaporTarihi,E26&gt;RaporTarihi),A26,"")</f>
        <v/>
      </c>
    </row>
    <row r="27">
      <c r="A27" s="22" t="n"/>
      <c r="B27" s="22" t="n"/>
      <c r="C27" s="22" t="n"/>
      <c r="D27" s="23" t="n"/>
      <c r="E27" s="23" t="n"/>
      <c r="F27" s="22" t="n"/>
      <c r="G27" s="24" t="n"/>
      <c r="H27" s="22" t="n"/>
      <c r="I27" s="25">
        <f>IF(AND(ISNUMBER(D27),ISNUMBER(E27)),E27-D27,"")</f>
        <v/>
      </c>
      <c r="J27" s="26">
        <f>IF(AND(ISNUMBER(I27),ISNUMBER(G27)),IF(I27&gt;0,G27/I27,""),"")</f>
        <v/>
      </c>
      <c r="K27" s="25">
        <f>IF(COUNTA(A27:H27)=0,"",IF(OR(A27="",B27="",C27="",D27="",E27="",F27="",G27="",H27=""),"HATA: eksik bilgi",IF(COUNTIF(OdaListesi,A27)=0,"HATA: geçersiz oda no",IF(OR(NOT(ISNUMBER(D27)),NOT(ISNUMBER(E27))),"HATA: tarih geçersiz",IF(E27&lt;=D27,"HATA: çıkış girişten sonra olmalı",IF(OR(NOT(ISNUMBER(C27)),C27&lt;1,C27&gt;MaxKisi,C27&lt;&gt;INT(C27)),"HATA: kişi sayısı geçersiz",IF(OR(NOT(ISNUMBER(G27)),G27&lt;0),"HATA: tutar geçersiz",IF(B27&lt;&gt;TRIM(B27),"HATA: isimde baştaki/sondaki boşluk",IF(COUNTIF(KaynakAralik,H27)=0,"HATA: kaynak listede yok",IF(AND(F27&lt;&gt;"Bekleniyor",F27&lt;&gt;"Geldi",F27&lt;&gt;"İptal"),"HATA: giriş durumu geçersiz",IF(AND(F27&lt;&gt;"İptal",COUNTIFS($A$6:$A$1005,A27,$D$6:$D$1005,"&lt;"&amp;E27,$E$6:$E$1005,"&gt;"&amp;D27,$F$6:$F$1005,"&lt;&gt;İptal")&gt;1),"HATA: oda bu tarihlerde çakışıyor",IF(AND(F27="Bekleniyor",D27&lt;RaporTarihi),"HATA: giriş günü geçti, Geldi veya İptal yapın","OK"))))))))))))</f>
        <v/>
      </c>
      <c r="L27" s="25">
        <f>IF(AND(ISNUMBER(A27),F27&lt;&gt;"İptal",ISNUMBER(D27),ISNUMBER(E27),D27&lt;=RaporTarihi,E27&gt;RaporTarihi),A27,"")</f>
        <v/>
      </c>
    </row>
    <row r="28">
      <c r="A28" s="22" t="n"/>
      <c r="B28" s="22" t="n"/>
      <c r="C28" s="22" t="n"/>
      <c r="D28" s="23" t="n"/>
      <c r="E28" s="23" t="n"/>
      <c r="F28" s="22" t="n"/>
      <c r="G28" s="24" t="n"/>
      <c r="H28" s="22" t="n"/>
      <c r="I28" s="25">
        <f>IF(AND(ISNUMBER(D28),ISNUMBER(E28)),E28-D28,"")</f>
        <v/>
      </c>
      <c r="J28" s="26">
        <f>IF(AND(ISNUMBER(I28),ISNUMBER(G28)),IF(I28&gt;0,G28/I28,""),"")</f>
        <v/>
      </c>
      <c r="K28" s="25">
        <f>IF(COUNTA(A28:H28)=0,"",IF(OR(A28="",B28="",C28="",D28="",E28="",F28="",G28="",H28=""),"HATA: eksik bilgi",IF(COUNTIF(OdaListesi,A28)=0,"HATA: geçersiz oda no",IF(OR(NOT(ISNUMBER(D28)),NOT(ISNUMBER(E28))),"HATA: tarih geçersiz",IF(E28&lt;=D28,"HATA: çıkış girişten sonra olmalı",IF(OR(NOT(ISNUMBER(C28)),C28&lt;1,C28&gt;MaxKisi,C28&lt;&gt;INT(C28)),"HATA: kişi sayısı geçersiz",IF(OR(NOT(ISNUMBER(G28)),G28&lt;0),"HATA: tutar geçersiz",IF(B28&lt;&gt;TRIM(B28),"HATA: isimde baştaki/sondaki boşluk",IF(COUNTIF(KaynakAralik,H28)=0,"HATA: kaynak listede yok",IF(AND(F28&lt;&gt;"Bekleniyor",F28&lt;&gt;"Geldi",F28&lt;&gt;"İptal"),"HATA: giriş durumu geçersiz",IF(AND(F28&lt;&gt;"İptal",COUNTIFS($A$6:$A$1005,A28,$D$6:$D$1005,"&lt;"&amp;E28,$E$6:$E$1005,"&gt;"&amp;D28,$F$6:$F$1005,"&lt;&gt;İptal")&gt;1),"HATA: oda bu tarihlerde çakışıyor",IF(AND(F28="Bekleniyor",D28&lt;RaporTarihi),"HATA: giriş günü geçti, Geldi veya İptal yapın","OK"))))))))))))</f>
        <v/>
      </c>
      <c r="L28" s="25">
        <f>IF(AND(ISNUMBER(A28),F28&lt;&gt;"İptal",ISNUMBER(D28),ISNUMBER(E28),D28&lt;=RaporTarihi,E28&gt;RaporTarihi),A28,"")</f>
        <v/>
      </c>
    </row>
    <row r="29">
      <c r="A29" s="22" t="n"/>
      <c r="B29" s="22" t="n"/>
      <c r="C29" s="22" t="n"/>
      <c r="D29" s="23" t="n"/>
      <c r="E29" s="23" t="n"/>
      <c r="F29" s="22" t="n"/>
      <c r="G29" s="24" t="n"/>
      <c r="H29" s="22" t="n"/>
      <c r="I29" s="25">
        <f>IF(AND(ISNUMBER(D29),ISNUMBER(E29)),E29-D29,"")</f>
        <v/>
      </c>
      <c r="J29" s="26">
        <f>IF(AND(ISNUMBER(I29),ISNUMBER(G29)),IF(I29&gt;0,G29/I29,""),"")</f>
        <v/>
      </c>
      <c r="K29" s="25">
        <f>IF(COUNTA(A29:H29)=0,"",IF(OR(A29="",B29="",C29="",D29="",E29="",F29="",G29="",H29=""),"HATA: eksik bilgi",IF(COUNTIF(OdaListesi,A29)=0,"HATA: geçersiz oda no",IF(OR(NOT(ISNUMBER(D29)),NOT(ISNUMBER(E29))),"HATA: tarih geçersiz",IF(E29&lt;=D29,"HATA: çıkış girişten sonra olmalı",IF(OR(NOT(ISNUMBER(C29)),C29&lt;1,C29&gt;MaxKisi,C29&lt;&gt;INT(C29)),"HATA: kişi sayısı geçersiz",IF(OR(NOT(ISNUMBER(G29)),G29&lt;0),"HATA: tutar geçersiz",IF(B29&lt;&gt;TRIM(B29),"HATA: isimde baştaki/sondaki boşluk",IF(COUNTIF(KaynakAralik,H29)=0,"HATA: kaynak listede yok",IF(AND(F29&lt;&gt;"Bekleniyor",F29&lt;&gt;"Geldi",F29&lt;&gt;"İptal"),"HATA: giriş durumu geçersiz",IF(AND(F29&lt;&gt;"İptal",COUNTIFS($A$6:$A$1005,A29,$D$6:$D$1005,"&lt;"&amp;E29,$E$6:$E$1005,"&gt;"&amp;D29,$F$6:$F$1005,"&lt;&gt;İptal")&gt;1),"HATA: oda bu tarihlerde çakışıyor",IF(AND(F29="Bekleniyor",D29&lt;RaporTarihi),"HATA: giriş günü geçti, Geldi veya İptal yapın","OK"))))))))))))</f>
        <v/>
      </c>
      <c r="L29" s="25">
        <f>IF(AND(ISNUMBER(A29),F29&lt;&gt;"İptal",ISNUMBER(D29),ISNUMBER(E29),D29&lt;=RaporTarihi,E29&gt;RaporTarihi),A29,"")</f>
        <v/>
      </c>
    </row>
    <row r="30">
      <c r="A30" s="22" t="n"/>
      <c r="B30" s="22" t="n"/>
      <c r="C30" s="22" t="n"/>
      <c r="D30" s="23" t="n"/>
      <c r="E30" s="23" t="n"/>
      <c r="F30" s="22" t="n"/>
      <c r="G30" s="24" t="n"/>
      <c r="H30" s="22" t="n"/>
      <c r="I30" s="25">
        <f>IF(AND(ISNUMBER(D30),ISNUMBER(E30)),E30-D30,"")</f>
        <v/>
      </c>
      <c r="J30" s="26">
        <f>IF(AND(ISNUMBER(I30),ISNUMBER(G30)),IF(I30&gt;0,G30/I30,""),"")</f>
        <v/>
      </c>
      <c r="K30" s="25">
        <f>IF(COUNTA(A30:H30)=0,"",IF(OR(A30="",B30="",C30="",D30="",E30="",F30="",G30="",H30=""),"HATA: eksik bilgi",IF(COUNTIF(OdaListesi,A30)=0,"HATA: geçersiz oda no",IF(OR(NOT(ISNUMBER(D30)),NOT(ISNUMBER(E30))),"HATA: tarih geçersiz",IF(E30&lt;=D30,"HATA: çıkış girişten sonra olmalı",IF(OR(NOT(ISNUMBER(C30)),C30&lt;1,C30&gt;MaxKisi,C30&lt;&gt;INT(C30)),"HATA: kişi sayısı geçersiz",IF(OR(NOT(ISNUMBER(G30)),G30&lt;0),"HATA: tutar geçersiz",IF(B30&lt;&gt;TRIM(B30),"HATA: isimde baştaki/sondaki boşluk",IF(COUNTIF(KaynakAralik,H30)=0,"HATA: kaynak listede yok",IF(AND(F30&lt;&gt;"Bekleniyor",F30&lt;&gt;"Geldi",F30&lt;&gt;"İptal"),"HATA: giriş durumu geçersiz",IF(AND(F30&lt;&gt;"İptal",COUNTIFS($A$6:$A$1005,A30,$D$6:$D$1005,"&lt;"&amp;E30,$E$6:$E$1005,"&gt;"&amp;D30,$F$6:$F$1005,"&lt;&gt;İptal")&gt;1),"HATA: oda bu tarihlerde çakışıyor",IF(AND(F30="Bekleniyor",D30&lt;RaporTarihi),"HATA: giriş günü geçti, Geldi veya İptal yapın","OK"))))))))))))</f>
        <v/>
      </c>
      <c r="L30" s="25">
        <f>IF(AND(ISNUMBER(A30),F30&lt;&gt;"İptal",ISNUMBER(D30),ISNUMBER(E30),D30&lt;=RaporTarihi,E30&gt;RaporTarihi),A30,"")</f>
        <v/>
      </c>
    </row>
    <row r="31">
      <c r="A31" s="22" t="n"/>
      <c r="B31" s="22" t="n"/>
      <c r="C31" s="22" t="n"/>
      <c r="D31" s="23" t="n"/>
      <c r="E31" s="23" t="n"/>
      <c r="F31" s="22" t="n"/>
      <c r="G31" s="24" t="n"/>
      <c r="H31" s="22" t="n"/>
      <c r="I31" s="25">
        <f>IF(AND(ISNUMBER(D31),ISNUMBER(E31)),E31-D31,"")</f>
        <v/>
      </c>
      <c r="J31" s="26">
        <f>IF(AND(ISNUMBER(I31),ISNUMBER(G31)),IF(I31&gt;0,G31/I31,""),"")</f>
        <v/>
      </c>
      <c r="K31" s="25">
        <f>IF(COUNTA(A31:H31)=0,"",IF(OR(A31="",B31="",C31="",D31="",E31="",F31="",G31="",H31=""),"HATA: eksik bilgi",IF(COUNTIF(OdaListesi,A31)=0,"HATA: geçersiz oda no",IF(OR(NOT(ISNUMBER(D31)),NOT(ISNUMBER(E31))),"HATA: tarih geçersiz",IF(E31&lt;=D31,"HATA: çıkış girişten sonra olmalı",IF(OR(NOT(ISNUMBER(C31)),C31&lt;1,C31&gt;MaxKisi,C31&lt;&gt;INT(C31)),"HATA: kişi sayısı geçersiz",IF(OR(NOT(ISNUMBER(G31)),G31&lt;0),"HATA: tutar geçersiz",IF(B31&lt;&gt;TRIM(B31),"HATA: isimde baştaki/sondaki boşluk",IF(COUNTIF(KaynakAralik,H31)=0,"HATA: kaynak listede yok",IF(AND(F31&lt;&gt;"Bekleniyor",F31&lt;&gt;"Geldi",F31&lt;&gt;"İptal"),"HATA: giriş durumu geçersiz",IF(AND(F31&lt;&gt;"İptal",COUNTIFS($A$6:$A$1005,A31,$D$6:$D$1005,"&lt;"&amp;E31,$E$6:$E$1005,"&gt;"&amp;D31,$F$6:$F$1005,"&lt;&gt;İptal")&gt;1),"HATA: oda bu tarihlerde çakışıyor",IF(AND(F31="Bekleniyor",D31&lt;RaporTarihi),"HATA: giriş günü geçti, Geldi veya İptal yapın","OK"))))))))))))</f>
        <v/>
      </c>
      <c r="L31" s="25">
        <f>IF(AND(ISNUMBER(A31),F31&lt;&gt;"İptal",ISNUMBER(D31),ISNUMBER(E31),D31&lt;=RaporTarihi,E31&gt;RaporTarihi),A31,"")</f>
        <v/>
      </c>
    </row>
    <row r="32">
      <c r="A32" s="22" t="n"/>
      <c r="B32" s="22" t="n"/>
      <c r="C32" s="22" t="n"/>
      <c r="D32" s="23" t="n"/>
      <c r="E32" s="23" t="n"/>
      <c r="F32" s="22" t="n"/>
      <c r="G32" s="24" t="n"/>
      <c r="H32" s="22" t="n"/>
      <c r="I32" s="25">
        <f>IF(AND(ISNUMBER(D32),ISNUMBER(E32)),E32-D32,"")</f>
        <v/>
      </c>
      <c r="J32" s="26">
        <f>IF(AND(ISNUMBER(I32),ISNUMBER(G32)),IF(I32&gt;0,G32/I32,""),"")</f>
        <v/>
      </c>
      <c r="K32" s="25">
        <f>IF(COUNTA(A32:H32)=0,"",IF(OR(A32="",B32="",C32="",D32="",E32="",F32="",G32="",H32=""),"HATA: eksik bilgi",IF(COUNTIF(OdaListesi,A32)=0,"HATA: geçersiz oda no",IF(OR(NOT(ISNUMBER(D32)),NOT(ISNUMBER(E32))),"HATA: tarih geçersiz",IF(E32&lt;=D32,"HATA: çıkış girişten sonra olmalı",IF(OR(NOT(ISNUMBER(C32)),C32&lt;1,C32&gt;MaxKisi,C32&lt;&gt;INT(C32)),"HATA: kişi sayısı geçersiz",IF(OR(NOT(ISNUMBER(G32)),G32&lt;0),"HATA: tutar geçersiz",IF(B32&lt;&gt;TRIM(B32),"HATA: isimde baştaki/sondaki boşluk",IF(COUNTIF(KaynakAralik,H32)=0,"HATA: kaynak listede yok",IF(AND(F32&lt;&gt;"Bekleniyor",F32&lt;&gt;"Geldi",F32&lt;&gt;"İptal"),"HATA: giriş durumu geçersiz",IF(AND(F32&lt;&gt;"İptal",COUNTIFS($A$6:$A$1005,A32,$D$6:$D$1005,"&lt;"&amp;E32,$E$6:$E$1005,"&gt;"&amp;D32,$F$6:$F$1005,"&lt;&gt;İptal")&gt;1),"HATA: oda bu tarihlerde çakışıyor",IF(AND(F32="Bekleniyor",D32&lt;RaporTarihi),"HATA: giriş günü geçti, Geldi veya İptal yapın","OK"))))))))))))</f>
        <v/>
      </c>
      <c r="L32" s="25">
        <f>IF(AND(ISNUMBER(A32),F32&lt;&gt;"İptal",ISNUMBER(D32),ISNUMBER(E32),D32&lt;=RaporTarihi,E32&gt;RaporTarihi),A32,"")</f>
        <v/>
      </c>
    </row>
    <row r="33">
      <c r="A33" s="22" t="n"/>
      <c r="B33" s="22" t="n"/>
      <c r="C33" s="22" t="n"/>
      <c r="D33" s="23" t="n"/>
      <c r="E33" s="23" t="n"/>
      <c r="F33" s="22" t="n"/>
      <c r="G33" s="24" t="n"/>
      <c r="H33" s="22" t="n"/>
      <c r="I33" s="25">
        <f>IF(AND(ISNUMBER(D33),ISNUMBER(E33)),E33-D33,"")</f>
        <v/>
      </c>
      <c r="J33" s="26">
        <f>IF(AND(ISNUMBER(I33),ISNUMBER(G33)),IF(I33&gt;0,G33/I33,""),"")</f>
        <v/>
      </c>
      <c r="K33" s="25">
        <f>IF(COUNTA(A33:H33)=0,"",IF(OR(A33="",B33="",C33="",D33="",E33="",F33="",G33="",H33=""),"HATA: eksik bilgi",IF(COUNTIF(OdaListesi,A33)=0,"HATA: geçersiz oda no",IF(OR(NOT(ISNUMBER(D33)),NOT(ISNUMBER(E33))),"HATA: tarih geçersiz",IF(E33&lt;=D33,"HATA: çıkış girişten sonra olmalı",IF(OR(NOT(ISNUMBER(C33)),C33&lt;1,C33&gt;MaxKisi,C33&lt;&gt;INT(C33)),"HATA: kişi sayısı geçersiz",IF(OR(NOT(ISNUMBER(G33)),G33&lt;0),"HATA: tutar geçersiz",IF(B33&lt;&gt;TRIM(B33),"HATA: isimde baştaki/sondaki boşluk",IF(COUNTIF(KaynakAralik,H33)=0,"HATA: kaynak listede yok",IF(AND(F33&lt;&gt;"Bekleniyor",F33&lt;&gt;"Geldi",F33&lt;&gt;"İptal"),"HATA: giriş durumu geçersiz",IF(AND(F33&lt;&gt;"İptal",COUNTIFS($A$6:$A$1005,A33,$D$6:$D$1005,"&lt;"&amp;E33,$E$6:$E$1005,"&gt;"&amp;D33,$F$6:$F$1005,"&lt;&gt;İptal")&gt;1),"HATA: oda bu tarihlerde çakışıyor",IF(AND(F33="Bekleniyor",D33&lt;RaporTarihi),"HATA: giriş günü geçti, Geldi veya İptal yapın","OK"))))))))))))</f>
        <v/>
      </c>
      <c r="L33" s="25">
        <f>IF(AND(ISNUMBER(A33),F33&lt;&gt;"İptal",ISNUMBER(D33),ISNUMBER(E33),D33&lt;=RaporTarihi,E33&gt;RaporTarihi),A33,"")</f>
        <v/>
      </c>
    </row>
    <row r="34">
      <c r="A34" s="22" t="n"/>
      <c r="B34" s="22" t="n"/>
      <c r="C34" s="22" t="n"/>
      <c r="D34" s="23" t="n"/>
      <c r="E34" s="23" t="n"/>
      <c r="F34" s="22" t="n"/>
      <c r="G34" s="24" t="n"/>
      <c r="H34" s="22" t="n"/>
      <c r="I34" s="25">
        <f>IF(AND(ISNUMBER(D34),ISNUMBER(E34)),E34-D34,"")</f>
        <v/>
      </c>
      <c r="J34" s="26">
        <f>IF(AND(ISNUMBER(I34),ISNUMBER(G34)),IF(I34&gt;0,G34/I34,""),"")</f>
        <v/>
      </c>
      <c r="K34" s="25">
        <f>IF(COUNTA(A34:H34)=0,"",IF(OR(A34="",B34="",C34="",D34="",E34="",F34="",G34="",H34=""),"HATA: eksik bilgi",IF(COUNTIF(OdaListesi,A34)=0,"HATA: geçersiz oda no",IF(OR(NOT(ISNUMBER(D34)),NOT(ISNUMBER(E34))),"HATA: tarih geçersiz",IF(E34&lt;=D34,"HATA: çıkış girişten sonra olmalı",IF(OR(NOT(ISNUMBER(C34)),C34&lt;1,C34&gt;MaxKisi,C34&lt;&gt;INT(C34)),"HATA: kişi sayısı geçersiz",IF(OR(NOT(ISNUMBER(G34)),G34&lt;0),"HATA: tutar geçersiz",IF(B34&lt;&gt;TRIM(B34),"HATA: isimde baştaki/sondaki boşluk",IF(COUNTIF(KaynakAralik,H34)=0,"HATA: kaynak listede yok",IF(AND(F34&lt;&gt;"Bekleniyor",F34&lt;&gt;"Geldi",F34&lt;&gt;"İptal"),"HATA: giriş durumu geçersiz",IF(AND(F34&lt;&gt;"İptal",COUNTIFS($A$6:$A$1005,A34,$D$6:$D$1005,"&lt;"&amp;E34,$E$6:$E$1005,"&gt;"&amp;D34,$F$6:$F$1005,"&lt;&gt;İptal")&gt;1),"HATA: oda bu tarihlerde çakışıyor",IF(AND(F34="Bekleniyor",D34&lt;RaporTarihi),"HATA: giriş günü geçti, Geldi veya İptal yapın","OK"))))))))))))</f>
        <v/>
      </c>
      <c r="L34" s="25">
        <f>IF(AND(ISNUMBER(A34),F34&lt;&gt;"İptal",ISNUMBER(D34),ISNUMBER(E34),D34&lt;=RaporTarihi,E34&gt;RaporTarihi),A34,"")</f>
        <v/>
      </c>
    </row>
    <row r="35">
      <c r="A35" s="22" t="n"/>
      <c r="B35" s="22" t="n"/>
      <c r="C35" s="22" t="n"/>
      <c r="D35" s="23" t="n"/>
      <c r="E35" s="23" t="n"/>
      <c r="F35" s="22" t="n"/>
      <c r="G35" s="24" t="n"/>
      <c r="H35" s="22" t="n"/>
      <c r="I35" s="25">
        <f>IF(AND(ISNUMBER(D35),ISNUMBER(E35)),E35-D35,"")</f>
        <v/>
      </c>
      <c r="J35" s="26">
        <f>IF(AND(ISNUMBER(I35),ISNUMBER(G35)),IF(I35&gt;0,G35/I35,""),"")</f>
        <v/>
      </c>
      <c r="K35" s="25">
        <f>IF(COUNTA(A35:H35)=0,"",IF(OR(A35="",B35="",C35="",D35="",E35="",F35="",G35="",H35=""),"HATA: eksik bilgi",IF(COUNTIF(OdaListesi,A35)=0,"HATA: geçersiz oda no",IF(OR(NOT(ISNUMBER(D35)),NOT(ISNUMBER(E35))),"HATA: tarih geçersiz",IF(E35&lt;=D35,"HATA: çıkış girişten sonra olmalı",IF(OR(NOT(ISNUMBER(C35)),C35&lt;1,C35&gt;MaxKisi,C35&lt;&gt;INT(C35)),"HATA: kişi sayısı geçersiz",IF(OR(NOT(ISNUMBER(G35)),G35&lt;0),"HATA: tutar geçersiz",IF(B35&lt;&gt;TRIM(B35),"HATA: isimde baştaki/sondaki boşluk",IF(COUNTIF(KaynakAralik,H35)=0,"HATA: kaynak listede yok",IF(AND(F35&lt;&gt;"Bekleniyor",F35&lt;&gt;"Geldi",F35&lt;&gt;"İptal"),"HATA: giriş durumu geçersiz",IF(AND(F35&lt;&gt;"İptal",COUNTIFS($A$6:$A$1005,A35,$D$6:$D$1005,"&lt;"&amp;E35,$E$6:$E$1005,"&gt;"&amp;D35,$F$6:$F$1005,"&lt;&gt;İptal")&gt;1),"HATA: oda bu tarihlerde çakışıyor",IF(AND(F35="Bekleniyor",D35&lt;RaporTarihi),"HATA: giriş günü geçti, Geldi veya İptal yapın","OK"))))))))))))</f>
        <v/>
      </c>
      <c r="L35" s="25">
        <f>IF(AND(ISNUMBER(A35),F35&lt;&gt;"İptal",ISNUMBER(D35),ISNUMBER(E35),D35&lt;=RaporTarihi,E35&gt;RaporTarihi),A35,"")</f>
        <v/>
      </c>
    </row>
    <row r="36">
      <c r="A36" s="22" t="n"/>
      <c r="B36" s="22" t="n"/>
      <c r="C36" s="22" t="n"/>
      <c r="D36" s="23" t="n"/>
      <c r="E36" s="23" t="n"/>
      <c r="F36" s="22" t="n"/>
      <c r="G36" s="24" t="n"/>
      <c r="H36" s="22" t="n"/>
      <c r="I36" s="25">
        <f>IF(AND(ISNUMBER(D36),ISNUMBER(E36)),E36-D36,"")</f>
        <v/>
      </c>
      <c r="J36" s="26">
        <f>IF(AND(ISNUMBER(I36),ISNUMBER(G36)),IF(I36&gt;0,G36/I36,""),"")</f>
        <v/>
      </c>
      <c r="K36" s="25">
        <f>IF(COUNTA(A36:H36)=0,"",IF(OR(A36="",B36="",C36="",D36="",E36="",F36="",G36="",H36=""),"HATA: eksik bilgi",IF(COUNTIF(OdaListesi,A36)=0,"HATA: geçersiz oda no",IF(OR(NOT(ISNUMBER(D36)),NOT(ISNUMBER(E36))),"HATA: tarih geçersiz",IF(E36&lt;=D36,"HATA: çıkış girişten sonra olmalı",IF(OR(NOT(ISNUMBER(C36)),C36&lt;1,C36&gt;MaxKisi,C36&lt;&gt;INT(C36)),"HATA: kişi sayısı geçersiz",IF(OR(NOT(ISNUMBER(G36)),G36&lt;0),"HATA: tutar geçersiz",IF(B36&lt;&gt;TRIM(B36),"HATA: isimde baştaki/sondaki boşluk",IF(COUNTIF(KaynakAralik,H36)=0,"HATA: kaynak listede yok",IF(AND(F36&lt;&gt;"Bekleniyor",F36&lt;&gt;"Geldi",F36&lt;&gt;"İptal"),"HATA: giriş durumu geçersiz",IF(AND(F36&lt;&gt;"İptal",COUNTIFS($A$6:$A$1005,A36,$D$6:$D$1005,"&lt;"&amp;E36,$E$6:$E$1005,"&gt;"&amp;D36,$F$6:$F$1005,"&lt;&gt;İptal")&gt;1),"HATA: oda bu tarihlerde çakışıyor",IF(AND(F36="Bekleniyor",D36&lt;RaporTarihi),"HATA: giriş günü geçti, Geldi veya İptal yapın","OK"))))))))))))</f>
        <v/>
      </c>
      <c r="L36" s="25">
        <f>IF(AND(ISNUMBER(A36),F36&lt;&gt;"İptal",ISNUMBER(D36),ISNUMBER(E36),D36&lt;=RaporTarihi,E36&gt;RaporTarihi),A36,"")</f>
        <v/>
      </c>
    </row>
    <row r="37">
      <c r="A37" s="22" t="n"/>
      <c r="B37" s="22" t="n"/>
      <c r="C37" s="22" t="n"/>
      <c r="D37" s="23" t="n"/>
      <c r="E37" s="23" t="n"/>
      <c r="F37" s="22" t="n"/>
      <c r="G37" s="24" t="n"/>
      <c r="H37" s="22" t="n"/>
      <c r="I37" s="25">
        <f>IF(AND(ISNUMBER(D37),ISNUMBER(E37)),E37-D37,"")</f>
        <v/>
      </c>
      <c r="J37" s="26">
        <f>IF(AND(ISNUMBER(I37),ISNUMBER(G37)),IF(I37&gt;0,G37/I37,""),"")</f>
        <v/>
      </c>
      <c r="K37" s="25">
        <f>IF(COUNTA(A37:H37)=0,"",IF(OR(A37="",B37="",C37="",D37="",E37="",F37="",G37="",H37=""),"HATA: eksik bilgi",IF(COUNTIF(OdaListesi,A37)=0,"HATA: geçersiz oda no",IF(OR(NOT(ISNUMBER(D37)),NOT(ISNUMBER(E37))),"HATA: tarih geçersiz",IF(E37&lt;=D37,"HATA: çıkış girişten sonra olmalı",IF(OR(NOT(ISNUMBER(C37)),C37&lt;1,C37&gt;MaxKisi,C37&lt;&gt;INT(C37)),"HATA: kişi sayısı geçersiz",IF(OR(NOT(ISNUMBER(G37)),G37&lt;0),"HATA: tutar geçersiz",IF(B37&lt;&gt;TRIM(B37),"HATA: isimde baştaki/sondaki boşluk",IF(COUNTIF(KaynakAralik,H37)=0,"HATA: kaynak listede yok",IF(AND(F37&lt;&gt;"Bekleniyor",F37&lt;&gt;"Geldi",F37&lt;&gt;"İptal"),"HATA: giriş durumu geçersiz",IF(AND(F37&lt;&gt;"İptal",COUNTIFS($A$6:$A$1005,A37,$D$6:$D$1005,"&lt;"&amp;E37,$E$6:$E$1005,"&gt;"&amp;D37,$F$6:$F$1005,"&lt;&gt;İptal")&gt;1),"HATA: oda bu tarihlerde çakışıyor",IF(AND(F37="Bekleniyor",D37&lt;RaporTarihi),"HATA: giriş günü geçti, Geldi veya İptal yapın","OK"))))))))))))</f>
        <v/>
      </c>
      <c r="L37" s="25">
        <f>IF(AND(ISNUMBER(A37),F37&lt;&gt;"İptal",ISNUMBER(D37),ISNUMBER(E37),D37&lt;=RaporTarihi,E37&gt;RaporTarihi),A37,"")</f>
        <v/>
      </c>
    </row>
    <row r="38">
      <c r="A38" s="22" t="n"/>
      <c r="B38" s="22" t="n"/>
      <c r="C38" s="22" t="n"/>
      <c r="D38" s="23" t="n"/>
      <c r="E38" s="23" t="n"/>
      <c r="F38" s="22" t="n"/>
      <c r="G38" s="24" t="n"/>
      <c r="H38" s="22" t="n"/>
      <c r="I38" s="25">
        <f>IF(AND(ISNUMBER(D38),ISNUMBER(E38)),E38-D38,"")</f>
        <v/>
      </c>
      <c r="J38" s="26">
        <f>IF(AND(ISNUMBER(I38),ISNUMBER(G38)),IF(I38&gt;0,G38/I38,""),"")</f>
        <v/>
      </c>
      <c r="K38" s="25">
        <f>IF(COUNTA(A38:H38)=0,"",IF(OR(A38="",B38="",C38="",D38="",E38="",F38="",G38="",H38=""),"HATA: eksik bilgi",IF(COUNTIF(OdaListesi,A38)=0,"HATA: geçersiz oda no",IF(OR(NOT(ISNUMBER(D38)),NOT(ISNUMBER(E38))),"HATA: tarih geçersiz",IF(E38&lt;=D38,"HATA: çıkış girişten sonra olmalı",IF(OR(NOT(ISNUMBER(C38)),C38&lt;1,C38&gt;MaxKisi,C38&lt;&gt;INT(C38)),"HATA: kişi sayısı geçersiz",IF(OR(NOT(ISNUMBER(G38)),G38&lt;0),"HATA: tutar geçersiz",IF(B38&lt;&gt;TRIM(B38),"HATA: isimde baştaki/sondaki boşluk",IF(COUNTIF(KaynakAralik,H38)=0,"HATA: kaynak listede yok",IF(AND(F38&lt;&gt;"Bekleniyor",F38&lt;&gt;"Geldi",F38&lt;&gt;"İptal"),"HATA: giriş durumu geçersiz",IF(AND(F38&lt;&gt;"İptal",COUNTIFS($A$6:$A$1005,A38,$D$6:$D$1005,"&lt;"&amp;E38,$E$6:$E$1005,"&gt;"&amp;D38,$F$6:$F$1005,"&lt;&gt;İptal")&gt;1),"HATA: oda bu tarihlerde çakışıyor",IF(AND(F38="Bekleniyor",D38&lt;RaporTarihi),"HATA: giriş günü geçti, Geldi veya İptal yapın","OK"))))))))))))</f>
        <v/>
      </c>
      <c r="L38" s="25">
        <f>IF(AND(ISNUMBER(A38),F38&lt;&gt;"İptal",ISNUMBER(D38),ISNUMBER(E38),D38&lt;=RaporTarihi,E38&gt;RaporTarihi),A38,"")</f>
        <v/>
      </c>
    </row>
    <row r="39">
      <c r="A39" s="22" t="n"/>
      <c r="B39" s="22" t="n"/>
      <c r="C39" s="22" t="n"/>
      <c r="D39" s="23" t="n"/>
      <c r="E39" s="23" t="n"/>
      <c r="F39" s="22" t="n"/>
      <c r="G39" s="24" t="n"/>
      <c r="H39" s="22" t="n"/>
      <c r="I39" s="25">
        <f>IF(AND(ISNUMBER(D39),ISNUMBER(E39)),E39-D39,"")</f>
        <v/>
      </c>
      <c r="J39" s="26">
        <f>IF(AND(ISNUMBER(I39),ISNUMBER(G39)),IF(I39&gt;0,G39/I39,""),"")</f>
        <v/>
      </c>
      <c r="K39" s="25">
        <f>IF(COUNTA(A39:H39)=0,"",IF(OR(A39="",B39="",C39="",D39="",E39="",F39="",G39="",H39=""),"HATA: eksik bilgi",IF(COUNTIF(OdaListesi,A39)=0,"HATA: geçersiz oda no",IF(OR(NOT(ISNUMBER(D39)),NOT(ISNUMBER(E39))),"HATA: tarih geçersiz",IF(E39&lt;=D39,"HATA: çıkış girişten sonra olmalı",IF(OR(NOT(ISNUMBER(C39)),C39&lt;1,C39&gt;MaxKisi,C39&lt;&gt;INT(C39)),"HATA: kişi sayısı geçersiz",IF(OR(NOT(ISNUMBER(G39)),G39&lt;0),"HATA: tutar geçersiz",IF(B39&lt;&gt;TRIM(B39),"HATA: isimde baştaki/sondaki boşluk",IF(COUNTIF(KaynakAralik,H39)=0,"HATA: kaynak listede yok",IF(AND(F39&lt;&gt;"Bekleniyor",F39&lt;&gt;"Geldi",F39&lt;&gt;"İptal"),"HATA: giriş durumu geçersiz",IF(AND(F39&lt;&gt;"İptal",COUNTIFS($A$6:$A$1005,A39,$D$6:$D$1005,"&lt;"&amp;E39,$E$6:$E$1005,"&gt;"&amp;D39,$F$6:$F$1005,"&lt;&gt;İptal")&gt;1),"HATA: oda bu tarihlerde çakışıyor",IF(AND(F39="Bekleniyor",D39&lt;RaporTarihi),"HATA: giriş günü geçti, Geldi veya İptal yapın","OK"))))))))))))</f>
        <v/>
      </c>
      <c r="L39" s="25">
        <f>IF(AND(ISNUMBER(A39),F39&lt;&gt;"İptal",ISNUMBER(D39),ISNUMBER(E39),D39&lt;=RaporTarihi,E39&gt;RaporTarihi),A39,"")</f>
        <v/>
      </c>
    </row>
    <row r="40">
      <c r="A40" s="22" t="n"/>
      <c r="B40" s="22" t="n"/>
      <c r="C40" s="22" t="n"/>
      <c r="D40" s="23" t="n"/>
      <c r="E40" s="23" t="n"/>
      <c r="F40" s="22" t="n"/>
      <c r="G40" s="24" t="n"/>
      <c r="H40" s="22" t="n"/>
      <c r="I40" s="25">
        <f>IF(AND(ISNUMBER(D40),ISNUMBER(E40)),E40-D40,"")</f>
        <v/>
      </c>
      <c r="J40" s="26">
        <f>IF(AND(ISNUMBER(I40),ISNUMBER(G40)),IF(I40&gt;0,G40/I40,""),"")</f>
        <v/>
      </c>
      <c r="K40" s="25">
        <f>IF(COUNTA(A40:H40)=0,"",IF(OR(A40="",B40="",C40="",D40="",E40="",F40="",G40="",H40=""),"HATA: eksik bilgi",IF(COUNTIF(OdaListesi,A40)=0,"HATA: geçersiz oda no",IF(OR(NOT(ISNUMBER(D40)),NOT(ISNUMBER(E40))),"HATA: tarih geçersiz",IF(E40&lt;=D40,"HATA: çıkış girişten sonra olmalı",IF(OR(NOT(ISNUMBER(C40)),C40&lt;1,C40&gt;MaxKisi,C40&lt;&gt;INT(C40)),"HATA: kişi sayısı geçersiz",IF(OR(NOT(ISNUMBER(G40)),G40&lt;0),"HATA: tutar geçersiz",IF(B40&lt;&gt;TRIM(B40),"HATA: isimde baştaki/sondaki boşluk",IF(COUNTIF(KaynakAralik,H40)=0,"HATA: kaynak listede yok",IF(AND(F40&lt;&gt;"Bekleniyor",F40&lt;&gt;"Geldi",F40&lt;&gt;"İptal"),"HATA: giriş durumu geçersiz",IF(AND(F40&lt;&gt;"İptal",COUNTIFS($A$6:$A$1005,A40,$D$6:$D$1005,"&lt;"&amp;E40,$E$6:$E$1005,"&gt;"&amp;D40,$F$6:$F$1005,"&lt;&gt;İptal")&gt;1),"HATA: oda bu tarihlerde çakışıyor",IF(AND(F40="Bekleniyor",D40&lt;RaporTarihi),"HATA: giriş günü geçti, Geldi veya İptal yapın","OK"))))))))))))</f>
        <v/>
      </c>
      <c r="L40" s="25">
        <f>IF(AND(ISNUMBER(A40),F40&lt;&gt;"İptal",ISNUMBER(D40),ISNUMBER(E40),D40&lt;=RaporTarihi,E40&gt;RaporTarihi),A40,"")</f>
        <v/>
      </c>
    </row>
    <row r="41">
      <c r="A41" s="22" t="n"/>
      <c r="B41" s="22" t="n"/>
      <c r="C41" s="22" t="n"/>
      <c r="D41" s="23" t="n"/>
      <c r="E41" s="23" t="n"/>
      <c r="F41" s="22" t="n"/>
      <c r="G41" s="24" t="n"/>
      <c r="H41" s="22" t="n"/>
      <c r="I41" s="25">
        <f>IF(AND(ISNUMBER(D41),ISNUMBER(E41)),E41-D41,"")</f>
        <v/>
      </c>
      <c r="J41" s="26">
        <f>IF(AND(ISNUMBER(I41),ISNUMBER(G41)),IF(I41&gt;0,G41/I41,""),"")</f>
        <v/>
      </c>
      <c r="K41" s="25">
        <f>IF(COUNTA(A41:H41)=0,"",IF(OR(A41="",B41="",C41="",D41="",E41="",F41="",G41="",H41=""),"HATA: eksik bilgi",IF(COUNTIF(OdaListesi,A41)=0,"HATA: geçersiz oda no",IF(OR(NOT(ISNUMBER(D41)),NOT(ISNUMBER(E41))),"HATA: tarih geçersiz",IF(E41&lt;=D41,"HATA: çıkış girişten sonra olmalı",IF(OR(NOT(ISNUMBER(C41)),C41&lt;1,C41&gt;MaxKisi,C41&lt;&gt;INT(C41)),"HATA: kişi sayısı geçersiz",IF(OR(NOT(ISNUMBER(G41)),G41&lt;0),"HATA: tutar geçersiz",IF(B41&lt;&gt;TRIM(B41),"HATA: isimde baştaki/sondaki boşluk",IF(COUNTIF(KaynakAralik,H41)=0,"HATA: kaynak listede yok",IF(AND(F41&lt;&gt;"Bekleniyor",F41&lt;&gt;"Geldi",F41&lt;&gt;"İptal"),"HATA: giriş durumu geçersiz",IF(AND(F41&lt;&gt;"İptal",COUNTIFS($A$6:$A$1005,A41,$D$6:$D$1005,"&lt;"&amp;E41,$E$6:$E$1005,"&gt;"&amp;D41,$F$6:$F$1005,"&lt;&gt;İptal")&gt;1),"HATA: oda bu tarihlerde çakışıyor",IF(AND(F41="Bekleniyor",D41&lt;RaporTarihi),"HATA: giriş günü geçti, Geldi veya İptal yapın","OK"))))))))))))</f>
        <v/>
      </c>
      <c r="L41" s="25">
        <f>IF(AND(ISNUMBER(A41),F41&lt;&gt;"İptal",ISNUMBER(D41),ISNUMBER(E41),D41&lt;=RaporTarihi,E41&gt;RaporTarihi),A41,"")</f>
        <v/>
      </c>
    </row>
    <row r="42">
      <c r="A42" s="22" t="n"/>
      <c r="B42" s="22" t="n"/>
      <c r="C42" s="22" t="n"/>
      <c r="D42" s="23" t="n"/>
      <c r="E42" s="23" t="n"/>
      <c r="F42" s="22" t="n"/>
      <c r="G42" s="24" t="n"/>
      <c r="H42" s="22" t="n"/>
      <c r="I42" s="25">
        <f>IF(AND(ISNUMBER(D42),ISNUMBER(E42)),E42-D42,"")</f>
        <v/>
      </c>
      <c r="J42" s="26">
        <f>IF(AND(ISNUMBER(I42),ISNUMBER(G42)),IF(I42&gt;0,G42/I42,""),"")</f>
        <v/>
      </c>
      <c r="K42" s="25">
        <f>IF(COUNTA(A42:H42)=0,"",IF(OR(A42="",B42="",C42="",D42="",E42="",F42="",G42="",H42=""),"HATA: eksik bilgi",IF(COUNTIF(OdaListesi,A42)=0,"HATA: geçersiz oda no",IF(OR(NOT(ISNUMBER(D42)),NOT(ISNUMBER(E42))),"HATA: tarih geçersiz",IF(E42&lt;=D42,"HATA: çıkış girişten sonra olmalı",IF(OR(NOT(ISNUMBER(C42)),C42&lt;1,C42&gt;MaxKisi,C42&lt;&gt;INT(C42)),"HATA: kişi sayısı geçersiz",IF(OR(NOT(ISNUMBER(G42)),G42&lt;0),"HATA: tutar geçersiz",IF(B42&lt;&gt;TRIM(B42),"HATA: isimde baştaki/sondaki boşluk",IF(COUNTIF(KaynakAralik,H42)=0,"HATA: kaynak listede yok",IF(AND(F42&lt;&gt;"Bekleniyor",F42&lt;&gt;"Geldi",F42&lt;&gt;"İptal"),"HATA: giriş durumu geçersiz",IF(AND(F42&lt;&gt;"İptal",COUNTIFS($A$6:$A$1005,A42,$D$6:$D$1005,"&lt;"&amp;E42,$E$6:$E$1005,"&gt;"&amp;D42,$F$6:$F$1005,"&lt;&gt;İptal")&gt;1),"HATA: oda bu tarihlerde çakışıyor",IF(AND(F42="Bekleniyor",D42&lt;RaporTarihi),"HATA: giriş günü geçti, Geldi veya İptal yapın","OK"))))))))))))</f>
        <v/>
      </c>
      <c r="L42" s="25">
        <f>IF(AND(ISNUMBER(A42),F42&lt;&gt;"İptal",ISNUMBER(D42),ISNUMBER(E42),D42&lt;=RaporTarihi,E42&gt;RaporTarihi),A42,"")</f>
        <v/>
      </c>
    </row>
    <row r="43">
      <c r="A43" s="22" t="n"/>
      <c r="B43" s="22" t="n"/>
      <c r="C43" s="22" t="n"/>
      <c r="D43" s="23" t="n"/>
      <c r="E43" s="23" t="n"/>
      <c r="F43" s="22" t="n"/>
      <c r="G43" s="24" t="n"/>
      <c r="H43" s="22" t="n"/>
      <c r="I43" s="25">
        <f>IF(AND(ISNUMBER(D43),ISNUMBER(E43)),E43-D43,"")</f>
        <v/>
      </c>
      <c r="J43" s="26">
        <f>IF(AND(ISNUMBER(I43),ISNUMBER(G43)),IF(I43&gt;0,G43/I43,""),"")</f>
        <v/>
      </c>
      <c r="K43" s="25">
        <f>IF(COUNTA(A43:H43)=0,"",IF(OR(A43="",B43="",C43="",D43="",E43="",F43="",G43="",H43=""),"HATA: eksik bilgi",IF(COUNTIF(OdaListesi,A43)=0,"HATA: geçersiz oda no",IF(OR(NOT(ISNUMBER(D43)),NOT(ISNUMBER(E43))),"HATA: tarih geçersiz",IF(E43&lt;=D43,"HATA: çıkış girişten sonra olmalı",IF(OR(NOT(ISNUMBER(C43)),C43&lt;1,C43&gt;MaxKisi,C43&lt;&gt;INT(C43)),"HATA: kişi sayısı geçersiz",IF(OR(NOT(ISNUMBER(G43)),G43&lt;0),"HATA: tutar geçersiz",IF(B43&lt;&gt;TRIM(B43),"HATA: isimde baştaki/sondaki boşluk",IF(COUNTIF(KaynakAralik,H43)=0,"HATA: kaynak listede yok",IF(AND(F43&lt;&gt;"Bekleniyor",F43&lt;&gt;"Geldi",F43&lt;&gt;"İptal"),"HATA: giriş durumu geçersiz",IF(AND(F43&lt;&gt;"İptal",COUNTIFS($A$6:$A$1005,A43,$D$6:$D$1005,"&lt;"&amp;E43,$E$6:$E$1005,"&gt;"&amp;D43,$F$6:$F$1005,"&lt;&gt;İptal")&gt;1),"HATA: oda bu tarihlerde çakışıyor",IF(AND(F43="Bekleniyor",D43&lt;RaporTarihi),"HATA: giriş günü geçti, Geldi veya İptal yapın","OK"))))))))))))</f>
        <v/>
      </c>
      <c r="L43" s="25">
        <f>IF(AND(ISNUMBER(A43),F43&lt;&gt;"İptal",ISNUMBER(D43),ISNUMBER(E43),D43&lt;=RaporTarihi,E43&gt;RaporTarihi),A43,"")</f>
        <v/>
      </c>
    </row>
    <row r="44">
      <c r="A44" s="22" t="n"/>
      <c r="B44" s="22" t="n"/>
      <c r="C44" s="22" t="n"/>
      <c r="D44" s="23" t="n"/>
      <c r="E44" s="23" t="n"/>
      <c r="F44" s="22" t="n"/>
      <c r="G44" s="24" t="n"/>
      <c r="H44" s="22" t="n"/>
      <c r="I44" s="25">
        <f>IF(AND(ISNUMBER(D44),ISNUMBER(E44)),E44-D44,"")</f>
        <v/>
      </c>
      <c r="J44" s="26">
        <f>IF(AND(ISNUMBER(I44),ISNUMBER(G44)),IF(I44&gt;0,G44/I44,""),"")</f>
        <v/>
      </c>
      <c r="K44" s="25">
        <f>IF(COUNTA(A44:H44)=0,"",IF(OR(A44="",B44="",C44="",D44="",E44="",F44="",G44="",H44=""),"HATA: eksik bilgi",IF(COUNTIF(OdaListesi,A44)=0,"HATA: geçersiz oda no",IF(OR(NOT(ISNUMBER(D44)),NOT(ISNUMBER(E44))),"HATA: tarih geçersiz",IF(E44&lt;=D44,"HATA: çıkış girişten sonra olmalı",IF(OR(NOT(ISNUMBER(C44)),C44&lt;1,C44&gt;MaxKisi,C44&lt;&gt;INT(C44)),"HATA: kişi sayısı geçersiz",IF(OR(NOT(ISNUMBER(G44)),G44&lt;0),"HATA: tutar geçersiz",IF(B44&lt;&gt;TRIM(B44),"HATA: isimde baştaki/sondaki boşluk",IF(COUNTIF(KaynakAralik,H44)=0,"HATA: kaynak listede yok",IF(AND(F44&lt;&gt;"Bekleniyor",F44&lt;&gt;"Geldi",F44&lt;&gt;"İptal"),"HATA: giriş durumu geçersiz",IF(AND(F44&lt;&gt;"İptal",COUNTIFS($A$6:$A$1005,A44,$D$6:$D$1005,"&lt;"&amp;E44,$E$6:$E$1005,"&gt;"&amp;D44,$F$6:$F$1005,"&lt;&gt;İptal")&gt;1),"HATA: oda bu tarihlerde çakışıyor",IF(AND(F44="Bekleniyor",D44&lt;RaporTarihi),"HATA: giriş günü geçti, Geldi veya İptal yapın","OK"))))))))))))</f>
        <v/>
      </c>
      <c r="L44" s="25">
        <f>IF(AND(ISNUMBER(A44),F44&lt;&gt;"İptal",ISNUMBER(D44),ISNUMBER(E44),D44&lt;=RaporTarihi,E44&gt;RaporTarihi),A44,"")</f>
        <v/>
      </c>
    </row>
    <row r="45">
      <c r="A45" s="22" t="n"/>
      <c r="B45" s="22" t="n"/>
      <c r="C45" s="22" t="n"/>
      <c r="D45" s="23" t="n"/>
      <c r="E45" s="23" t="n"/>
      <c r="F45" s="22" t="n"/>
      <c r="G45" s="24" t="n"/>
      <c r="H45" s="22" t="n"/>
      <c r="I45" s="25">
        <f>IF(AND(ISNUMBER(D45),ISNUMBER(E45)),E45-D45,"")</f>
        <v/>
      </c>
      <c r="J45" s="26">
        <f>IF(AND(ISNUMBER(I45),ISNUMBER(G45)),IF(I45&gt;0,G45/I45,""),"")</f>
        <v/>
      </c>
      <c r="K45" s="25">
        <f>IF(COUNTA(A45:H45)=0,"",IF(OR(A45="",B45="",C45="",D45="",E45="",F45="",G45="",H45=""),"HATA: eksik bilgi",IF(COUNTIF(OdaListesi,A45)=0,"HATA: geçersiz oda no",IF(OR(NOT(ISNUMBER(D45)),NOT(ISNUMBER(E45))),"HATA: tarih geçersiz",IF(E45&lt;=D45,"HATA: çıkış girişten sonra olmalı",IF(OR(NOT(ISNUMBER(C45)),C45&lt;1,C45&gt;MaxKisi,C45&lt;&gt;INT(C45)),"HATA: kişi sayısı geçersiz",IF(OR(NOT(ISNUMBER(G45)),G45&lt;0),"HATA: tutar geçersiz",IF(B45&lt;&gt;TRIM(B45),"HATA: isimde baştaki/sondaki boşluk",IF(COUNTIF(KaynakAralik,H45)=0,"HATA: kaynak listede yok",IF(AND(F45&lt;&gt;"Bekleniyor",F45&lt;&gt;"Geldi",F45&lt;&gt;"İptal"),"HATA: giriş durumu geçersiz",IF(AND(F45&lt;&gt;"İptal",COUNTIFS($A$6:$A$1005,A45,$D$6:$D$1005,"&lt;"&amp;E45,$E$6:$E$1005,"&gt;"&amp;D45,$F$6:$F$1005,"&lt;&gt;İptal")&gt;1),"HATA: oda bu tarihlerde çakışıyor",IF(AND(F45="Bekleniyor",D45&lt;RaporTarihi),"HATA: giriş günü geçti, Geldi veya İptal yapın","OK"))))))))))))</f>
        <v/>
      </c>
      <c r="L45" s="25">
        <f>IF(AND(ISNUMBER(A45),F45&lt;&gt;"İptal",ISNUMBER(D45),ISNUMBER(E45),D45&lt;=RaporTarihi,E45&gt;RaporTarihi),A45,"")</f>
        <v/>
      </c>
    </row>
    <row r="46">
      <c r="A46" s="22" t="n"/>
      <c r="B46" s="22" t="n"/>
      <c r="C46" s="22" t="n"/>
      <c r="D46" s="23" t="n"/>
      <c r="E46" s="23" t="n"/>
      <c r="F46" s="22" t="n"/>
      <c r="G46" s="24" t="n"/>
      <c r="H46" s="22" t="n"/>
      <c r="I46" s="25">
        <f>IF(AND(ISNUMBER(D46),ISNUMBER(E46)),E46-D46,"")</f>
        <v/>
      </c>
      <c r="J46" s="26">
        <f>IF(AND(ISNUMBER(I46),ISNUMBER(G46)),IF(I46&gt;0,G46/I46,""),"")</f>
        <v/>
      </c>
      <c r="K46" s="25">
        <f>IF(COUNTA(A46:H46)=0,"",IF(OR(A46="",B46="",C46="",D46="",E46="",F46="",G46="",H46=""),"HATA: eksik bilgi",IF(COUNTIF(OdaListesi,A46)=0,"HATA: geçersiz oda no",IF(OR(NOT(ISNUMBER(D46)),NOT(ISNUMBER(E46))),"HATA: tarih geçersiz",IF(E46&lt;=D46,"HATA: çıkış girişten sonra olmalı",IF(OR(NOT(ISNUMBER(C46)),C46&lt;1,C46&gt;MaxKisi,C46&lt;&gt;INT(C46)),"HATA: kişi sayısı geçersiz",IF(OR(NOT(ISNUMBER(G46)),G46&lt;0),"HATA: tutar geçersiz",IF(B46&lt;&gt;TRIM(B46),"HATA: isimde baştaki/sondaki boşluk",IF(COUNTIF(KaynakAralik,H46)=0,"HATA: kaynak listede yok",IF(AND(F46&lt;&gt;"Bekleniyor",F46&lt;&gt;"Geldi",F46&lt;&gt;"İptal"),"HATA: giriş durumu geçersiz",IF(AND(F46&lt;&gt;"İptal",COUNTIFS($A$6:$A$1005,A46,$D$6:$D$1005,"&lt;"&amp;E46,$E$6:$E$1005,"&gt;"&amp;D46,$F$6:$F$1005,"&lt;&gt;İptal")&gt;1),"HATA: oda bu tarihlerde çakışıyor",IF(AND(F46="Bekleniyor",D46&lt;RaporTarihi),"HATA: giriş günü geçti, Geldi veya İptal yapın","OK"))))))))))))</f>
        <v/>
      </c>
      <c r="L46" s="25">
        <f>IF(AND(ISNUMBER(A46),F46&lt;&gt;"İptal",ISNUMBER(D46),ISNUMBER(E46),D46&lt;=RaporTarihi,E46&gt;RaporTarihi),A46,"")</f>
        <v/>
      </c>
    </row>
    <row r="47">
      <c r="A47" s="22" t="n"/>
      <c r="B47" s="22" t="n"/>
      <c r="C47" s="22" t="n"/>
      <c r="D47" s="23" t="n"/>
      <c r="E47" s="23" t="n"/>
      <c r="F47" s="22" t="n"/>
      <c r="G47" s="24" t="n"/>
      <c r="H47" s="22" t="n"/>
      <c r="I47" s="25">
        <f>IF(AND(ISNUMBER(D47),ISNUMBER(E47)),E47-D47,"")</f>
        <v/>
      </c>
      <c r="J47" s="26">
        <f>IF(AND(ISNUMBER(I47),ISNUMBER(G47)),IF(I47&gt;0,G47/I47,""),"")</f>
        <v/>
      </c>
      <c r="K47" s="25">
        <f>IF(COUNTA(A47:H47)=0,"",IF(OR(A47="",B47="",C47="",D47="",E47="",F47="",G47="",H47=""),"HATA: eksik bilgi",IF(COUNTIF(OdaListesi,A47)=0,"HATA: geçersiz oda no",IF(OR(NOT(ISNUMBER(D47)),NOT(ISNUMBER(E47))),"HATA: tarih geçersiz",IF(E47&lt;=D47,"HATA: çıkış girişten sonra olmalı",IF(OR(NOT(ISNUMBER(C47)),C47&lt;1,C47&gt;MaxKisi,C47&lt;&gt;INT(C47)),"HATA: kişi sayısı geçersiz",IF(OR(NOT(ISNUMBER(G47)),G47&lt;0),"HATA: tutar geçersiz",IF(B47&lt;&gt;TRIM(B47),"HATA: isimde baştaki/sondaki boşluk",IF(COUNTIF(KaynakAralik,H47)=0,"HATA: kaynak listede yok",IF(AND(F47&lt;&gt;"Bekleniyor",F47&lt;&gt;"Geldi",F47&lt;&gt;"İptal"),"HATA: giriş durumu geçersiz",IF(AND(F47&lt;&gt;"İptal",COUNTIFS($A$6:$A$1005,A47,$D$6:$D$1005,"&lt;"&amp;E47,$E$6:$E$1005,"&gt;"&amp;D47,$F$6:$F$1005,"&lt;&gt;İptal")&gt;1),"HATA: oda bu tarihlerde çakışıyor",IF(AND(F47="Bekleniyor",D47&lt;RaporTarihi),"HATA: giriş günü geçti, Geldi veya İptal yapın","OK"))))))))))))</f>
        <v/>
      </c>
      <c r="L47" s="25">
        <f>IF(AND(ISNUMBER(A47),F47&lt;&gt;"İptal",ISNUMBER(D47),ISNUMBER(E47),D47&lt;=RaporTarihi,E47&gt;RaporTarihi),A47,"")</f>
        <v/>
      </c>
    </row>
    <row r="48">
      <c r="A48" s="22" t="n"/>
      <c r="B48" s="22" t="n"/>
      <c r="C48" s="22" t="n"/>
      <c r="D48" s="23" t="n"/>
      <c r="E48" s="23" t="n"/>
      <c r="F48" s="22" t="n"/>
      <c r="G48" s="24" t="n"/>
      <c r="H48" s="22" t="n"/>
      <c r="I48" s="25">
        <f>IF(AND(ISNUMBER(D48),ISNUMBER(E48)),E48-D48,"")</f>
        <v/>
      </c>
      <c r="J48" s="26">
        <f>IF(AND(ISNUMBER(I48),ISNUMBER(G48)),IF(I48&gt;0,G48/I48,""),"")</f>
        <v/>
      </c>
      <c r="K48" s="25">
        <f>IF(COUNTA(A48:H48)=0,"",IF(OR(A48="",B48="",C48="",D48="",E48="",F48="",G48="",H48=""),"HATA: eksik bilgi",IF(COUNTIF(OdaListesi,A48)=0,"HATA: geçersiz oda no",IF(OR(NOT(ISNUMBER(D48)),NOT(ISNUMBER(E48))),"HATA: tarih geçersiz",IF(E48&lt;=D48,"HATA: çıkış girişten sonra olmalı",IF(OR(NOT(ISNUMBER(C48)),C48&lt;1,C48&gt;MaxKisi,C48&lt;&gt;INT(C48)),"HATA: kişi sayısı geçersiz",IF(OR(NOT(ISNUMBER(G48)),G48&lt;0),"HATA: tutar geçersiz",IF(B48&lt;&gt;TRIM(B48),"HATA: isimde baştaki/sondaki boşluk",IF(COUNTIF(KaynakAralik,H48)=0,"HATA: kaynak listede yok",IF(AND(F48&lt;&gt;"Bekleniyor",F48&lt;&gt;"Geldi",F48&lt;&gt;"İptal"),"HATA: giriş durumu geçersiz",IF(AND(F48&lt;&gt;"İptal",COUNTIFS($A$6:$A$1005,A48,$D$6:$D$1005,"&lt;"&amp;E48,$E$6:$E$1005,"&gt;"&amp;D48,$F$6:$F$1005,"&lt;&gt;İptal")&gt;1),"HATA: oda bu tarihlerde çakışıyor",IF(AND(F48="Bekleniyor",D48&lt;RaporTarihi),"HATA: giriş günü geçti, Geldi veya İptal yapın","OK"))))))))))))</f>
        <v/>
      </c>
      <c r="L48" s="25">
        <f>IF(AND(ISNUMBER(A48),F48&lt;&gt;"İptal",ISNUMBER(D48),ISNUMBER(E48),D48&lt;=RaporTarihi,E48&gt;RaporTarihi),A48,"")</f>
        <v/>
      </c>
    </row>
    <row r="49">
      <c r="A49" s="22" t="n"/>
      <c r="B49" s="22" t="n"/>
      <c r="C49" s="22" t="n"/>
      <c r="D49" s="23" t="n"/>
      <c r="E49" s="23" t="n"/>
      <c r="F49" s="22" t="n"/>
      <c r="G49" s="24" t="n"/>
      <c r="H49" s="22" t="n"/>
      <c r="I49" s="25">
        <f>IF(AND(ISNUMBER(D49),ISNUMBER(E49)),E49-D49,"")</f>
        <v/>
      </c>
      <c r="J49" s="26">
        <f>IF(AND(ISNUMBER(I49),ISNUMBER(G49)),IF(I49&gt;0,G49/I49,""),"")</f>
        <v/>
      </c>
      <c r="K49" s="25">
        <f>IF(COUNTA(A49:H49)=0,"",IF(OR(A49="",B49="",C49="",D49="",E49="",F49="",G49="",H49=""),"HATA: eksik bilgi",IF(COUNTIF(OdaListesi,A49)=0,"HATA: geçersiz oda no",IF(OR(NOT(ISNUMBER(D49)),NOT(ISNUMBER(E49))),"HATA: tarih geçersiz",IF(E49&lt;=D49,"HATA: çıkış girişten sonra olmalı",IF(OR(NOT(ISNUMBER(C49)),C49&lt;1,C49&gt;MaxKisi,C49&lt;&gt;INT(C49)),"HATA: kişi sayısı geçersiz",IF(OR(NOT(ISNUMBER(G49)),G49&lt;0),"HATA: tutar geçersiz",IF(B49&lt;&gt;TRIM(B49),"HATA: isimde baştaki/sondaki boşluk",IF(COUNTIF(KaynakAralik,H49)=0,"HATA: kaynak listede yok",IF(AND(F49&lt;&gt;"Bekleniyor",F49&lt;&gt;"Geldi",F49&lt;&gt;"İptal"),"HATA: giriş durumu geçersiz",IF(AND(F49&lt;&gt;"İptal",COUNTIFS($A$6:$A$1005,A49,$D$6:$D$1005,"&lt;"&amp;E49,$E$6:$E$1005,"&gt;"&amp;D49,$F$6:$F$1005,"&lt;&gt;İptal")&gt;1),"HATA: oda bu tarihlerde çakışıyor",IF(AND(F49="Bekleniyor",D49&lt;RaporTarihi),"HATA: giriş günü geçti, Geldi veya İptal yapın","OK"))))))))))))</f>
        <v/>
      </c>
      <c r="L49" s="25">
        <f>IF(AND(ISNUMBER(A49),F49&lt;&gt;"İptal",ISNUMBER(D49),ISNUMBER(E49),D49&lt;=RaporTarihi,E49&gt;RaporTarihi),A49,"")</f>
        <v/>
      </c>
    </row>
    <row r="50">
      <c r="A50" s="22" t="n"/>
      <c r="B50" s="22" t="n"/>
      <c r="C50" s="22" t="n"/>
      <c r="D50" s="23" t="n"/>
      <c r="E50" s="23" t="n"/>
      <c r="F50" s="22" t="n"/>
      <c r="G50" s="24" t="n"/>
      <c r="H50" s="22" t="n"/>
      <c r="I50" s="25">
        <f>IF(AND(ISNUMBER(D50),ISNUMBER(E50)),E50-D50,"")</f>
        <v/>
      </c>
      <c r="J50" s="26">
        <f>IF(AND(ISNUMBER(I50),ISNUMBER(G50)),IF(I50&gt;0,G50/I50,""),"")</f>
        <v/>
      </c>
      <c r="K50" s="25">
        <f>IF(COUNTA(A50:H50)=0,"",IF(OR(A50="",B50="",C50="",D50="",E50="",F50="",G50="",H50=""),"HATA: eksik bilgi",IF(COUNTIF(OdaListesi,A50)=0,"HATA: geçersiz oda no",IF(OR(NOT(ISNUMBER(D50)),NOT(ISNUMBER(E50))),"HATA: tarih geçersiz",IF(E50&lt;=D50,"HATA: çıkış girişten sonra olmalı",IF(OR(NOT(ISNUMBER(C50)),C50&lt;1,C50&gt;MaxKisi,C50&lt;&gt;INT(C50)),"HATA: kişi sayısı geçersiz",IF(OR(NOT(ISNUMBER(G50)),G50&lt;0),"HATA: tutar geçersiz",IF(B50&lt;&gt;TRIM(B50),"HATA: isimde baştaki/sondaki boşluk",IF(COUNTIF(KaynakAralik,H50)=0,"HATA: kaynak listede yok",IF(AND(F50&lt;&gt;"Bekleniyor",F50&lt;&gt;"Geldi",F50&lt;&gt;"İptal"),"HATA: giriş durumu geçersiz",IF(AND(F50&lt;&gt;"İptal",COUNTIFS($A$6:$A$1005,A50,$D$6:$D$1005,"&lt;"&amp;E50,$E$6:$E$1005,"&gt;"&amp;D50,$F$6:$F$1005,"&lt;&gt;İptal")&gt;1),"HATA: oda bu tarihlerde çakışıyor",IF(AND(F50="Bekleniyor",D50&lt;RaporTarihi),"HATA: giriş günü geçti, Geldi veya İptal yapın","OK"))))))))))))</f>
        <v/>
      </c>
      <c r="L50" s="25">
        <f>IF(AND(ISNUMBER(A50),F50&lt;&gt;"İptal",ISNUMBER(D50),ISNUMBER(E50),D50&lt;=RaporTarihi,E50&gt;RaporTarihi),A50,"")</f>
        <v/>
      </c>
    </row>
    <row r="51">
      <c r="A51" s="22" t="n"/>
      <c r="B51" s="22" t="n"/>
      <c r="C51" s="22" t="n"/>
      <c r="D51" s="23" t="n"/>
      <c r="E51" s="23" t="n"/>
      <c r="F51" s="22" t="n"/>
      <c r="G51" s="24" t="n"/>
      <c r="H51" s="22" t="n"/>
      <c r="I51" s="25">
        <f>IF(AND(ISNUMBER(D51),ISNUMBER(E51)),E51-D51,"")</f>
        <v/>
      </c>
      <c r="J51" s="26">
        <f>IF(AND(ISNUMBER(I51),ISNUMBER(G51)),IF(I51&gt;0,G51/I51,""),"")</f>
        <v/>
      </c>
      <c r="K51" s="25">
        <f>IF(COUNTA(A51:H51)=0,"",IF(OR(A51="",B51="",C51="",D51="",E51="",F51="",G51="",H51=""),"HATA: eksik bilgi",IF(COUNTIF(OdaListesi,A51)=0,"HATA: geçersiz oda no",IF(OR(NOT(ISNUMBER(D51)),NOT(ISNUMBER(E51))),"HATA: tarih geçersiz",IF(E51&lt;=D51,"HATA: çıkış girişten sonra olmalı",IF(OR(NOT(ISNUMBER(C51)),C51&lt;1,C51&gt;MaxKisi,C51&lt;&gt;INT(C51)),"HATA: kişi sayısı geçersiz",IF(OR(NOT(ISNUMBER(G51)),G51&lt;0),"HATA: tutar geçersiz",IF(B51&lt;&gt;TRIM(B51),"HATA: isimde baştaki/sondaki boşluk",IF(COUNTIF(KaynakAralik,H51)=0,"HATA: kaynak listede yok",IF(AND(F51&lt;&gt;"Bekleniyor",F51&lt;&gt;"Geldi",F51&lt;&gt;"İptal"),"HATA: giriş durumu geçersiz",IF(AND(F51&lt;&gt;"İptal",COUNTIFS($A$6:$A$1005,A51,$D$6:$D$1005,"&lt;"&amp;E51,$E$6:$E$1005,"&gt;"&amp;D51,$F$6:$F$1005,"&lt;&gt;İptal")&gt;1),"HATA: oda bu tarihlerde çakışıyor",IF(AND(F51="Bekleniyor",D51&lt;RaporTarihi),"HATA: giriş günü geçti, Geldi veya İptal yapın","OK"))))))))))))</f>
        <v/>
      </c>
      <c r="L51" s="25">
        <f>IF(AND(ISNUMBER(A51),F51&lt;&gt;"İptal",ISNUMBER(D51),ISNUMBER(E51),D51&lt;=RaporTarihi,E51&gt;RaporTarihi),A51,"")</f>
        <v/>
      </c>
    </row>
    <row r="52">
      <c r="A52" s="22" t="n"/>
      <c r="B52" s="22" t="n"/>
      <c r="C52" s="22" t="n"/>
      <c r="D52" s="23" t="n"/>
      <c r="E52" s="23" t="n"/>
      <c r="F52" s="22" t="n"/>
      <c r="G52" s="24" t="n"/>
      <c r="H52" s="22" t="n"/>
      <c r="I52" s="25">
        <f>IF(AND(ISNUMBER(D52),ISNUMBER(E52)),E52-D52,"")</f>
        <v/>
      </c>
      <c r="J52" s="26">
        <f>IF(AND(ISNUMBER(I52),ISNUMBER(G52)),IF(I52&gt;0,G52/I52,""),"")</f>
        <v/>
      </c>
      <c r="K52" s="25">
        <f>IF(COUNTA(A52:H52)=0,"",IF(OR(A52="",B52="",C52="",D52="",E52="",F52="",G52="",H52=""),"HATA: eksik bilgi",IF(COUNTIF(OdaListesi,A52)=0,"HATA: geçersiz oda no",IF(OR(NOT(ISNUMBER(D52)),NOT(ISNUMBER(E52))),"HATA: tarih geçersiz",IF(E52&lt;=D52,"HATA: çıkış girişten sonra olmalı",IF(OR(NOT(ISNUMBER(C52)),C52&lt;1,C52&gt;MaxKisi,C52&lt;&gt;INT(C52)),"HATA: kişi sayısı geçersiz",IF(OR(NOT(ISNUMBER(G52)),G52&lt;0),"HATA: tutar geçersiz",IF(B52&lt;&gt;TRIM(B52),"HATA: isimde baştaki/sondaki boşluk",IF(COUNTIF(KaynakAralik,H52)=0,"HATA: kaynak listede yok",IF(AND(F52&lt;&gt;"Bekleniyor",F52&lt;&gt;"Geldi",F52&lt;&gt;"İptal"),"HATA: giriş durumu geçersiz",IF(AND(F52&lt;&gt;"İptal",COUNTIFS($A$6:$A$1005,A52,$D$6:$D$1005,"&lt;"&amp;E52,$E$6:$E$1005,"&gt;"&amp;D52,$F$6:$F$1005,"&lt;&gt;İptal")&gt;1),"HATA: oda bu tarihlerde çakışıyor",IF(AND(F52="Bekleniyor",D52&lt;RaporTarihi),"HATA: giriş günü geçti, Geldi veya İptal yapın","OK"))))))))))))</f>
        <v/>
      </c>
      <c r="L52" s="25">
        <f>IF(AND(ISNUMBER(A52),F52&lt;&gt;"İptal",ISNUMBER(D52),ISNUMBER(E52),D52&lt;=RaporTarihi,E52&gt;RaporTarihi),A52,"")</f>
        <v/>
      </c>
    </row>
    <row r="53">
      <c r="A53" s="22" t="n"/>
      <c r="B53" s="22" t="n"/>
      <c r="C53" s="22" t="n"/>
      <c r="D53" s="23" t="n"/>
      <c r="E53" s="23" t="n"/>
      <c r="F53" s="22" t="n"/>
      <c r="G53" s="24" t="n"/>
      <c r="H53" s="22" t="n"/>
      <c r="I53" s="25">
        <f>IF(AND(ISNUMBER(D53),ISNUMBER(E53)),E53-D53,"")</f>
        <v/>
      </c>
      <c r="J53" s="26">
        <f>IF(AND(ISNUMBER(I53),ISNUMBER(G53)),IF(I53&gt;0,G53/I53,""),"")</f>
        <v/>
      </c>
      <c r="K53" s="25">
        <f>IF(COUNTA(A53:H53)=0,"",IF(OR(A53="",B53="",C53="",D53="",E53="",F53="",G53="",H53=""),"HATA: eksik bilgi",IF(COUNTIF(OdaListesi,A53)=0,"HATA: geçersiz oda no",IF(OR(NOT(ISNUMBER(D53)),NOT(ISNUMBER(E53))),"HATA: tarih geçersiz",IF(E53&lt;=D53,"HATA: çıkış girişten sonra olmalı",IF(OR(NOT(ISNUMBER(C53)),C53&lt;1,C53&gt;MaxKisi,C53&lt;&gt;INT(C53)),"HATA: kişi sayısı geçersiz",IF(OR(NOT(ISNUMBER(G53)),G53&lt;0),"HATA: tutar geçersiz",IF(B53&lt;&gt;TRIM(B53),"HATA: isimde baştaki/sondaki boşluk",IF(COUNTIF(KaynakAralik,H53)=0,"HATA: kaynak listede yok",IF(AND(F53&lt;&gt;"Bekleniyor",F53&lt;&gt;"Geldi",F53&lt;&gt;"İptal"),"HATA: giriş durumu geçersiz",IF(AND(F53&lt;&gt;"İptal",COUNTIFS($A$6:$A$1005,A53,$D$6:$D$1005,"&lt;"&amp;E53,$E$6:$E$1005,"&gt;"&amp;D53,$F$6:$F$1005,"&lt;&gt;İptal")&gt;1),"HATA: oda bu tarihlerde çakışıyor",IF(AND(F53="Bekleniyor",D53&lt;RaporTarihi),"HATA: giriş günü geçti, Geldi veya İptal yapın","OK"))))))))))))</f>
        <v/>
      </c>
      <c r="L53" s="25">
        <f>IF(AND(ISNUMBER(A53),F53&lt;&gt;"İptal",ISNUMBER(D53),ISNUMBER(E53),D53&lt;=RaporTarihi,E53&gt;RaporTarihi),A53,"")</f>
        <v/>
      </c>
    </row>
    <row r="54">
      <c r="A54" s="22" t="n"/>
      <c r="B54" s="22" t="n"/>
      <c r="C54" s="22" t="n"/>
      <c r="D54" s="23" t="n"/>
      <c r="E54" s="23" t="n"/>
      <c r="F54" s="22" t="n"/>
      <c r="G54" s="24" t="n"/>
      <c r="H54" s="22" t="n"/>
      <c r="I54" s="25">
        <f>IF(AND(ISNUMBER(D54),ISNUMBER(E54)),E54-D54,"")</f>
        <v/>
      </c>
      <c r="J54" s="26">
        <f>IF(AND(ISNUMBER(I54),ISNUMBER(G54)),IF(I54&gt;0,G54/I54,""),"")</f>
        <v/>
      </c>
      <c r="K54" s="25">
        <f>IF(COUNTA(A54:H54)=0,"",IF(OR(A54="",B54="",C54="",D54="",E54="",F54="",G54="",H54=""),"HATA: eksik bilgi",IF(COUNTIF(OdaListesi,A54)=0,"HATA: geçersiz oda no",IF(OR(NOT(ISNUMBER(D54)),NOT(ISNUMBER(E54))),"HATA: tarih geçersiz",IF(E54&lt;=D54,"HATA: çıkış girişten sonra olmalı",IF(OR(NOT(ISNUMBER(C54)),C54&lt;1,C54&gt;MaxKisi,C54&lt;&gt;INT(C54)),"HATA: kişi sayısı geçersiz",IF(OR(NOT(ISNUMBER(G54)),G54&lt;0),"HATA: tutar geçersiz",IF(B54&lt;&gt;TRIM(B54),"HATA: isimde baştaki/sondaki boşluk",IF(COUNTIF(KaynakAralik,H54)=0,"HATA: kaynak listede yok",IF(AND(F54&lt;&gt;"Bekleniyor",F54&lt;&gt;"Geldi",F54&lt;&gt;"İptal"),"HATA: giriş durumu geçersiz",IF(AND(F54&lt;&gt;"İptal",COUNTIFS($A$6:$A$1005,A54,$D$6:$D$1005,"&lt;"&amp;E54,$E$6:$E$1005,"&gt;"&amp;D54,$F$6:$F$1005,"&lt;&gt;İptal")&gt;1),"HATA: oda bu tarihlerde çakışıyor",IF(AND(F54="Bekleniyor",D54&lt;RaporTarihi),"HATA: giriş günü geçti, Geldi veya İptal yapın","OK"))))))))))))</f>
        <v/>
      </c>
      <c r="L54" s="25">
        <f>IF(AND(ISNUMBER(A54),F54&lt;&gt;"İptal",ISNUMBER(D54),ISNUMBER(E54),D54&lt;=RaporTarihi,E54&gt;RaporTarihi),A54,"")</f>
        <v/>
      </c>
    </row>
    <row r="55">
      <c r="A55" s="22" t="n"/>
      <c r="B55" s="22" t="n"/>
      <c r="C55" s="22" t="n"/>
      <c r="D55" s="23" t="n"/>
      <c r="E55" s="23" t="n"/>
      <c r="F55" s="22" t="n"/>
      <c r="G55" s="24" t="n"/>
      <c r="H55" s="22" t="n"/>
      <c r="I55" s="25">
        <f>IF(AND(ISNUMBER(D55),ISNUMBER(E55)),E55-D55,"")</f>
        <v/>
      </c>
      <c r="J55" s="26">
        <f>IF(AND(ISNUMBER(I55),ISNUMBER(G55)),IF(I55&gt;0,G55/I55,""),"")</f>
        <v/>
      </c>
      <c r="K55" s="25">
        <f>IF(COUNTA(A55:H55)=0,"",IF(OR(A55="",B55="",C55="",D55="",E55="",F55="",G55="",H55=""),"HATA: eksik bilgi",IF(COUNTIF(OdaListesi,A55)=0,"HATA: geçersiz oda no",IF(OR(NOT(ISNUMBER(D55)),NOT(ISNUMBER(E55))),"HATA: tarih geçersiz",IF(E55&lt;=D55,"HATA: çıkış girişten sonra olmalı",IF(OR(NOT(ISNUMBER(C55)),C55&lt;1,C55&gt;MaxKisi,C55&lt;&gt;INT(C55)),"HATA: kişi sayısı geçersiz",IF(OR(NOT(ISNUMBER(G55)),G55&lt;0),"HATA: tutar geçersiz",IF(B55&lt;&gt;TRIM(B55),"HATA: isimde baştaki/sondaki boşluk",IF(COUNTIF(KaynakAralik,H55)=0,"HATA: kaynak listede yok",IF(AND(F55&lt;&gt;"Bekleniyor",F55&lt;&gt;"Geldi",F55&lt;&gt;"İptal"),"HATA: giriş durumu geçersiz",IF(AND(F55&lt;&gt;"İptal",COUNTIFS($A$6:$A$1005,A55,$D$6:$D$1005,"&lt;"&amp;E55,$E$6:$E$1005,"&gt;"&amp;D55,$F$6:$F$1005,"&lt;&gt;İptal")&gt;1),"HATA: oda bu tarihlerde çakışıyor",IF(AND(F55="Bekleniyor",D55&lt;RaporTarihi),"HATA: giriş günü geçti, Geldi veya İptal yapın","OK"))))))))))))</f>
        <v/>
      </c>
      <c r="L55" s="25">
        <f>IF(AND(ISNUMBER(A55),F55&lt;&gt;"İptal",ISNUMBER(D55),ISNUMBER(E55),D55&lt;=RaporTarihi,E55&gt;RaporTarihi),A55,"")</f>
        <v/>
      </c>
    </row>
    <row r="56">
      <c r="A56" s="22" t="n"/>
      <c r="B56" s="22" t="n"/>
      <c r="C56" s="22" t="n"/>
      <c r="D56" s="23" t="n"/>
      <c r="E56" s="23" t="n"/>
      <c r="F56" s="22" t="n"/>
      <c r="G56" s="24" t="n"/>
      <c r="H56" s="22" t="n"/>
      <c r="I56" s="25">
        <f>IF(AND(ISNUMBER(D56),ISNUMBER(E56)),E56-D56,"")</f>
        <v/>
      </c>
      <c r="J56" s="26">
        <f>IF(AND(ISNUMBER(I56),ISNUMBER(G56)),IF(I56&gt;0,G56/I56,""),"")</f>
        <v/>
      </c>
      <c r="K56" s="25">
        <f>IF(COUNTA(A56:H56)=0,"",IF(OR(A56="",B56="",C56="",D56="",E56="",F56="",G56="",H56=""),"HATA: eksik bilgi",IF(COUNTIF(OdaListesi,A56)=0,"HATA: geçersiz oda no",IF(OR(NOT(ISNUMBER(D56)),NOT(ISNUMBER(E56))),"HATA: tarih geçersiz",IF(E56&lt;=D56,"HATA: çıkış girişten sonra olmalı",IF(OR(NOT(ISNUMBER(C56)),C56&lt;1,C56&gt;MaxKisi,C56&lt;&gt;INT(C56)),"HATA: kişi sayısı geçersiz",IF(OR(NOT(ISNUMBER(G56)),G56&lt;0),"HATA: tutar geçersiz",IF(B56&lt;&gt;TRIM(B56),"HATA: isimde baştaki/sondaki boşluk",IF(COUNTIF(KaynakAralik,H56)=0,"HATA: kaynak listede yok",IF(AND(F56&lt;&gt;"Bekleniyor",F56&lt;&gt;"Geldi",F56&lt;&gt;"İptal"),"HATA: giriş durumu geçersiz",IF(AND(F56&lt;&gt;"İptal",COUNTIFS($A$6:$A$1005,A56,$D$6:$D$1005,"&lt;"&amp;E56,$E$6:$E$1005,"&gt;"&amp;D56,$F$6:$F$1005,"&lt;&gt;İptal")&gt;1),"HATA: oda bu tarihlerde çakışıyor",IF(AND(F56="Bekleniyor",D56&lt;RaporTarihi),"HATA: giriş günü geçti, Geldi veya İptal yapın","OK"))))))))))))</f>
        <v/>
      </c>
      <c r="L56" s="25">
        <f>IF(AND(ISNUMBER(A56),F56&lt;&gt;"İptal",ISNUMBER(D56),ISNUMBER(E56),D56&lt;=RaporTarihi,E56&gt;RaporTarihi),A56,"")</f>
        <v/>
      </c>
    </row>
    <row r="57">
      <c r="A57" s="22" t="n"/>
      <c r="B57" s="22" t="n"/>
      <c r="C57" s="22" t="n"/>
      <c r="D57" s="23" t="n"/>
      <c r="E57" s="23" t="n"/>
      <c r="F57" s="22" t="n"/>
      <c r="G57" s="24" t="n"/>
      <c r="H57" s="22" t="n"/>
      <c r="I57" s="25">
        <f>IF(AND(ISNUMBER(D57),ISNUMBER(E57)),E57-D57,"")</f>
        <v/>
      </c>
      <c r="J57" s="26">
        <f>IF(AND(ISNUMBER(I57),ISNUMBER(G57)),IF(I57&gt;0,G57/I57,""),"")</f>
        <v/>
      </c>
      <c r="K57" s="25">
        <f>IF(COUNTA(A57:H57)=0,"",IF(OR(A57="",B57="",C57="",D57="",E57="",F57="",G57="",H57=""),"HATA: eksik bilgi",IF(COUNTIF(OdaListesi,A57)=0,"HATA: geçersiz oda no",IF(OR(NOT(ISNUMBER(D57)),NOT(ISNUMBER(E57))),"HATA: tarih geçersiz",IF(E57&lt;=D57,"HATA: çıkış girişten sonra olmalı",IF(OR(NOT(ISNUMBER(C57)),C57&lt;1,C57&gt;MaxKisi,C57&lt;&gt;INT(C57)),"HATA: kişi sayısı geçersiz",IF(OR(NOT(ISNUMBER(G57)),G57&lt;0),"HATA: tutar geçersiz",IF(B57&lt;&gt;TRIM(B57),"HATA: isimde baştaki/sondaki boşluk",IF(COUNTIF(KaynakAralik,H57)=0,"HATA: kaynak listede yok",IF(AND(F57&lt;&gt;"Bekleniyor",F57&lt;&gt;"Geldi",F57&lt;&gt;"İptal"),"HATA: giriş durumu geçersiz",IF(AND(F57&lt;&gt;"İptal",COUNTIFS($A$6:$A$1005,A57,$D$6:$D$1005,"&lt;"&amp;E57,$E$6:$E$1005,"&gt;"&amp;D57,$F$6:$F$1005,"&lt;&gt;İptal")&gt;1),"HATA: oda bu tarihlerde çakışıyor",IF(AND(F57="Bekleniyor",D57&lt;RaporTarihi),"HATA: giriş günü geçti, Geldi veya İptal yapın","OK"))))))))))))</f>
        <v/>
      </c>
      <c r="L57" s="25">
        <f>IF(AND(ISNUMBER(A57),F57&lt;&gt;"İptal",ISNUMBER(D57),ISNUMBER(E57),D57&lt;=RaporTarihi,E57&gt;RaporTarihi),A57,"")</f>
        <v/>
      </c>
    </row>
    <row r="58">
      <c r="A58" s="22" t="n"/>
      <c r="B58" s="22" t="n"/>
      <c r="C58" s="22" t="n"/>
      <c r="D58" s="23" t="n"/>
      <c r="E58" s="23" t="n"/>
      <c r="F58" s="22" t="n"/>
      <c r="G58" s="24" t="n"/>
      <c r="H58" s="22" t="n"/>
      <c r="I58" s="25">
        <f>IF(AND(ISNUMBER(D58),ISNUMBER(E58)),E58-D58,"")</f>
        <v/>
      </c>
      <c r="J58" s="26">
        <f>IF(AND(ISNUMBER(I58),ISNUMBER(G58)),IF(I58&gt;0,G58/I58,""),"")</f>
        <v/>
      </c>
      <c r="K58" s="25">
        <f>IF(COUNTA(A58:H58)=0,"",IF(OR(A58="",B58="",C58="",D58="",E58="",F58="",G58="",H58=""),"HATA: eksik bilgi",IF(COUNTIF(OdaListesi,A58)=0,"HATA: geçersiz oda no",IF(OR(NOT(ISNUMBER(D58)),NOT(ISNUMBER(E58))),"HATA: tarih geçersiz",IF(E58&lt;=D58,"HATA: çıkış girişten sonra olmalı",IF(OR(NOT(ISNUMBER(C58)),C58&lt;1,C58&gt;MaxKisi,C58&lt;&gt;INT(C58)),"HATA: kişi sayısı geçersiz",IF(OR(NOT(ISNUMBER(G58)),G58&lt;0),"HATA: tutar geçersiz",IF(B58&lt;&gt;TRIM(B58),"HATA: isimde baştaki/sondaki boşluk",IF(COUNTIF(KaynakAralik,H58)=0,"HATA: kaynak listede yok",IF(AND(F58&lt;&gt;"Bekleniyor",F58&lt;&gt;"Geldi",F58&lt;&gt;"İptal"),"HATA: giriş durumu geçersiz",IF(AND(F58&lt;&gt;"İptal",COUNTIFS($A$6:$A$1005,A58,$D$6:$D$1005,"&lt;"&amp;E58,$E$6:$E$1005,"&gt;"&amp;D58,$F$6:$F$1005,"&lt;&gt;İptal")&gt;1),"HATA: oda bu tarihlerde çakışıyor",IF(AND(F58="Bekleniyor",D58&lt;RaporTarihi),"HATA: giriş günü geçti, Geldi veya İptal yapın","OK"))))))))))))</f>
        <v/>
      </c>
      <c r="L58" s="25">
        <f>IF(AND(ISNUMBER(A58),F58&lt;&gt;"İptal",ISNUMBER(D58),ISNUMBER(E58),D58&lt;=RaporTarihi,E58&gt;RaporTarihi),A58,"")</f>
        <v/>
      </c>
    </row>
    <row r="59">
      <c r="A59" s="22" t="n"/>
      <c r="B59" s="22" t="n"/>
      <c r="C59" s="22" t="n"/>
      <c r="D59" s="23" t="n"/>
      <c r="E59" s="23" t="n"/>
      <c r="F59" s="22" t="n"/>
      <c r="G59" s="24" t="n"/>
      <c r="H59" s="22" t="n"/>
      <c r="I59" s="25">
        <f>IF(AND(ISNUMBER(D59),ISNUMBER(E59)),E59-D59,"")</f>
        <v/>
      </c>
      <c r="J59" s="26">
        <f>IF(AND(ISNUMBER(I59),ISNUMBER(G59)),IF(I59&gt;0,G59/I59,""),"")</f>
        <v/>
      </c>
      <c r="K59" s="25">
        <f>IF(COUNTA(A59:H59)=0,"",IF(OR(A59="",B59="",C59="",D59="",E59="",F59="",G59="",H59=""),"HATA: eksik bilgi",IF(COUNTIF(OdaListesi,A59)=0,"HATA: geçersiz oda no",IF(OR(NOT(ISNUMBER(D59)),NOT(ISNUMBER(E59))),"HATA: tarih geçersiz",IF(E59&lt;=D59,"HATA: çıkış girişten sonra olmalı",IF(OR(NOT(ISNUMBER(C59)),C59&lt;1,C59&gt;MaxKisi,C59&lt;&gt;INT(C59)),"HATA: kişi sayısı geçersiz",IF(OR(NOT(ISNUMBER(G59)),G59&lt;0),"HATA: tutar geçersiz",IF(B59&lt;&gt;TRIM(B59),"HATA: isimde baştaki/sondaki boşluk",IF(COUNTIF(KaynakAralik,H59)=0,"HATA: kaynak listede yok",IF(AND(F59&lt;&gt;"Bekleniyor",F59&lt;&gt;"Geldi",F59&lt;&gt;"İptal"),"HATA: giriş durumu geçersiz",IF(AND(F59&lt;&gt;"İptal",COUNTIFS($A$6:$A$1005,A59,$D$6:$D$1005,"&lt;"&amp;E59,$E$6:$E$1005,"&gt;"&amp;D59,$F$6:$F$1005,"&lt;&gt;İptal")&gt;1),"HATA: oda bu tarihlerde çakışıyor",IF(AND(F59="Bekleniyor",D59&lt;RaporTarihi),"HATA: giriş günü geçti, Geldi veya İptal yapın","OK"))))))))))))</f>
        <v/>
      </c>
      <c r="L59" s="25">
        <f>IF(AND(ISNUMBER(A59),F59&lt;&gt;"İptal",ISNUMBER(D59),ISNUMBER(E59),D59&lt;=RaporTarihi,E59&gt;RaporTarihi),A59,"")</f>
        <v/>
      </c>
    </row>
    <row r="60">
      <c r="A60" s="22" t="n"/>
      <c r="B60" s="22" t="n"/>
      <c r="C60" s="22" t="n"/>
      <c r="D60" s="23" t="n"/>
      <c r="E60" s="23" t="n"/>
      <c r="F60" s="22" t="n"/>
      <c r="G60" s="24" t="n"/>
      <c r="H60" s="22" t="n"/>
      <c r="I60" s="25">
        <f>IF(AND(ISNUMBER(D60),ISNUMBER(E60)),E60-D60,"")</f>
        <v/>
      </c>
      <c r="J60" s="26">
        <f>IF(AND(ISNUMBER(I60),ISNUMBER(G60)),IF(I60&gt;0,G60/I60,""),"")</f>
        <v/>
      </c>
      <c r="K60" s="25">
        <f>IF(COUNTA(A60:H60)=0,"",IF(OR(A60="",B60="",C60="",D60="",E60="",F60="",G60="",H60=""),"HATA: eksik bilgi",IF(COUNTIF(OdaListesi,A60)=0,"HATA: geçersiz oda no",IF(OR(NOT(ISNUMBER(D60)),NOT(ISNUMBER(E60))),"HATA: tarih geçersiz",IF(E60&lt;=D60,"HATA: çıkış girişten sonra olmalı",IF(OR(NOT(ISNUMBER(C60)),C60&lt;1,C60&gt;MaxKisi,C60&lt;&gt;INT(C60)),"HATA: kişi sayısı geçersiz",IF(OR(NOT(ISNUMBER(G60)),G60&lt;0),"HATA: tutar geçersiz",IF(B60&lt;&gt;TRIM(B60),"HATA: isimde baştaki/sondaki boşluk",IF(COUNTIF(KaynakAralik,H60)=0,"HATA: kaynak listede yok",IF(AND(F60&lt;&gt;"Bekleniyor",F60&lt;&gt;"Geldi",F60&lt;&gt;"İptal"),"HATA: giriş durumu geçersiz",IF(AND(F60&lt;&gt;"İptal",COUNTIFS($A$6:$A$1005,A60,$D$6:$D$1005,"&lt;"&amp;E60,$E$6:$E$1005,"&gt;"&amp;D60,$F$6:$F$1005,"&lt;&gt;İptal")&gt;1),"HATA: oda bu tarihlerde çakışıyor",IF(AND(F60="Bekleniyor",D60&lt;RaporTarihi),"HATA: giriş günü geçti, Geldi veya İptal yapın","OK"))))))))))))</f>
        <v/>
      </c>
      <c r="L60" s="25">
        <f>IF(AND(ISNUMBER(A60),F60&lt;&gt;"İptal",ISNUMBER(D60),ISNUMBER(E60),D60&lt;=RaporTarihi,E60&gt;RaporTarihi),A60,"")</f>
        <v/>
      </c>
    </row>
    <row r="61">
      <c r="A61" s="22" t="n"/>
      <c r="B61" s="22" t="n"/>
      <c r="C61" s="22" t="n"/>
      <c r="D61" s="23" t="n"/>
      <c r="E61" s="23" t="n"/>
      <c r="F61" s="22" t="n"/>
      <c r="G61" s="24" t="n"/>
      <c r="H61" s="22" t="n"/>
      <c r="I61" s="25">
        <f>IF(AND(ISNUMBER(D61),ISNUMBER(E61)),E61-D61,"")</f>
        <v/>
      </c>
      <c r="J61" s="26">
        <f>IF(AND(ISNUMBER(I61),ISNUMBER(G61)),IF(I61&gt;0,G61/I61,""),"")</f>
        <v/>
      </c>
      <c r="K61" s="25">
        <f>IF(COUNTA(A61:H61)=0,"",IF(OR(A61="",B61="",C61="",D61="",E61="",F61="",G61="",H61=""),"HATA: eksik bilgi",IF(COUNTIF(OdaListesi,A61)=0,"HATA: geçersiz oda no",IF(OR(NOT(ISNUMBER(D61)),NOT(ISNUMBER(E61))),"HATA: tarih geçersiz",IF(E61&lt;=D61,"HATA: çıkış girişten sonra olmalı",IF(OR(NOT(ISNUMBER(C61)),C61&lt;1,C61&gt;MaxKisi,C61&lt;&gt;INT(C61)),"HATA: kişi sayısı geçersiz",IF(OR(NOT(ISNUMBER(G61)),G61&lt;0),"HATA: tutar geçersiz",IF(B61&lt;&gt;TRIM(B61),"HATA: isimde baştaki/sondaki boşluk",IF(COUNTIF(KaynakAralik,H61)=0,"HATA: kaynak listede yok",IF(AND(F61&lt;&gt;"Bekleniyor",F61&lt;&gt;"Geldi",F61&lt;&gt;"İptal"),"HATA: giriş durumu geçersiz",IF(AND(F61&lt;&gt;"İptal",COUNTIFS($A$6:$A$1005,A61,$D$6:$D$1005,"&lt;"&amp;E61,$E$6:$E$1005,"&gt;"&amp;D61,$F$6:$F$1005,"&lt;&gt;İptal")&gt;1),"HATA: oda bu tarihlerde çakışıyor",IF(AND(F61="Bekleniyor",D61&lt;RaporTarihi),"HATA: giriş günü geçti, Geldi veya İptal yapın","OK"))))))))))))</f>
        <v/>
      </c>
      <c r="L61" s="25">
        <f>IF(AND(ISNUMBER(A61),F61&lt;&gt;"İptal",ISNUMBER(D61),ISNUMBER(E61),D61&lt;=RaporTarihi,E61&gt;RaporTarihi),A61,"")</f>
        <v/>
      </c>
    </row>
    <row r="62">
      <c r="A62" s="22" t="n"/>
      <c r="B62" s="22" t="n"/>
      <c r="C62" s="22" t="n"/>
      <c r="D62" s="23" t="n"/>
      <c r="E62" s="23" t="n"/>
      <c r="F62" s="22" t="n"/>
      <c r="G62" s="24" t="n"/>
      <c r="H62" s="22" t="n"/>
      <c r="I62" s="25">
        <f>IF(AND(ISNUMBER(D62),ISNUMBER(E62)),E62-D62,"")</f>
        <v/>
      </c>
      <c r="J62" s="26">
        <f>IF(AND(ISNUMBER(I62),ISNUMBER(G62)),IF(I62&gt;0,G62/I62,""),"")</f>
        <v/>
      </c>
      <c r="K62" s="25">
        <f>IF(COUNTA(A62:H62)=0,"",IF(OR(A62="",B62="",C62="",D62="",E62="",F62="",G62="",H62=""),"HATA: eksik bilgi",IF(COUNTIF(OdaListesi,A62)=0,"HATA: geçersiz oda no",IF(OR(NOT(ISNUMBER(D62)),NOT(ISNUMBER(E62))),"HATA: tarih geçersiz",IF(E62&lt;=D62,"HATA: çıkış girişten sonra olmalı",IF(OR(NOT(ISNUMBER(C62)),C62&lt;1,C62&gt;MaxKisi,C62&lt;&gt;INT(C62)),"HATA: kişi sayısı geçersiz",IF(OR(NOT(ISNUMBER(G62)),G62&lt;0),"HATA: tutar geçersiz",IF(B62&lt;&gt;TRIM(B62),"HATA: isimde baştaki/sondaki boşluk",IF(COUNTIF(KaynakAralik,H62)=0,"HATA: kaynak listede yok",IF(AND(F62&lt;&gt;"Bekleniyor",F62&lt;&gt;"Geldi",F62&lt;&gt;"İptal"),"HATA: giriş durumu geçersiz",IF(AND(F62&lt;&gt;"İptal",COUNTIFS($A$6:$A$1005,A62,$D$6:$D$1005,"&lt;"&amp;E62,$E$6:$E$1005,"&gt;"&amp;D62,$F$6:$F$1005,"&lt;&gt;İptal")&gt;1),"HATA: oda bu tarihlerde çakışıyor",IF(AND(F62="Bekleniyor",D62&lt;RaporTarihi),"HATA: giriş günü geçti, Geldi veya İptal yapın","OK"))))))))))))</f>
        <v/>
      </c>
      <c r="L62" s="25">
        <f>IF(AND(ISNUMBER(A62),F62&lt;&gt;"İptal",ISNUMBER(D62),ISNUMBER(E62),D62&lt;=RaporTarihi,E62&gt;RaporTarihi),A62,"")</f>
        <v/>
      </c>
    </row>
    <row r="63">
      <c r="A63" s="22" t="n"/>
      <c r="B63" s="22" t="n"/>
      <c r="C63" s="22" t="n"/>
      <c r="D63" s="23" t="n"/>
      <c r="E63" s="23" t="n"/>
      <c r="F63" s="22" t="n"/>
      <c r="G63" s="24" t="n"/>
      <c r="H63" s="22" t="n"/>
      <c r="I63" s="25">
        <f>IF(AND(ISNUMBER(D63),ISNUMBER(E63)),E63-D63,"")</f>
        <v/>
      </c>
      <c r="J63" s="26">
        <f>IF(AND(ISNUMBER(I63),ISNUMBER(G63)),IF(I63&gt;0,G63/I63,""),"")</f>
        <v/>
      </c>
      <c r="K63" s="25">
        <f>IF(COUNTA(A63:H63)=0,"",IF(OR(A63="",B63="",C63="",D63="",E63="",F63="",G63="",H63=""),"HATA: eksik bilgi",IF(COUNTIF(OdaListesi,A63)=0,"HATA: geçersiz oda no",IF(OR(NOT(ISNUMBER(D63)),NOT(ISNUMBER(E63))),"HATA: tarih geçersiz",IF(E63&lt;=D63,"HATA: çıkış girişten sonra olmalı",IF(OR(NOT(ISNUMBER(C63)),C63&lt;1,C63&gt;MaxKisi,C63&lt;&gt;INT(C63)),"HATA: kişi sayısı geçersiz",IF(OR(NOT(ISNUMBER(G63)),G63&lt;0),"HATA: tutar geçersiz",IF(B63&lt;&gt;TRIM(B63),"HATA: isimde baştaki/sondaki boşluk",IF(COUNTIF(KaynakAralik,H63)=0,"HATA: kaynak listede yok",IF(AND(F63&lt;&gt;"Bekleniyor",F63&lt;&gt;"Geldi",F63&lt;&gt;"İptal"),"HATA: giriş durumu geçersiz",IF(AND(F63&lt;&gt;"İptal",COUNTIFS($A$6:$A$1005,A63,$D$6:$D$1005,"&lt;"&amp;E63,$E$6:$E$1005,"&gt;"&amp;D63,$F$6:$F$1005,"&lt;&gt;İptal")&gt;1),"HATA: oda bu tarihlerde çakışıyor",IF(AND(F63="Bekleniyor",D63&lt;RaporTarihi),"HATA: giriş günü geçti, Geldi veya İptal yapın","OK"))))))))))))</f>
        <v/>
      </c>
      <c r="L63" s="25">
        <f>IF(AND(ISNUMBER(A63),F63&lt;&gt;"İptal",ISNUMBER(D63),ISNUMBER(E63),D63&lt;=RaporTarihi,E63&gt;RaporTarihi),A63,"")</f>
        <v/>
      </c>
    </row>
    <row r="64">
      <c r="A64" s="22" t="n"/>
      <c r="B64" s="22" t="n"/>
      <c r="C64" s="22" t="n"/>
      <c r="D64" s="23" t="n"/>
      <c r="E64" s="23" t="n"/>
      <c r="F64" s="22" t="n"/>
      <c r="G64" s="24" t="n"/>
      <c r="H64" s="22" t="n"/>
      <c r="I64" s="25">
        <f>IF(AND(ISNUMBER(D64),ISNUMBER(E64)),E64-D64,"")</f>
        <v/>
      </c>
      <c r="J64" s="26">
        <f>IF(AND(ISNUMBER(I64),ISNUMBER(G64)),IF(I64&gt;0,G64/I64,""),"")</f>
        <v/>
      </c>
      <c r="K64" s="25">
        <f>IF(COUNTA(A64:H64)=0,"",IF(OR(A64="",B64="",C64="",D64="",E64="",F64="",G64="",H64=""),"HATA: eksik bilgi",IF(COUNTIF(OdaListesi,A64)=0,"HATA: geçersiz oda no",IF(OR(NOT(ISNUMBER(D64)),NOT(ISNUMBER(E64))),"HATA: tarih geçersiz",IF(E64&lt;=D64,"HATA: çıkış girişten sonra olmalı",IF(OR(NOT(ISNUMBER(C64)),C64&lt;1,C64&gt;MaxKisi,C64&lt;&gt;INT(C64)),"HATA: kişi sayısı geçersiz",IF(OR(NOT(ISNUMBER(G64)),G64&lt;0),"HATA: tutar geçersiz",IF(B64&lt;&gt;TRIM(B64),"HATA: isimde baştaki/sondaki boşluk",IF(COUNTIF(KaynakAralik,H64)=0,"HATA: kaynak listede yok",IF(AND(F64&lt;&gt;"Bekleniyor",F64&lt;&gt;"Geldi",F64&lt;&gt;"İptal"),"HATA: giriş durumu geçersiz",IF(AND(F64&lt;&gt;"İptal",COUNTIFS($A$6:$A$1005,A64,$D$6:$D$1005,"&lt;"&amp;E64,$E$6:$E$1005,"&gt;"&amp;D64,$F$6:$F$1005,"&lt;&gt;İptal")&gt;1),"HATA: oda bu tarihlerde çakışıyor",IF(AND(F64="Bekleniyor",D64&lt;RaporTarihi),"HATA: giriş günü geçti, Geldi veya İptal yapın","OK"))))))))))))</f>
        <v/>
      </c>
      <c r="L64" s="25">
        <f>IF(AND(ISNUMBER(A64),F64&lt;&gt;"İptal",ISNUMBER(D64),ISNUMBER(E64),D64&lt;=RaporTarihi,E64&gt;RaporTarihi),A64,"")</f>
        <v/>
      </c>
    </row>
    <row r="65">
      <c r="A65" s="22" t="n"/>
      <c r="B65" s="22" t="n"/>
      <c r="C65" s="22" t="n"/>
      <c r="D65" s="23" t="n"/>
      <c r="E65" s="23" t="n"/>
      <c r="F65" s="22" t="n"/>
      <c r="G65" s="24" t="n"/>
      <c r="H65" s="22" t="n"/>
      <c r="I65" s="25">
        <f>IF(AND(ISNUMBER(D65),ISNUMBER(E65)),E65-D65,"")</f>
        <v/>
      </c>
      <c r="J65" s="26">
        <f>IF(AND(ISNUMBER(I65),ISNUMBER(G65)),IF(I65&gt;0,G65/I65,""),"")</f>
        <v/>
      </c>
      <c r="K65" s="25">
        <f>IF(COUNTA(A65:H65)=0,"",IF(OR(A65="",B65="",C65="",D65="",E65="",F65="",G65="",H65=""),"HATA: eksik bilgi",IF(COUNTIF(OdaListesi,A65)=0,"HATA: geçersiz oda no",IF(OR(NOT(ISNUMBER(D65)),NOT(ISNUMBER(E65))),"HATA: tarih geçersiz",IF(E65&lt;=D65,"HATA: çıkış girişten sonra olmalı",IF(OR(NOT(ISNUMBER(C65)),C65&lt;1,C65&gt;MaxKisi,C65&lt;&gt;INT(C65)),"HATA: kişi sayısı geçersiz",IF(OR(NOT(ISNUMBER(G65)),G65&lt;0),"HATA: tutar geçersiz",IF(B65&lt;&gt;TRIM(B65),"HATA: isimde baştaki/sondaki boşluk",IF(COUNTIF(KaynakAralik,H65)=0,"HATA: kaynak listede yok",IF(AND(F65&lt;&gt;"Bekleniyor",F65&lt;&gt;"Geldi",F65&lt;&gt;"İptal"),"HATA: giriş durumu geçersiz",IF(AND(F65&lt;&gt;"İptal",COUNTIFS($A$6:$A$1005,A65,$D$6:$D$1005,"&lt;"&amp;E65,$E$6:$E$1005,"&gt;"&amp;D65,$F$6:$F$1005,"&lt;&gt;İptal")&gt;1),"HATA: oda bu tarihlerde çakışıyor",IF(AND(F65="Bekleniyor",D65&lt;RaporTarihi),"HATA: giriş günü geçti, Geldi veya İptal yapın","OK"))))))))))))</f>
        <v/>
      </c>
      <c r="L65" s="25">
        <f>IF(AND(ISNUMBER(A65),F65&lt;&gt;"İptal",ISNUMBER(D65),ISNUMBER(E65),D65&lt;=RaporTarihi,E65&gt;RaporTarihi),A65,"")</f>
        <v/>
      </c>
    </row>
    <row r="66">
      <c r="A66" s="22" t="n"/>
      <c r="B66" s="22" t="n"/>
      <c r="C66" s="22" t="n"/>
      <c r="D66" s="23" t="n"/>
      <c r="E66" s="23" t="n"/>
      <c r="F66" s="22" t="n"/>
      <c r="G66" s="24" t="n"/>
      <c r="H66" s="22" t="n"/>
      <c r="I66" s="25">
        <f>IF(AND(ISNUMBER(D66),ISNUMBER(E66)),E66-D66,"")</f>
        <v/>
      </c>
      <c r="J66" s="26">
        <f>IF(AND(ISNUMBER(I66),ISNUMBER(G66)),IF(I66&gt;0,G66/I66,""),"")</f>
        <v/>
      </c>
      <c r="K66" s="25">
        <f>IF(COUNTA(A66:H66)=0,"",IF(OR(A66="",B66="",C66="",D66="",E66="",F66="",G66="",H66=""),"HATA: eksik bilgi",IF(COUNTIF(OdaListesi,A66)=0,"HATA: geçersiz oda no",IF(OR(NOT(ISNUMBER(D66)),NOT(ISNUMBER(E66))),"HATA: tarih geçersiz",IF(E66&lt;=D66,"HATA: çıkış girişten sonra olmalı",IF(OR(NOT(ISNUMBER(C66)),C66&lt;1,C66&gt;MaxKisi,C66&lt;&gt;INT(C66)),"HATA: kişi sayısı geçersiz",IF(OR(NOT(ISNUMBER(G66)),G66&lt;0),"HATA: tutar geçersiz",IF(B66&lt;&gt;TRIM(B66),"HATA: isimde baştaki/sondaki boşluk",IF(COUNTIF(KaynakAralik,H66)=0,"HATA: kaynak listede yok",IF(AND(F66&lt;&gt;"Bekleniyor",F66&lt;&gt;"Geldi",F66&lt;&gt;"İptal"),"HATA: giriş durumu geçersiz",IF(AND(F66&lt;&gt;"İptal",COUNTIFS($A$6:$A$1005,A66,$D$6:$D$1005,"&lt;"&amp;E66,$E$6:$E$1005,"&gt;"&amp;D66,$F$6:$F$1005,"&lt;&gt;İptal")&gt;1),"HATA: oda bu tarihlerde çakışıyor",IF(AND(F66="Bekleniyor",D66&lt;RaporTarihi),"HATA: giriş günü geçti, Geldi veya İptal yapın","OK"))))))))))))</f>
        <v/>
      </c>
      <c r="L66" s="25">
        <f>IF(AND(ISNUMBER(A66),F66&lt;&gt;"İptal",ISNUMBER(D66),ISNUMBER(E66),D66&lt;=RaporTarihi,E66&gt;RaporTarihi),A66,"")</f>
        <v/>
      </c>
    </row>
    <row r="67">
      <c r="A67" s="22" t="n"/>
      <c r="B67" s="22" t="n"/>
      <c r="C67" s="22" t="n"/>
      <c r="D67" s="23" t="n"/>
      <c r="E67" s="23" t="n"/>
      <c r="F67" s="22" t="n"/>
      <c r="G67" s="24" t="n"/>
      <c r="H67" s="22" t="n"/>
      <c r="I67" s="25">
        <f>IF(AND(ISNUMBER(D67),ISNUMBER(E67)),E67-D67,"")</f>
        <v/>
      </c>
      <c r="J67" s="26">
        <f>IF(AND(ISNUMBER(I67),ISNUMBER(G67)),IF(I67&gt;0,G67/I67,""),"")</f>
        <v/>
      </c>
      <c r="K67" s="25">
        <f>IF(COUNTA(A67:H67)=0,"",IF(OR(A67="",B67="",C67="",D67="",E67="",F67="",G67="",H67=""),"HATA: eksik bilgi",IF(COUNTIF(OdaListesi,A67)=0,"HATA: geçersiz oda no",IF(OR(NOT(ISNUMBER(D67)),NOT(ISNUMBER(E67))),"HATA: tarih geçersiz",IF(E67&lt;=D67,"HATA: çıkış girişten sonra olmalı",IF(OR(NOT(ISNUMBER(C67)),C67&lt;1,C67&gt;MaxKisi,C67&lt;&gt;INT(C67)),"HATA: kişi sayısı geçersiz",IF(OR(NOT(ISNUMBER(G67)),G67&lt;0),"HATA: tutar geçersiz",IF(B67&lt;&gt;TRIM(B67),"HATA: isimde baştaki/sondaki boşluk",IF(COUNTIF(KaynakAralik,H67)=0,"HATA: kaynak listede yok",IF(AND(F67&lt;&gt;"Bekleniyor",F67&lt;&gt;"Geldi",F67&lt;&gt;"İptal"),"HATA: giriş durumu geçersiz",IF(AND(F67&lt;&gt;"İptal",COUNTIFS($A$6:$A$1005,A67,$D$6:$D$1005,"&lt;"&amp;E67,$E$6:$E$1005,"&gt;"&amp;D67,$F$6:$F$1005,"&lt;&gt;İptal")&gt;1),"HATA: oda bu tarihlerde çakışıyor",IF(AND(F67="Bekleniyor",D67&lt;RaporTarihi),"HATA: giriş günü geçti, Geldi veya İptal yapın","OK"))))))))))))</f>
        <v/>
      </c>
      <c r="L67" s="25">
        <f>IF(AND(ISNUMBER(A67),F67&lt;&gt;"İptal",ISNUMBER(D67),ISNUMBER(E67),D67&lt;=RaporTarihi,E67&gt;RaporTarihi),A67,"")</f>
        <v/>
      </c>
    </row>
    <row r="68">
      <c r="A68" s="22" t="n"/>
      <c r="B68" s="22" t="n"/>
      <c r="C68" s="22" t="n"/>
      <c r="D68" s="23" t="n"/>
      <c r="E68" s="23" t="n"/>
      <c r="F68" s="22" t="n"/>
      <c r="G68" s="24" t="n"/>
      <c r="H68" s="22" t="n"/>
      <c r="I68" s="25">
        <f>IF(AND(ISNUMBER(D68),ISNUMBER(E68)),E68-D68,"")</f>
        <v/>
      </c>
      <c r="J68" s="26">
        <f>IF(AND(ISNUMBER(I68),ISNUMBER(G68)),IF(I68&gt;0,G68/I68,""),"")</f>
        <v/>
      </c>
      <c r="K68" s="25">
        <f>IF(COUNTA(A68:H68)=0,"",IF(OR(A68="",B68="",C68="",D68="",E68="",F68="",G68="",H68=""),"HATA: eksik bilgi",IF(COUNTIF(OdaListesi,A68)=0,"HATA: geçersiz oda no",IF(OR(NOT(ISNUMBER(D68)),NOT(ISNUMBER(E68))),"HATA: tarih geçersiz",IF(E68&lt;=D68,"HATA: çıkış girişten sonra olmalı",IF(OR(NOT(ISNUMBER(C68)),C68&lt;1,C68&gt;MaxKisi,C68&lt;&gt;INT(C68)),"HATA: kişi sayısı geçersiz",IF(OR(NOT(ISNUMBER(G68)),G68&lt;0),"HATA: tutar geçersiz",IF(B68&lt;&gt;TRIM(B68),"HATA: isimde baştaki/sondaki boşluk",IF(COUNTIF(KaynakAralik,H68)=0,"HATA: kaynak listede yok",IF(AND(F68&lt;&gt;"Bekleniyor",F68&lt;&gt;"Geldi",F68&lt;&gt;"İptal"),"HATA: giriş durumu geçersiz",IF(AND(F68&lt;&gt;"İptal",COUNTIFS($A$6:$A$1005,A68,$D$6:$D$1005,"&lt;"&amp;E68,$E$6:$E$1005,"&gt;"&amp;D68,$F$6:$F$1005,"&lt;&gt;İptal")&gt;1),"HATA: oda bu tarihlerde çakışıyor",IF(AND(F68="Bekleniyor",D68&lt;RaporTarihi),"HATA: giriş günü geçti, Geldi veya İptal yapın","OK"))))))))))))</f>
        <v/>
      </c>
      <c r="L68" s="25">
        <f>IF(AND(ISNUMBER(A68),F68&lt;&gt;"İptal",ISNUMBER(D68),ISNUMBER(E68),D68&lt;=RaporTarihi,E68&gt;RaporTarihi),A68,"")</f>
        <v/>
      </c>
    </row>
    <row r="69">
      <c r="A69" s="22" t="n"/>
      <c r="B69" s="22" t="n"/>
      <c r="C69" s="22" t="n"/>
      <c r="D69" s="23" t="n"/>
      <c r="E69" s="23" t="n"/>
      <c r="F69" s="22" t="n"/>
      <c r="G69" s="24" t="n"/>
      <c r="H69" s="22" t="n"/>
      <c r="I69" s="25">
        <f>IF(AND(ISNUMBER(D69),ISNUMBER(E69)),E69-D69,"")</f>
        <v/>
      </c>
      <c r="J69" s="26">
        <f>IF(AND(ISNUMBER(I69),ISNUMBER(G69)),IF(I69&gt;0,G69/I69,""),"")</f>
        <v/>
      </c>
      <c r="K69" s="25">
        <f>IF(COUNTA(A69:H69)=0,"",IF(OR(A69="",B69="",C69="",D69="",E69="",F69="",G69="",H69=""),"HATA: eksik bilgi",IF(COUNTIF(OdaListesi,A69)=0,"HATA: geçersiz oda no",IF(OR(NOT(ISNUMBER(D69)),NOT(ISNUMBER(E69))),"HATA: tarih geçersiz",IF(E69&lt;=D69,"HATA: çıkış girişten sonra olmalı",IF(OR(NOT(ISNUMBER(C69)),C69&lt;1,C69&gt;MaxKisi,C69&lt;&gt;INT(C69)),"HATA: kişi sayısı geçersiz",IF(OR(NOT(ISNUMBER(G69)),G69&lt;0),"HATA: tutar geçersiz",IF(B69&lt;&gt;TRIM(B69),"HATA: isimde baştaki/sondaki boşluk",IF(COUNTIF(KaynakAralik,H69)=0,"HATA: kaynak listede yok",IF(AND(F69&lt;&gt;"Bekleniyor",F69&lt;&gt;"Geldi",F69&lt;&gt;"İptal"),"HATA: giriş durumu geçersiz",IF(AND(F69&lt;&gt;"İptal",COUNTIFS($A$6:$A$1005,A69,$D$6:$D$1005,"&lt;"&amp;E69,$E$6:$E$1005,"&gt;"&amp;D69,$F$6:$F$1005,"&lt;&gt;İptal")&gt;1),"HATA: oda bu tarihlerde çakışıyor",IF(AND(F69="Bekleniyor",D69&lt;RaporTarihi),"HATA: giriş günü geçti, Geldi veya İptal yapın","OK"))))))))))))</f>
        <v/>
      </c>
      <c r="L69" s="25">
        <f>IF(AND(ISNUMBER(A69),F69&lt;&gt;"İptal",ISNUMBER(D69),ISNUMBER(E69),D69&lt;=RaporTarihi,E69&gt;RaporTarihi),A69,"")</f>
        <v/>
      </c>
    </row>
    <row r="70">
      <c r="A70" s="22" t="n"/>
      <c r="B70" s="22" t="n"/>
      <c r="C70" s="22" t="n"/>
      <c r="D70" s="23" t="n"/>
      <c r="E70" s="23" t="n"/>
      <c r="F70" s="22" t="n"/>
      <c r="G70" s="24" t="n"/>
      <c r="H70" s="22" t="n"/>
      <c r="I70" s="25">
        <f>IF(AND(ISNUMBER(D70),ISNUMBER(E70)),E70-D70,"")</f>
        <v/>
      </c>
      <c r="J70" s="26">
        <f>IF(AND(ISNUMBER(I70),ISNUMBER(G70)),IF(I70&gt;0,G70/I70,""),"")</f>
        <v/>
      </c>
      <c r="K70" s="25">
        <f>IF(COUNTA(A70:H70)=0,"",IF(OR(A70="",B70="",C70="",D70="",E70="",F70="",G70="",H70=""),"HATA: eksik bilgi",IF(COUNTIF(OdaListesi,A70)=0,"HATA: geçersiz oda no",IF(OR(NOT(ISNUMBER(D70)),NOT(ISNUMBER(E70))),"HATA: tarih geçersiz",IF(E70&lt;=D70,"HATA: çıkış girişten sonra olmalı",IF(OR(NOT(ISNUMBER(C70)),C70&lt;1,C70&gt;MaxKisi,C70&lt;&gt;INT(C70)),"HATA: kişi sayısı geçersiz",IF(OR(NOT(ISNUMBER(G70)),G70&lt;0),"HATA: tutar geçersiz",IF(B70&lt;&gt;TRIM(B70),"HATA: isimde baştaki/sondaki boşluk",IF(COUNTIF(KaynakAralik,H70)=0,"HATA: kaynak listede yok",IF(AND(F70&lt;&gt;"Bekleniyor",F70&lt;&gt;"Geldi",F70&lt;&gt;"İptal"),"HATA: giriş durumu geçersiz",IF(AND(F70&lt;&gt;"İptal",COUNTIFS($A$6:$A$1005,A70,$D$6:$D$1005,"&lt;"&amp;E70,$E$6:$E$1005,"&gt;"&amp;D70,$F$6:$F$1005,"&lt;&gt;İptal")&gt;1),"HATA: oda bu tarihlerde çakışıyor",IF(AND(F70="Bekleniyor",D70&lt;RaporTarihi),"HATA: giriş günü geçti, Geldi veya İptal yapın","OK"))))))))))))</f>
        <v/>
      </c>
      <c r="L70" s="25">
        <f>IF(AND(ISNUMBER(A70),F70&lt;&gt;"İptal",ISNUMBER(D70),ISNUMBER(E70),D70&lt;=RaporTarihi,E70&gt;RaporTarihi),A70,"")</f>
        <v/>
      </c>
    </row>
    <row r="71">
      <c r="A71" s="22" t="n"/>
      <c r="B71" s="22" t="n"/>
      <c r="C71" s="22" t="n"/>
      <c r="D71" s="23" t="n"/>
      <c r="E71" s="23" t="n"/>
      <c r="F71" s="22" t="n"/>
      <c r="G71" s="24" t="n"/>
      <c r="H71" s="22" t="n"/>
      <c r="I71" s="25">
        <f>IF(AND(ISNUMBER(D71),ISNUMBER(E71)),E71-D71,"")</f>
        <v/>
      </c>
      <c r="J71" s="26">
        <f>IF(AND(ISNUMBER(I71),ISNUMBER(G71)),IF(I71&gt;0,G71/I71,""),"")</f>
        <v/>
      </c>
      <c r="K71" s="25">
        <f>IF(COUNTA(A71:H71)=0,"",IF(OR(A71="",B71="",C71="",D71="",E71="",F71="",G71="",H71=""),"HATA: eksik bilgi",IF(COUNTIF(OdaListesi,A71)=0,"HATA: geçersiz oda no",IF(OR(NOT(ISNUMBER(D71)),NOT(ISNUMBER(E71))),"HATA: tarih geçersiz",IF(E71&lt;=D71,"HATA: çıkış girişten sonra olmalı",IF(OR(NOT(ISNUMBER(C71)),C71&lt;1,C71&gt;MaxKisi,C71&lt;&gt;INT(C71)),"HATA: kişi sayısı geçersiz",IF(OR(NOT(ISNUMBER(G71)),G71&lt;0),"HATA: tutar geçersiz",IF(B71&lt;&gt;TRIM(B71),"HATA: isimde baştaki/sondaki boşluk",IF(COUNTIF(KaynakAralik,H71)=0,"HATA: kaynak listede yok",IF(AND(F71&lt;&gt;"Bekleniyor",F71&lt;&gt;"Geldi",F71&lt;&gt;"İptal"),"HATA: giriş durumu geçersiz",IF(AND(F71&lt;&gt;"İptal",COUNTIFS($A$6:$A$1005,A71,$D$6:$D$1005,"&lt;"&amp;E71,$E$6:$E$1005,"&gt;"&amp;D71,$F$6:$F$1005,"&lt;&gt;İptal")&gt;1),"HATA: oda bu tarihlerde çakışıyor",IF(AND(F71="Bekleniyor",D71&lt;RaporTarihi),"HATA: giriş günü geçti, Geldi veya İptal yapın","OK"))))))))))))</f>
        <v/>
      </c>
      <c r="L71" s="25">
        <f>IF(AND(ISNUMBER(A71),F71&lt;&gt;"İptal",ISNUMBER(D71),ISNUMBER(E71),D71&lt;=RaporTarihi,E71&gt;RaporTarihi),A71,"")</f>
        <v/>
      </c>
    </row>
    <row r="72">
      <c r="A72" s="22" t="n"/>
      <c r="B72" s="22" t="n"/>
      <c r="C72" s="22" t="n"/>
      <c r="D72" s="23" t="n"/>
      <c r="E72" s="23" t="n"/>
      <c r="F72" s="22" t="n"/>
      <c r="G72" s="24" t="n"/>
      <c r="H72" s="22" t="n"/>
      <c r="I72" s="25">
        <f>IF(AND(ISNUMBER(D72),ISNUMBER(E72)),E72-D72,"")</f>
        <v/>
      </c>
      <c r="J72" s="26">
        <f>IF(AND(ISNUMBER(I72),ISNUMBER(G72)),IF(I72&gt;0,G72/I72,""),"")</f>
        <v/>
      </c>
      <c r="K72" s="25">
        <f>IF(COUNTA(A72:H72)=0,"",IF(OR(A72="",B72="",C72="",D72="",E72="",F72="",G72="",H72=""),"HATA: eksik bilgi",IF(COUNTIF(OdaListesi,A72)=0,"HATA: geçersiz oda no",IF(OR(NOT(ISNUMBER(D72)),NOT(ISNUMBER(E72))),"HATA: tarih geçersiz",IF(E72&lt;=D72,"HATA: çıkış girişten sonra olmalı",IF(OR(NOT(ISNUMBER(C72)),C72&lt;1,C72&gt;MaxKisi,C72&lt;&gt;INT(C72)),"HATA: kişi sayısı geçersiz",IF(OR(NOT(ISNUMBER(G72)),G72&lt;0),"HATA: tutar geçersiz",IF(B72&lt;&gt;TRIM(B72),"HATA: isimde baştaki/sondaki boşluk",IF(COUNTIF(KaynakAralik,H72)=0,"HATA: kaynak listede yok",IF(AND(F72&lt;&gt;"Bekleniyor",F72&lt;&gt;"Geldi",F72&lt;&gt;"İptal"),"HATA: giriş durumu geçersiz",IF(AND(F72&lt;&gt;"İptal",COUNTIFS($A$6:$A$1005,A72,$D$6:$D$1005,"&lt;"&amp;E72,$E$6:$E$1005,"&gt;"&amp;D72,$F$6:$F$1005,"&lt;&gt;İptal")&gt;1),"HATA: oda bu tarihlerde çakışıyor",IF(AND(F72="Bekleniyor",D72&lt;RaporTarihi),"HATA: giriş günü geçti, Geldi veya İptal yapın","OK"))))))))))))</f>
        <v/>
      </c>
      <c r="L72" s="25">
        <f>IF(AND(ISNUMBER(A72),F72&lt;&gt;"İptal",ISNUMBER(D72),ISNUMBER(E72),D72&lt;=RaporTarihi,E72&gt;RaporTarihi),A72,"")</f>
        <v/>
      </c>
    </row>
    <row r="73">
      <c r="A73" s="22" t="n"/>
      <c r="B73" s="22" t="n"/>
      <c r="C73" s="22" t="n"/>
      <c r="D73" s="23" t="n"/>
      <c r="E73" s="23" t="n"/>
      <c r="F73" s="22" t="n"/>
      <c r="G73" s="24" t="n"/>
      <c r="H73" s="22" t="n"/>
      <c r="I73" s="25">
        <f>IF(AND(ISNUMBER(D73),ISNUMBER(E73)),E73-D73,"")</f>
        <v/>
      </c>
      <c r="J73" s="26">
        <f>IF(AND(ISNUMBER(I73),ISNUMBER(G73)),IF(I73&gt;0,G73/I73,""),"")</f>
        <v/>
      </c>
      <c r="K73" s="25">
        <f>IF(COUNTA(A73:H73)=0,"",IF(OR(A73="",B73="",C73="",D73="",E73="",F73="",G73="",H73=""),"HATA: eksik bilgi",IF(COUNTIF(OdaListesi,A73)=0,"HATA: geçersiz oda no",IF(OR(NOT(ISNUMBER(D73)),NOT(ISNUMBER(E73))),"HATA: tarih geçersiz",IF(E73&lt;=D73,"HATA: çıkış girişten sonra olmalı",IF(OR(NOT(ISNUMBER(C73)),C73&lt;1,C73&gt;MaxKisi,C73&lt;&gt;INT(C73)),"HATA: kişi sayısı geçersiz",IF(OR(NOT(ISNUMBER(G73)),G73&lt;0),"HATA: tutar geçersiz",IF(B73&lt;&gt;TRIM(B73),"HATA: isimde baştaki/sondaki boşluk",IF(COUNTIF(KaynakAralik,H73)=0,"HATA: kaynak listede yok",IF(AND(F73&lt;&gt;"Bekleniyor",F73&lt;&gt;"Geldi",F73&lt;&gt;"İptal"),"HATA: giriş durumu geçersiz",IF(AND(F73&lt;&gt;"İptal",COUNTIFS($A$6:$A$1005,A73,$D$6:$D$1005,"&lt;"&amp;E73,$E$6:$E$1005,"&gt;"&amp;D73,$F$6:$F$1005,"&lt;&gt;İptal")&gt;1),"HATA: oda bu tarihlerde çakışıyor",IF(AND(F73="Bekleniyor",D73&lt;RaporTarihi),"HATA: giriş günü geçti, Geldi veya İptal yapın","OK"))))))))))))</f>
        <v/>
      </c>
      <c r="L73" s="25">
        <f>IF(AND(ISNUMBER(A73),F73&lt;&gt;"İptal",ISNUMBER(D73),ISNUMBER(E73),D73&lt;=RaporTarihi,E73&gt;RaporTarihi),A73,"")</f>
        <v/>
      </c>
    </row>
    <row r="74">
      <c r="A74" s="22" t="n"/>
      <c r="B74" s="22" t="n"/>
      <c r="C74" s="22" t="n"/>
      <c r="D74" s="23" t="n"/>
      <c r="E74" s="23" t="n"/>
      <c r="F74" s="22" t="n"/>
      <c r="G74" s="24" t="n"/>
      <c r="H74" s="22" t="n"/>
      <c r="I74" s="25">
        <f>IF(AND(ISNUMBER(D74),ISNUMBER(E74)),E74-D74,"")</f>
        <v/>
      </c>
      <c r="J74" s="26">
        <f>IF(AND(ISNUMBER(I74),ISNUMBER(G74)),IF(I74&gt;0,G74/I74,""),"")</f>
        <v/>
      </c>
      <c r="K74" s="25">
        <f>IF(COUNTA(A74:H74)=0,"",IF(OR(A74="",B74="",C74="",D74="",E74="",F74="",G74="",H74=""),"HATA: eksik bilgi",IF(COUNTIF(OdaListesi,A74)=0,"HATA: geçersiz oda no",IF(OR(NOT(ISNUMBER(D74)),NOT(ISNUMBER(E74))),"HATA: tarih geçersiz",IF(E74&lt;=D74,"HATA: çıkış girişten sonra olmalı",IF(OR(NOT(ISNUMBER(C74)),C74&lt;1,C74&gt;MaxKisi,C74&lt;&gt;INT(C74)),"HATA: kişi sayısı geçersiz",IF(OR(NOT(ISNUMBER(G74)),G74&lt;0),"HATA: tutar geçersiz",IF(B74&lt;&gt;TRIM(B74),"HATA: isimde baştaki/sondaki boşluk",IF(COUNTIF(KaynakAralik,H74)=0,"HATA: kaynak listede yok",IF(AND(F74&lt;&gt;"Bekleniyor",F74&lt;&gt;"Geldi",F74&lt;&gt;"İptal"),"HATA: giriş durumu geçersiz",IF(AND(F74&lt;&gt;"İptal",COUNTIFS($A$6:$A$1005,A74,$D$6:$D$1005,"&lt;"&amp;E74,$E$6:$E$1005,"&gt;"&amp;D74,$F$6:$F$1005,"&lt;&gt;İptal")&gt;1),"HATA: oda bu tarihlerde çakışıyor",IF(AND(F74="Bekleniyor",D74&lt;RaporTarihi),"HATA: giriş günü geçti, Geldi veya İptal yapın","OK"))))))))))))</f>
        <v/>
      </c>
      <c r="L74" s="25">
        <f>IF(AND(ISNUMBER(A74),F74&lt;&gt;"İptal",ISNUMBER(D74),ISNUMBER(E74),D74&lt;=RaporTarihi,E74&gt;RaporTarihi),A74,"")</f>
        <v/>
      </c>
    </row>
    <row r="75">
      <c r="A75" s="22" t="n"/>
      <c r="B75" s="22" t="n"/>
      <c r="C75" s="22" t="n"/>
      <c r="D75" s="23" t="n"/>
      <c r="E75" s="23" t="n"/>
      <c r="F75" s="22" t="n"/>
      <c r="G75" s="24" t="n"/>
      <c r="H75" s="22" t="n"/>
      <c r="I75" s="25">
        <f>IF(AND(ISNUMBER(D75),ISNUMBER(E75)),E75-D75,"")</f>
        <v/>
      </c>
      <c r="J75" s="26">
        <f>IF(AND(ISNUMBER(I75),ISNUMBER(G75)),IF(I75&gt;0,G75/I75,""),"")</f>
        <v/>
      </c>
      <c r="K75" s="25">
        <f>IF(COUNTA(A75:H75)=0,"",IF(OR(A75="",B75="",C75="",D75="",E75="",F75="",G75="",H75=""),"HATA: eksik bilgi",IF(COUNTIF(OdaListesi,A75)=0,"HATA: geçersiz oda no",IF(OR(NOT(ISNUMBER(D75)),NOT(ISNUMBER(E75))),"HATA: tarih geçersiz",IF(E75&lt;=D75,"HATA: çıkış girişten sonra olmalı",IF(OR(NOT(ISNUMBER(C75)),C75&lt;1,C75&gt;MaxKisi,C75&lt;&gt;INT(C75)),"HATA: kişi sayısı geçersiz",IF(OR(NOT(ISNUMBER(G75)),G75&lt;0),"HATA: tutar geçersiz",IF(B75&lt;&gt;TRIM(B75),"HATA: isimde baştaki/sondaki boşluk",IF(COUNTIF(KaynakAralik,H75)=0,"HATA: kaynak listede yok",IF(AND(F75&lt;&gt;"Bekleniyor",F75&lt;&gt;"Geldi",F75&lt;&gt;"İptal"),"HATA: giriş durumu geçersiz",IF(AND(F75&lt;&gt;"İptal",COUNTIFS($A$6:$A$1005,A75,$D$6:$D$1005,"&lt;"&amp;E75,$E$6:$E$1005,"&gt;"&amp;D75,$F$6:$F$1005,"&lt;&gt;İptal")&gt;1),"HATA: oda bu tarihlerde çakışıyor",IF(AND(F75="Bekleniyor",D75&lt;RaporTarihi),"HATA: giriş günü geçti, Geldi veya İptal yapın","OK"))))))))))))</f>
        <v/>
      </c>
      <c r="L75" s="25">
        <f>IF(AND(ISNUMBER(A75),F75&lt;&gt;"İptal",ISNUMBER(D75),ISNUMBER(E75),D75&lt;=RaporTarihi,E75&gt;RaporTarihi),A75,"")</f>
        <v/>
      </c>
    </row>
    <row r="76">
      <c r="A76" s="22" t="n"/>
      <c r="B76" s="22" t="n"/>
      <c r="C76" s="22" t="n"/>
      <c r="D76" s="23" t="n"/>
      <c r="E76" s="23" t="n"/>
      <c r="F76" s="22" t="n"/>
      <c r="G76" s="24" t="n"/>
      <c r="H76" s="22" t="n"/>
      <c r="I76" s="25">
        <f>IF(AND(ISNUMBER(D76),ISNUMBER(E76)),E76-D76,"")</f>
        <v/>
      </c>
      <c r="J76" s="26">
        <f>IF(AND(ISNUMBER(I76),ISNUMBER(G76)),IF(I76&gt;0,G76/I76,""),"")</f>
        <v/>
      </c>
      <c r="K76" s="25">
        <f>IF(COUNTA(A76:H76)=0,"",IF(OR(A76="",B76="",C76="",D76="",E76="",F76="",G76="",H76=""),"HATA: eksik bilgi",IF(COUNTIF(OdaListesi,A76)=0,"HATA: geçersiz oda no",IF(OR(NOT(ISNUMBER(D76)),NOT(ISNUMBER(E76))),"HATA: tarih geçersiz",IF(E76&lt;=D76,"HATA: çıkış girişten sonra olmalı",IF(OR(NOT(ISNUMBER(C76)),C76&lt;1,C76&gt;MaxKisi,C76&lt;&gt;INT(C76)),"HATA: kişi sayısı geçersiz",IF(OR(NOT(ISNUMBER(G76)),G76&lt;0),"HATA: tutar geçersiz",IF(B76&lt;&gt;TRIM(B76),"HATA: isimde baştaki/sondaki boşluk",IF(COUNTIF(KaynakAralik,H76)=0,"HATA: kaynak listede yok",IF(AND(F76&lt;&gt;"Bekleniyor",F76&lt;&gt;"Geldi",F76&lt;&gt;"İptal"),"HATA: giriş durumu geçersiz",IF(AND(F76&lt;&gt;"İptal",COUNTIFS($A$6:$A$1005,A76,$D$6:$D$1005,"&lt;"&amp;E76,$E$6:$E$1005,"&gt;"&amp;D76,$F$6:$F$1005,"&lt;&gt;İptal")&gt;1),"HATA: oda bu tarihlerde çakışıyor",IF(AND(F76="Bekleniyor",D76&lt;RaporTarihi),"HATA: giriş günü geçti, Geldi veya İptal yapın","OK"))))))))))))</f>
        <v/>
      </c>
      <c r="L76" s="25">
        <f>IF(AND(ISNUMBER(A76),F76&lt;&gt;"İptal",ISNUMBER(D76),ISNUMBER(E76),D76&lt;=RaporTarihi,E76&gt;RaporTarihi),A76,"")</f>
        <v/>
      </c>
    </row>
    <row r="77">
      <c r="A77" s="22" t="n"/>
      <c r="B77" s="22" t="n"/>
      <c r="C77" s="22" t="n"/>
      <c r="D77" s="23" t="n"/>
      <c r="E77" s="23" t="n"/>
      <c r="F77" s="22" t="n"/>
      <c r="G77" s="24" t="n"/>
      <c r="H77" s="22" t="n"/>
      <c r="I77" s="25">
        <f>IF(AND(ISNUMBER(D77),ISNUMBER(E77)),E77-D77,"")</f>
        <v/>
      </c>
      <c r="J77" s="26">
        <f>IF(AND(ISNUMBER(I77),ISNUMBER(G77)),IF(I77&gt;0,G77/I77,""),"")</f>
        <v/>
      </c>
      <c r="K77" s="25">
        <f>IF(COUNTA(A77:H77)=0,"",IF(OR(A77="",B77="",C77="",D77="",E77="",F77="",G77="",H77=""),"HATA: eksik bilgi",IF(COUNTIF(OdaListesi,A77)=0,"HATA: geçersiz oda no",IF(OR(NOT(ISNUMBER(D77)),NOT(ISNUMBER(E77))),"HATA: tarih geçersiz",IF(E77&lt;=D77,"HATA: çıkış girişten sonra olmalı",IF(OR(NOT(ISNUMBER(C77)),C77&lt;1,C77&gt;MaxKisi,C77&lt;&gt;INT(C77)),"HATA: kişi sayısı geçersiz",IF(OR(NOT(ISNUMBER(G77)),G77&lt;0),"HATA: tutar geçersiz",IF(B77&lt;&gt;TRIM(B77),"HATA: isimde baştaki/sondaki boşluk",IF(COUNTIF(KaynakAralik,H77)=0,"HATA: kaynak listede yok",IF(AND(F77&lt;&gt;"Bekleniyor",F77&lt;&gt;"Geldi",F77&lt;&gt;"İptal"),"HATA: giriş durumu geçersiz",IF(AND(F77&lt;&gt;"İptal",COUNTIFS($A$6:$A$1005,A77,$D$6:$D$1005,"&lt;"&amp;E77,$E$6:$E$1005,"&gt;"&amp;D77,$F$6:$F$1005,"&lt;&gt;İptal")&gt;1),"HATA: oda bu tarihlerde çakışıyor",IF(AND(F77="Bekleniyor",D77&lt;RaporTarihi),"HATA: giriş günü geçti, Geldi veya İptal yapın","OK"))))))))))))</f>
        <v/>
      </c>
      <c r="L77" s="25">
        <f>IF(AND(ISNUMBER(A77),F77&lt;&gt;"İptal",ISNUMBER(D77),ISNUMBER(E77),D77&lt;=RaporTarihi,E77&gt;RaporTarihi),A77,"")</f>
        <v/>
      </c>
    </row>
    <row r="78">
      <c r="A78" s="22" t="n"/>
      <c r="B78" s="22" t="n"/>
      <c r="C78" s="22" t="n"/>
      <c r="D78" s="23" t="n"/>
      <c r="E78" s="23" t="n"/>
      <c r="F78" s="22" t="n"/>
      <c r="G78" s="24" t="n"/>
      <c r="H78" s="22" t="n"/>
      <c r="I78" s="25">
        <f>IF(AND(ISNUMBER(D78),ISNUMBER(E78)),E78-D78,"")</f>
        <v/>
      </c>
      <c r="J78" s="26">
        <f>IF(AND(ISNUMBER(I78),ISNUMBER(G78)),IF(I78&gt;0,G78/I78,""),"")</f>
        <v/>
      </c>
      <c r="K78" s="25">
        <f>IF(COUNTA(A78:H78)=0,"",IF(OR(A78="",B78="",C78="",D78="",E78="",F78="",G78="",H78=""),"HATA: eksik bilgi",IF(COUNTIF(OdaListesi,A78)=0,"HATA: geçersiz oda no",IF(OR(NOT(ISNUMBER(D78)),NOT(ISNUMBER(E78))),"HATA: tarih geçersiz",IF(E78&lt;=D78,"HATA: çıkış girişten sonra olmalı",IF(OR(NOT(ISNUMBER(C78)),C78&lt;1,C78&gt;MaxKisi,C78&lt;&gt;INT(C78)),"HATA: kişi sayısı geçersiz",IF(OR(NOT(ISNUMBER(G78)),G78&lt;0),"HATA: tutar geçersiz",IF(B78&lt;&gt;TRIM(B78),"HATA: isimde baştaki/sondaki boşluk",IF(COUNTIF(KaynakAralik,H78)=0,"HATA: kaynak listede yok",IF(AND(F78&lt;&gt;"Bekleniyor",F78&lt;&gt;"Geldi",F78&lt;&gt;"İptal"),"HATA: giriş durumu geçersiz",IF(AND(F78&lt;&gt;"İptal",COUNTIFS($A$6:$A$1005,A78,$D$6:$D$1005,"&lt;"&amp;E78,$E$6:$E$1005,"&gt;"&amp;D78,$F$6:$F$1005,"&lt;&gt;İptal")&gt;1),"HATA: oda bu tarihlerde çakışıyor",IF(AND(F78="Bekleniyor",D78&lt;RaporTarihi),"HATA: giriş günü geçti, Geldi veya İptal yapın","OK"))))))))))))</f>
        <v/>
      </c>
      <c r="L78" s="25">
        <f>IF(AND(ISNUMBER(A78),F78&lt;&gt;"İptal",ISNUMBER(D78),ISNUMBER(E78),D78&lt;=RaporTarihi,E78&gt;RaporTarihi),A78,"")</f>
        <v/>
      </c>
    </row>
    <row r="79">
      <c r="A79" s="22" t="n"/>
      <c r="B79" s="22" t="n"/>
      <c r="C79" s="22" t="n"/>
      <c r="D79" s="23" t="n"/>
      <c r="E79" s="23" t="n"/>
      <c r="F79" s="22" t="n"/>
      <c r="G79" s="24" t="n"/>
      <c r="H79" s="22" t="n"/>
      <c r="I79" s="25">
        <f>IF(AND(ISNUMBER(D79),ISNUMBER(E79)),E79-D79,"")</f>
        <v/>
      </c>
      <c r="J79" s="26">
        <f>IF(AND(ISNUMBER(I79),ISNUMBER(G79)),IF(I79&gt;0,G79/I79,""),"")</f>
        <v/>
      </c>
      <c r="K79" s="25">
        <f>IF(COUNTA(A79:H79)=0,"",IF(OR(A79="",B79="",C79="",D79="",E79="",F79="",G79="",H79=""),"HATA: eksik bilgi",IF(COUNTIF(OdaListesi,A79)=0,"HATA: geçersiz oda no",IF(OR(NOT(ISNUMBER(D79)),NOT(ISNUMBER(E79))),"HATA: tarih geçersiz",IF(E79&lt;=D79,"HATA: çıkış girişten sonra olmalı",IF(OR(NOT(ISNUMBER(C79)),C79&lt;1,C79&gt;MaxKisi,C79&lt;&gt;INT(C79)),"HATA: kişi sayısı geçersiz",IF(OR(NOT(ISNUMBER(G79)),G79&lt;0),"HATA: tutar geçersiz",IF(B79&lt;&gt;TRIM(B79),"HATA: isimde baştaki/sondaki boşluk",IF(COUNTIF(KaynakAralik,H79)=0,"HATA: kaynak listede yok",IF(AND(F79&lt;&gt;"Bekleniyor",F79&lt;&gt;"Geldi",F79&lt;&gt;"İptal"),"HATA: giriş durumu geçersiz",IF(AND(F79&lt;&gt;"İptal",COUNTIFS($A$6:$A$1005,A79,$D$6:$D$1005,"&lt;"&amp;E79,$E$6:$E$1005,"&gt;"&amp;D79,$F$6:$F$1005,"&lt;&gt;İptal")&gt;1),"HATA: oda bu tarihlerde çakışıyor",IF(AND(F79="Bekleniyor",D79&lt;RaporTarihi),"HATA: giriş günü geçti, Geldi veya İptal yapın","OK"))))))))))))</f>
        <v/>
      </c>
      <c r="L79" s="25">
        <f>IF(AND(ISNUMBER(A79),F79&lt;&gt;"İptal",ISNUMBER(D79),ISNUMBER(E79),D79&lt;=RaporTarihi,E79&gt;RaporTarihi),A79,"")</f>
        <v/>
      </c>
    </row>
    <row r="80">
      <c r="A80" s="22" t="n"/>
      <c r="B80" s="22" t="n"/>
      <c r="C80" s="22" t="n"/>
      <c r="D80" s="23" t="n"/>
      <c r="E80" s="23" t="n"/>
      <c r="F80" s="22" t="n"/>
      <c r="G80" s="24" t="n"/>
      <c r="H80" s="22" t="n"/>
      <c r="I80" s="25">
        <f>IF(AND(ISNUMBER(D80),ISNUMBER(E80)),E80-D80,"")</f>
        <v/>
      </c>
      <c r="J80" s="26">
        <f>IF(AND(ISNUMBER(I80),ISNUMBER(G80)),IF(I80&gt;0,G80/I80,""),"")</f>
        <v/>
      </c>
      <c r="K80" s="25">
        <f>IF(COUNTA(A80:H80)=0,"",IF(OR(A80="",B80="",C80="",D80="",E80="",F80="",G80="",H80=""),"HATA: eksik bilgi",IF(COUNTIF(OdaListesi,A80)=0,"HATA: geçersiz oda no",IF(OR(NOT(ISNUMBER(D80)),NOT(ISNUMBER(E80))),"HATA: tarih geçersiz",IF(E80&lt;=D80,"HATA: çıkış girişten sonra olmalı",IF(OR(NOT(ISNUMBER(C80)),C80&lt;1,C80&gt;MaxKisi,C80&lt;&gt;INT(C80)),"HATA: kişi sayısı geçersiz",IF(OR(NOT(ISNUMBER(G80)),G80&lt;0),"HATA: tutar geçersiz",IF(B80&lt;&gt;TRIM(B80),"HATA: isimde baştaki/sondaki boşluk",IF(COUNTIF(KaynakAralik,H80)=0,"HATA: kaynak listede yok",IF(AND(F80&lt;&gt;"Bekleniyor",F80&lt;&gt;"Geldi",F80&lt;&gt;"İptal"),"HATA: giriş durumu geçersiz",IF(AND(F80&lt;&gt;"İptal",COUNTIFS($A$6:$A$1005,A80,$D$6:$D$1005,"&lt;"&amp;E80,$E$6:$E$1005,"&gt;"&amp;D80,$F$6:$F$1005,"&lt;&gt;İptal")&gt;1),"HATA: oda bu tarihlerde çakışıyor",IF(AND(F80="Bekleniyor",D80&lt;RaporTarihi),"HATA: giriş günü geçti, Geldi veya İptal yapın","OK"))))))))))))</f>
        <v/>
      </c>
      <c r="L80" s="25">
        <f>IF(AND(ISNUMBER(A80),F80&lt;&gt;"İptal",ISNUMBER(D80),ISNUMBER(E80),D80&lt;=RaporTarihi,E80&gt;RaporTarihi),A80,"")</f>
        <v/>
      </c>
    </row>
    <row r="81">
      <c r="A81" s="22" t="n"/>
      <c r="B81" s="22" t="n"/>
      <c r="C81" s="22" t="n"/>
      <c r="D81" s="23" t="n"/>
      <c r="E81" s="23" t="n"/>
      <c r="F81" s="22" t="n"/>
      <c r="G81" s="24" t="n"/>
      <c r="H81" s="22" t="n"/>
      <c r="I81" s="25">
        <f>IF(AND(ISNUMBER(D81),ISNUMBER(E81)),E81-D81,"")</f>
        <v/>
      </c>
      <c r="J81" s="26">
        <f>IF(AND(ISNUMBER(I81),ISNUMBER(G81)),IF(I81&gt;0,G81/I81,""),"")</f>
        <v/>
      </c>
      <c r="K81" s="25">
        <f>IF(COUNTA(A81:H81)=0,"",IF(OR(A81="",B81="",C81="",D81="",E81="",F81="",G81="",H81=""),"HATA: eksik bilgi",IF(COUNTIF(OdaListesi,A81)=0,"HATA: geçersiz oda no",IF(OR(NOT(ISNUMBER(D81)),NOT(ISNUMBER(E81))),"HATA: tarih geçersiz",IF(E81&lt;=D81,"HATA: çıkış girişten sonra olmalı",IF(OR(NOT(ISNUMBER(C81)),C81&lt;1,C81&gt;MaxKisi,C81&lt;&gt;INT(C81)),"HATA: kişi sayısı geçersiz",IF(OR(NOT(ISNUMBER(G81)),G81&lt;0),"HATA: tutar geçersiz",IF(B81&lt;&gt;TRIM(B81),"HATA: isimde baştaki/sondaki boşluk",IF(COUNTIF(KaynakAralik,H81)=0,"HATA: kaynak listede yok",IF(AND(F81&lt;&gt;"Bekleniyor",F81&lt;&gt;"Geldi",F81&lt;&gt;"İptal"),"HATA: giriş durumu geçersiz",IF(AND(F81&lt;&gt;"İptal",COUNTIFS($A$6:$A$1005,A81,$D$6:$D$1005,"&lt;"&amp;E81,$E$6:$E$1005,"&gt;"&amp;D81,$F$6:$F$1005,"&lt;&gt;İptal")&gt;1),"HATA: oda bu tarihlerde çakışıyor",IF(AND(F81="Bekleniyor",D81&lt;RaporTarihi),"HATA: giriş günü geçti, Geldi veya İptal yapın","OK"))))))))))))</f>
        <v/>
      </c>
      <c r="L81" s="25">
        <f>IF(AND(ISNUMBER(A81),F81&lt;&gt;"İptal",ISNUMBER(D81),ISNUMBER(E81),D81&lt;=RaporTarihi,E81&gt;RaporTarihi),A81,"")</f>
        <v/>
      </c>
    </row>
    <row r="82">
      <c r="A82" s="22" t="n"/>
      <c r="B82" s="22" t="n"/>
      <c r="C82" s="22" t="n"/>
      <c r="D82" s="23" t="n"/>
      <c r="E82" s="23" t="n"/>
      <c r="F82" s="22" t="n"/>
      <c r="G82" s="24" t="n"/>
      <c r="H82" s="22" t="n"/>
      <c r="I82" s="25">
        <f>IF(AND(ISNUMBER(D82),ISNUMBER(E82)),E82-D82,"")</f>
        <v/>
      </c>
      <c r="J82" s="26">
        <f>IF(AND(ISNUMBER(I82),ISNUMBER(G82)),IF(I82&gt;0,G82/I82,""),"")</f>
        <v/>
      </c>
      <c r="K82" s="25">
        <f>IF(COUNTA(A82:H82)=0,"",IF(OR(A82="",B82="",C82="",D82="",E82="",F82="",G82="",H82=""),"HATA: eksik bilgi",IF(COUNTIF(OdaListesi,A82)=0,"HATA: geçersiz oda no",IF(OR(NOT(ISNUMBER(D82)),NOT(ISNUMBER(E82))),"HATA: tarih geçersiz",IF(E82&lt;=D82,"HATA: çıkış girişten sonra olmalı",IF(OR(NOT(ISNUMBER(C82)),C82&lt;1,C82&gt;MaxKisi,C82&lt;&gt;INT(C82)),"HATA: kişi sayısı geçersiz",IF(OR(NOT(ISNUMBER(G82)),G82&lt;0),"HATA: tutar geçersiz",IF(B82&lt;&gt;TRIM(B82),"HATA: isimde baştaki/sondaki boşluk",IF(COUNTIF(KaynakAralik,H82)=0,"HATA: kaynak listede yok",IF(AND(F82&lt;&gt;"Bekleniyor",F82&lt;&gt;"Geldi",F82&lt;&gt;"İptal"),"HATA: giriş durumu geçersiz",IF(AND(F82&lt;&gt;"İptal",COUNTIFS($A$6:$A$1005,A82,$D$6:$D$1005,"&lt;"&amp;E82,$E$6:$E$1005,"&gt;"&amp;D82,$F$6:$F$1005,"&lt;&gt;İptal")&gt;1),"HATA: oda bu tarihlerde çakışıyor",IF(AND(F82="Bekleniyor",D82&lt;RaporTarihi),"HATA: giriş günü geçti, Geldi veya İptal yapın","OK"))))))))))))</f>
        <v/>
      </c>
      <c r="L82" s="25">
        <f>IF(AND(ISNUMBER(A82),F82&lt;&gt;"İptal",ISNUMBER(D82),ISNUMBER(E82),D82&lt;=RaporTarihi,E82&gt;RaporTarihi),A82,"")</f>
        <v/>
      </c>
    </row>
    <row r="83">
      <c r="A83" s="22" t="n"/>
      <c r="B83" s="22" t="n"/>
      <c r="C83" s="22" t="n"/>
      <c r="D83" s="23" t="n"/>
      <c r="E83" s="23" t="n"/>
      <c r="F83" s="22" t="n"/>
      <c r="G83" s="24" t="n"/>
      <c r="H83" s="22" t="n"/>
      <c r="I83" s="25">
        <f>IF(AND(ISNUMBER(D83),ISNUMBER(E83)),E83-D83,"")</f>
        <v/>
      </c>
      <c r="J83" s="26">
        <f>IF(AND(ISNUMBER(I83),ISNUMBER(G83)),IF(I83&gt;0,G83/I83,""),"")</f>
        <v/>
      </c>
      <c r="K83" s="25">
        <f>IF(COUNTA(A83:H83)=0,"",IF(OR(A83="",B83="",C83="",D83="",E83="",F83="",G83="",H83=""),"HATA: eksik bilgi",IF(COUNTIF(OdaListesi,A83)=0,"HATA: geçersiz oda no",IF(OR(NOT(ISNUMBER(D83)),NOT(ISNUMBER(E83))),"HATA: tarih geçersiz",IF(E83&lt;=D83,"HATA: çıkış girişten sonra olmalı",IF(OR(NOT(ISNUMBER(C83)),C83&lt;1,C83&gt;MaxKisi,C83&lt;&gt;INT(C83)),"HATA: kişi sayısı geçersiz",IF(OR(NOT(ISNUMBER(G83)),G83&lt;0),"HATA: tutar geçersiz",IF(B83&lt;&gt;TRIM(B83),"HATA: isimde baştaki/sondaki boşluk",IF(COUNTIF(KaynakAralik,H83)=0,"HATA: kaynak listede yok",IF(AND(F83&lt;&gt;"Bekleniyor",F83&lt;&gt;"Geldi",F83&lt;&gt;"İptal"),"HATA: giriş durumu geçersiz",IF(AND(F83&lt;&gt;"İptal",COUNTIFS($A$6:$A$1005,A83,$D$6:$D$1005,"&lt;"&amp;E83,$E$6:$E$1005,"&gt;"&amp;D83,$F$6:$F$1005,"&lt;&gt;İptal")&gt;1),"HATA: oda bu tarihlerde çakışıyor",IF(AND(F83="Bekleniyor",D83&lt;RaporTarihi),"HATA: giriş günü geçti, Geldi veya İptal yapın","OK"))))))))))))</f>
        <v/>
      </c>
      <c r="L83" s="25">
        <f>IF(AND(ISNUMBER(A83),F83&lt;&gt;"İptal",ISNUMBER(D83),ISNUMBER(E83),D83&lt;=RaporTarihi,E83&gt;RaporTarihi),A83,"")</f>
        <v/>
      </c>
    </row>
    <row r="84">
      <c r="A84" s="22" t="n"/>
      <c r="B84" s="22" t="n"/>
      <c r="C84" s="22" t="n"/>
      <c r="D84" s="23" t="n"/>
      <c r="E84" s="23" t="n"/>
      <c r="F84" s="22" t="n"/>
      <c r="G84" s="24" t="n"/>
      <c r="H84" s="22" t="n"/>
      <c r="I84" s="25">
        <f>IF(AND(ISNUMBER(D84),ISNUMBER(E84)),E84-D84,"")</f>
        <v/>
      </c>
      <c r="J84" s="26">
        <f>IF(AND(ISNUMBER(I84),ISNUMBER(G84)),IF(I84&gt;0,G84/I84,""),"")</f>
        <v/>
      </c>
      <c r="K84" s="25">
        <f>IF(COUNTA(A84:H84)=0,"",IF(OR(A84="",B84="",C84="",D84="",E84="",F84="",G84="",H84=""),"HATA: eksik bilgi",IF(COUNTIF(OdaListesi,A84)=0,"HATA: geçersiz oda no",IF(OR(NOT(ISNUMBER(D84)),NOT(ISNUMBER(E84))),"HATA: tarih geçersiz",IF(E84&lt;=D84,"HATA: çıkış girişten sonra olmalı",IF(OR(NOT(ISNUMBER(C84)),C84&lt;1,C84&gt;MaxKisi,C84&lt;&gt;INT(C84)),"HATA: kişi sayısı geçersiz",IF(OR(NOT(ISNUMBER(G84)),G84&lt;0),"HATA: tutar geçersiz",IF(B84&lt;&gt;TRIM(B84),"HATA: isimde baştaki/sondaki boşluk",IF(COUNTIF(KaynakAralik,H84)=0,"HATA: kaynak listede yok",IF(AND(F84&lt;&gt;"Bekleniyor",F84&lt;&gt;"Geldi",F84&lt;&gt;"İptal"),"HATA: giriş durumu geçersiz",IF(AND(F84&lt;&gt;"İptal",COUNTIFS($A$6:$A$1005,A84,$D$6:$D$1005,"&lt;"&amp;E84,$E$6:$E$1005,"&gt;"&amp;D84,$F$6:$F$1005,"&lt;&gt;İptal")&gt;1),"HATA: oda bu tarihlerde çakışıyor",IF(AND(F84="Bekleniyor",D84&lt;RaporTarihi),"HATA: giriş günü geçti, Geldi veya İptal yapın","OK"))))))))))))</f>
        <v/>
      </c>
      <c r="L84" s="25">
        <f>IF(AND(ISNUMBER(A84),F84&lt;&gt;"İptal",ISNUMBER(D84),ISNUMBER(E84),D84&lt;=RaporTarihi,E84&gt;RaporTarihi),A84,"")</f>
        <v/>
      </c>
    </row>
    <row r="85">
      <c r="A85" s="22" t="n"/>
      <c r="B85" s="22" t="n"/>
      <c r="C85" s="22" t="n"/>
      <c r="D85" s="23" t="n"/>
      <c r="E85" s="23" t="n"/>
      <c r="F85" s="22" t="n"/>
      <c r="G85" s="24" t="n"/>
      <c r="H85" s="22" t="n"/>
      <c r="I85" s="25">
        <f>IF(AND(ISNUMBER(D85),ISNUMBER(E85)),E85-D85,"")</f>
        <v/>
      </c>
      <c r="J85" s="26">
        <f>IF(AND(ISNUMBER(I85),ISNUMBER(G85)),IF(I85&gt;0,G85/I85,""),"")</f>
        <v/>
      </c>
      <c r="K85" s="25">
        <f>IF(COUNTA(A85:H85)=0,"",IF(OR(A85="",B85="",C85="",D85="",E85="",F85="",G85="",H85=""),"HATA: eksik bilgi",IF(COUNTIF(OdaListesi,A85)=0,"HATA: geçersiz oda no",IF(OR(NOT(ISNUMBER(D85)),NOT(ISNUMBER(E85))),"HATA: tarih geçersiz",IF(E85&lt;=D85,"HATA: çıkış girişten sonra olmalı",IF(OR(NOT(ISNUMBER(C85)),C85&lt;1,C85&gt;MaxKisi,C85&lt;&gt;INT(C85)),"HATA: kişi sayısı geçersiz",IF(OR(NOT(ISNUMBER(G85)),G85&lt;0),"HATA: tutar geçersiz",IF(B85&lt;&gt;TRIM(B85),"HATA: isimde baştaki/sondaki boşluk",IF(COUNTIF(KaynakAralik,H85)=0,"HATA: kaynak listede yok",IF(AND(F85&lt;&gt;"Bekleniyor",F85&lt;&gt;"Geldi",F85&lt;&gt;"İptal"),"HATA: giriş durumu geçersiz",IF(AND(F85&lt;&gt;"İptal",COUNTIFS($A$6:$A$1005,A85,$D$6:$D$1005,"&lt;"&amp;E85,$E$6:$E$1005,"&gt;"&amp;D85,$F$6:$F$1005,"&lt;&gt;İptal")&gt;1),"HATA: oda bu tarihlerde çakışıyor",IF(AND(F85="Bekleniyor",D85&lt;RaporTarihi),"HATA: giriş günü geçti, Geldi veya İptal yapın","OK"))))))))))))</f>
        <v/>
      </c>
      <c r="L85" s="25">
        <f>IF(AND(ISNUMBER(A85),F85&lt;&gt;"İptal",ISNUMBER(D85),ISNUMBER(E85),D85&lt;=RaporTarihi,E85&gt;RaporTarihi),A85,"")</f>
        <v/>
      </c>
    </row>
    <row r="86">
      <c r="A86" s="22" t="n"/>
      <c r="B86" s="22" t="n"/>
      <c r="C86" s="22" t="n"/>
      <c r="D86" s="23" t="n"/>
      <c r="E86" s="23" t="n"/>
      <c r="F86" s="22" t="n"/>
      <c r="G86" s="24" t="n"/>
      <c r="H86" s="22" t="n"/>
      <c r="I86" s="25">
        <f>IF(AND(ISNUMBER(D86),ISNUMBER(E86)),E86-D86,"")</f>
        <v/>
      </c>
      <c r="J86" s="26">
        <f>IF(AND(ISNUMBER(I86),ISNUMBER(G86)),IF(I86&gt;0,G86/I86,""),"")</f>
        <v/>
      </c>
      <c r="K86" s="25">
        <f>IF(COUNTA(A86:H86)=0,"",IF(OR(A86="",B86="",C86="",D86="",E86="",F86="",G86="",H86=""),"HATA: eksik bilgi",IF(COUNTIF(OdaListesi,A86)=0,"HATA: geçersiz oda no",IF(OR(NOT(ISNUMBER(D86)),NOT(ISNUMBER(E86))),"HATA: tarih geçersiz",IF(E86&lt;=D86,"HATA: çıkış girişten sonra olmalı",IF(OR(NOT(ISNUMBER(C86)),C86&lt;1,C86&gt;MaxKisi,C86&lt;&gt;INT(C86)),"HATA: kişi sayısı geçersiz",IF(OR(NOT(ISNUMBER(G86)),G86&lt;0),"HATA: tutar geçersiz",IF(B86&lt;&gt;TRIM(B86),"HATA: isimde baştaki/sondaki boşluk",IF(COUNTIF(KaynakAralik,H86)=0,"HATA: kaynak listede yok",IF(AND(F86&lt;&gt;"Bekleniyor",F86&lt;&gt;"Geldi",F86&lt;&gt;"İptal"),"HATA: giriş durumu geçersiz",IF(AND(F86&lt;&gt;"İptal",COUNTIFS($A$6:$A$1005,A86,$D$6:$D$1005,"&lt;"&amp;E86,$E$6:$E$1005,"&gt;"&amp;D86,$F$6:$F$1005,"&lt;&gt;İptal")&gt;1),"HATA: oda bu tarihlerde çakışıyor",IF(AND(F86="Bekleniyor",D86&lt;RaporTarihi),"HATA: giriş günü geçti, Geldi veya İptal yapın","OK"))))))))))))</f>
        <v/>
      </c>
      <c r="L86" s="25">
        <f>IF(AND(ISNUMBER(A86),F86&lt;&gt;"İptal",ISNUMBER(D86),ISNUMBER(E86),D86&lt;=RaporTarihi,E86&gt;RaporTarihi),A86,"")</f>
        <v/>
      </c>
    </row>
    <row r="87">
      <c r="A87" s="22" t="n"/>
      <c r="B87" s="22" t="n"/>
      <c r="C87" s="22" t="n"/>
      <c r="D87" s="23" t="n"/>
      <c r="E87" s="23" t="n"/>
      <c r="F87" s="22" t="n"/>
      <c r="G87" s="24" t="n"/>
      <c r="H87" s="22" t="n"/>
      <c r="I87" s="25">
        <f>IF(AND(ISNUMBER(D87),ISNUMBER(E87)),E87-D87,"")</f>
        <v/>
      </c>
      <c r="J87" s="26">
        <f>IF(AND(ISNUMBER(I87),ISNUMBER(G87)),IF(I87&gt;0,G87/I87,""),"")</f>
        <v/>
      </c>
      <c r="K87" s="25">
        <f>IF(COUNTA(A87:H87)=0,"",IF(OR(A87="",B87="",C87="",D87="",E87="",F87="",G87="",H87=""),"HATA: eksik bilgi",IF(COUNTIF(OdaListesi,A87)=0,"HATA: geçersiz oda no",IF(OR(NOT(ISNUMBER(D87)),NOT(ISNUMBER(E87))),"HATA: tarih geçersiz",IF(E87&lt;=D87,"HATA: çıkış girişten sonra olmalı",IF(OR(NOT(ISNUMBER(C87)),C87&lt;1,C87&gt;MaxKisi,C87&lt;&gt;INT(C87)),"HATA: kişi sayısı geçersiz",IF(OR(NOT(ISNUMBER(G87)),G87&lt;0),"HATA: tutar geçersiz",IF(B87&lt;&gt;TRIM(B87),"HATA: isimde baştaki/sondaki boşluk",IF(COUNTIF(KaynakAralik,H87)=0,"HATA: kaynak listede yok",IF(AND(F87&lt;&gt;"Bekleniyor",F87&lt;&gt;"Geldi",F87&lt;&gt;"İptal"),"HATA: giriş durumu geçersiz",IF(AND(F87&lt;&gt;"İptal",COUNTIFS($A$6:$A$1005,A87,$D$6:$D$1005,"&lt;"&amp;E87,$E$6:$E$1005,"&gt;"&amp;D87,$F$6:$F$1005,"&lt;&gt;İptal")&gt;1),"HATA: oda bu tarihlerde çakışıyor",IF(AND(F87="Bekleniyor",D87&lt;RaporTarihi),"HATA: giriş günü geçti, Geldi veya İptal yapın","OK"))))))))))))</f>
        <v/>
      </c>
      <c r="L87" s="25">
        <f>IF(AND(ISNUMBER(A87),F87&lt;&gt;"İptal",ISNUMBER(D87),ISNUMBER(E87),D87&lt;=RaporTarihi,E87&gt;RaporTarihi),A87,"")</f>
        <v/>
      </c>
    </row>
    <row r="88">
      <c r="A88" s="22" t="n"/>
      <c r="B88" s="22" t="n"/>
      <c r="C88" s="22" t="n"/>
      <c r="D88" s="23" t="n"/>
      <c r="E88" s="23" t="n"/>
      <c r="F88" s="22" t="n"/>
      <c r="G88" s="24" t="n"/>
      <c r="H88" s="22" t="n"/>
      <c r="I88" s="25">
        <f>IF(AND(ISNUMBER(D88),ISNUMBER(E88)),E88-D88,"")</f>
        <v/>
      </c>
      <c r="J88" s="26">
        <f>IF(AND(ISNUMBER(I88),ISNUMBER(G88)),IF(I88&gt;0,G88/I88,""),"")</f>
        <v/>
      </c>
      <c r="K88" s="25">
        <f>IF(COUNTA(A88:H88)=0,"",IF(OR(A88="",B88="",C88="",D88="",E88="",F88="",G88="",H88=""),"HATA: eksik bilgi",IF(COUNTIF(OdaListesi,A88)=0,"HATA: geçersiz oda no",IF(OR(NOT(ISNUMBER(D88)),NOT(ISNUMBER(E88))),"HATA: tarih geçersiz",IF(E88&lt;=D88,"HATA: çıkış girişten sonra olmalı",IF(OR(NOT(ISNUMBER(C88)),C88&lt;1,C88&gt;MaxKisi,C88&lt;&gt;INT(C88)),"HATA: kişi sayısı geçersiz",IF(OR(NOT(ISNUMBER(G88)),G88&lt;0),"HATA: tutar geçersiz",IF(B88&lt;&gt;TRIM(B88),"HATA: isimde baştaki/sondaki boşluk",IF(COUNTIF(KaynakAralik,H88)=0,"HATA: kaynak listede yok",IF(AND(F88&lt;&gt;"Bekleniyor",F88&lt;&gt;"Geldi",F88&lt;&gt;"İptal"),"HATA: giriş durumu geçersiz",IF(AND(F88&lt;&gt;"İptal",COUNTIFS($A$6:$A$1005,A88,$D$6:$D$1005,"&lt;"&amp;E88,$E$6:$E$1005,"&gt;"&amp;D88,$F$6:$F$1005,"&lt;&gt;İptal")&gt;1),"HATA: oda bu tarihlerde çakışıyor",IF(AND(F88="Bekleniyor",D88&lt;RaporTarihi),"HATA: giriş günü geçti, Geldi veya İptal yapın","OK"))))))))))))</f>
        <v/>
      </c>
      <c r="L88" s="25">
        <f>IF(AND(ISNUMBER(A88),F88&lt;&gt;"İptal",ISNUMBER(D88),ISNUMBER(E88),D88&lt;=RaporTarihi,E88&gt;RaporTarihi),A88,"")</f>
        <v/>
      </c>
    </row>
    <row r="89">
      <c r="A89" s="22" t="n"/>
      <c r="B89" s="22" t="n"/>
      <c r="C89" s="22" t="n"/>
      <c r="D89" s="23" t="n"/>
      <c r="E89" s="23" t="n"/>
      <c r="F89" s="22" t="n"/>
      <c r="G89" s="24" t="n"/>
      <c r="H89" s="22" t="n"/>
      <c r="I89" s="25">
        <f>IF(AND(ISNUMBER(D89),ISNUMBER(E89)),E89-D89,"")</f>
        <v/>
      </c>
      <c r="J89" s="26">
        <f>IF(AND(ISNUMBER(I89),ISNUMBER(G89)),IF(I89&gt;0,G89/I89,""),"")</f>
        <v/>
      </c>
      <c r="K89" s="25">
        <f>IF(COUNTA(A89:H89)=0,"",IF(OR(A89="",B89="",C89="",D89="",E89="",F89="",G89="",H89=""),"HATA: eksik bilgi",IF(COUNTIF(OdaListesi,A89)=0,"HATA: geçersiz oda no",IF(OR(NOT(ISNUMBER(D89)),NOT(ISNUMBER(E89))),"HATA: tarih geçersiz",IF(E89&lt;=D89,"HATA: çıkış girişten sonra olmalı",IF(OR(NOT(ISNUMBER(C89)),C89&lt;1,C89&gt;MaxKisi,C89&lt;&gt;INT(C89)),"HATA: kişi sayısı geçersiz",IF(OR(NOT(ISNUMBER(G89)),G89&lt;0),"HATA: tutar geçersiz",IF(B89&lt;&gt;TRIM(B89),"HATA: isimde baştaki/sondaki boşluk",IF(COUNTIF(KaynakAralik,H89)=0,"HATA: kaynak listede yok",IF(AND(F89&lt;&gt;"Bekleniyor",F89&lt;&gt;"Geldi",F89&lt;&gt;"İptal"),"HATA: giriş durumu geçersiz",IF(AND(F89&lt;&gt;"İptal",COUNTIFS($A$6:$A$1005,A89,$D$6:$D$1005,"&lt;"&amp;E89,$E$6:$E$1005,"&gt;"&amp;D89,$F$6:$F$1005,"&lt;&gt;İptal")&gt;1),"HATA: oda bu tarihlerde çakışıyor",IF(AND(F89="Bekleniyor",D89&lt;RaporTarihi),"HATA: giriş günü geçti, Geldi veya İptal yapın","OK"))))))))))))</f>
        <v/>
      </c>
      <c r="L89" s="25">
        <f>IF(AND(ISNUMBER(A89),F89&lt;&gt;"İptal",ISNUMBER(D89),ISNUMBER(E89),D89&lt;=RaporTarihi,E89&gt;RaporTarihi),A89,"")</f>
        <v/>
      </c>
    </row>
    <row r="90">
      <c r="A90" s="22" t="n"/>
      <c r="B90" s="22" t="n"/>
      <c r="C90" s="22" t="n"/>
      <c r="D90" s="23" t="n"/>
      <c r="E90" s="23" t="n"/>
      <c r="F90" s="22" t="n"/>
      <c r="G90" s="24" t="n"/>
      <c r="H90" s="22" t="n"/>
      <c r="I90" s="25">
        <f>IF(AND(ISNUMBER(D90),ISNUMBER(E90)),E90-D90,"")</f>
        <v/>
      </c>
      <c r="J90" s="26">
        <f>IF(AND(ISNUMBER(I90),ISNUMBER(G90)),IF(I90&gt;0,G90/I90,""),"")</f>
        <v/>
      </c>
      <c r="K90" s="25">
        <f>IF(COUNTA(A90:H90)=0,"",IF(OR(A90="",B90="",C90="",D90="",E90="",F90="",G90="",H90=""),"HATA: eksik bilgi",IF(COUNTIF(OdaListesi,A90)=0,"HATA: geçersiz oda no",IF(OR(NOT(ISNUMBER(D90)),NOT(ISNUMBER(E90))),"HATA: tarih geçersiz",IF(E90&lt;=D90,"HATA: çıkış girişten sonra olmalı",IF(OR(NOT(ISNUMBER(C90)),C90&lt;1,C90&gt;MaxKisi,C90&lt;&gt;INT(C90)),"HATA: kişi sayısı geçersiz",IF(OR(NOT(ISNUMBER(G90)),G90&lt;0),"HATA: tutar geçersiz",IF(B90&lt;&gt;TRIM(B90),"HATA: isimde baştaki/sondaki boşluk",IF(COUNTIF(KaynakAralik,H90)=0,"HATA: kaynak listede yok",IF(AND(F90&lt;&gt;"Bekleniyor",F90&lt;&gt;"Geldi",F90&lt;&gt;"İptal"),"HATA: giriş durumu geçersiz",IF(AND(F90&lt;&gt;"İptal",COUNTIFS($A$6:$A$1005,A90,$D$6:$D$1005,"&lt;"&amp;E90,$E$6:$E$1005,"&gt;"&amp;D90,$F$6:$F$1005,"&lt;&gt;İptal")&gt;1),"HATA: oda bu tarihlerde çakışıyor",IF(AND(F90="Bekleniyor",D90&lt;RaporTarihi),"HATA: giriş günü geçti, Geldi veya İptal yapın","OK"))))))))))))</f>
        <v/>
      </c>
      <c r="L90" s="25">
        <f>IF(AND(ISNUMBER(A90),F90&lt;&gt;"İptal",ISNUMBER(D90),ISNUMBER(E90),D90&lt;=RaporTarihi,E90&gt;RaporTarihi),A90,"")</f>
        <v/>
      </c>
    </row>
    <row r="91">
      <c r="A91" s="22" t="n"/>
      <c r="B91" s="22" t="n"/>
      <c r="C91" s="22" t="n"/>
      <c r="D91" s="23" t="n"/>
      <c r="E91" s="23" t="n"/>
      <c r="F91" s="22" t="n"/>
      <c r="G91" s="24" t="n"/>
      <c r="H91" s="22" t="n"/>
      <c r="I91" s="25">
        <f>IF(AND(ISNUMBER(D91),ISNUMBER(E91)),E91-D91,"")</f>
        <v/>
      </c>
      <c r="J91" s="26">
        <f>IF(AND(ISNUMBER(I91),ISNUMBER(G91)),IF(I91&gt;0,G91/I91,""),"")</f>
        <v/>
      </c>
      <c r="K91" s="25">
        <f>IF(COUNTA(A91:H91)=0,"",IF(OR(A91="",B91="",C91="",D91="",E91="",F91="",G91="",H91=""),"HATA: eksik bilgi",IF(COUNTIF(OdaListesi,A91)=0,"HATA: geçersiz oda no",IF(OR(NOT(ISNUMBER(D91)),NOT(ISNUMBER(E91))),"HATA: tarih geçersiz",IF(E91&lt;=D91,"HATA: çıkış girişten sonra olmalı",IF(OR(NOT(ISNUMBER(C91)),C91&lt;1,C91&gt;MaxKisi,C91&lt;&gt;INT(C91)),"HATA: kişi sayısı geçersiz",IF(OR(NOT(ISNUMBER(G91)),G91&lt;0),"HATA: tutar geçersiz",IF(B91&lt;&gt;TRIM(B91),"HATA: isimde baştaki/sondaki boşluk",IF(COUNTIF(KaynakAralik,H91)=0,"HATA: kaynak listede yok",IF(AND(F91&lt;&gt;"Bekleniyor",F91&lt;&gt;"Geldi",F91&lt;&gt;"İptal"),"HATA: giriş durumu geçersiz",IF(AND(F91&lt;&gt;"İptal",COUNTIFS($A$6:$A$1005,A91,$D$6:$D$1005,"&lt;"&amp;E91,$E$6:$E$1005,"&gt;"&amp;D91,$F$6:$F$1005,"&lt;&gt;İptal")&gt;1),"HATA: oda bu tarihlerde çakışıyor",IF(AND(F91="Bekleniyor",D91&lt;RaporTarihi),"HATA: giriş günü geçti, Geldi veya İptal yapın","OK"))))))))))))</f>
        <v/>
      </c>
      <c r="L91" s="25">
        <f>IF(AND(ISNUMBER(A91),F91&lt;&gt;"İptal",ISNUMBER(D91),ISNUMBER(E91),D91&lt;=RaporTarihi,E91&gt;RaporTarihi),A91,"")</f>
        <v/>
      </c>
    </row>
    <row r="92">
      <c r="A92" s="22" t="n"/>
      <c r="B92" s="22" t="n"/>
      <c r="C92" s="22" t="n"/>
      <c r="D92" s="23" t="n"/>
      <c r="E92" s="23" t="n"/>
      <c r="F92" s="22" t="n"/>
      <c r="G92" s="24" t="n"/>
      <c r="H92" s="22" t="n"/>
      <c r="I92" s="25">
        <f>IF(AND(ISNUMBER(D92),ISNUMBER(E92)),E92-D92,"")</f>
        <v/>
      </c>
      <c r="J92" s="26">
        <f>IF(AND(ISNUMBER(I92),ISNUMBER(G92)),IF(I92&gt;0,G92/I92,""),"")</f>
        <v/>
      </c>
      <c r="K92" s="25">
        <f>IF(COUNTA(A92:H92)=0,"",IF(OR(A92="",B92="",C92="",D92="",E92="",F92="",G92="",H92=""),"HATA: eksik bilgi",IF(COUNTIF(OdaListesi,A92)=0,"HATA: geçersiz oda no",IF(OR(NOT(ISNUMBER(D92)),NOT(ISNUMBER(E92))),"HATA: tarih geçersiz",IF(E92&lt;=D92,"HATA: çıkış girişten sonra olmalı",IF(OR(NOT(ISNUMBER(C92)),C92&lt;1,C92&gt;MaxKisi,C92&lt;&gt;INT(C92)),"HATA: kişi sayısı geçersiz",IF(OR(NOT(ISNUMBER(G92)),G92&lt;0),"HATA: tutar geçersiz",IF(B92&lt;&gt;TRIM(B92),"HATA: isimde baştaki/sondaki boşluk",IF(COUNTIF(KaynakAralik,H92)=0,"HATA: kaynak listede yok",IF(AND(F92&lt;&gt;"Bekleniyor",F92&lt;&gt;"Geldi",F92&lt;&gt;"İptal"),"HATA: giriş durumu geçersiz",IF(AND(F92&lt;&gt;"İptal",COUNTIFS($A$6:$A$1005,A92,$D$6:$D$1005,"&lt;"&amp;E92,$E$6:$E$1005,"&gt;"&amp;D92,$F$6:$F$1005,"&lt;&gt;İptal")&gt;1),"HATA: oda bu tarihlerde çakışıyor",IF(AND(F92="Bekleniyor",D92&lt;RaporTarihi),"HATA: giriş günü geçti, Geldi veya İptal yapın","OK"))))))))))))</f>
        <v/>
      </c>
      <c r="L92" s="25">
        <f>IF(AND(ISNUMBER(A92),F92&lt;&gt;"İptal",ISNUMBER(D92),ISNUMBER(E92),D92&lt;=RaporTarihi,E92&gt;RaporTarihi),A92,"")</f>
        <v/>
      </c>
    </row>
    <row r="93">
      <c r="A93" s="22" t="n"/>
      <c r="B93" s="22" t="n"/>
      <c r="C93" s="22" t="n"/>
      <c r="D93" s="23" t="n"/>
      <c r="E93" s="23" t="n"/>
      <c r="F93" s="22" t="n"/>
      <c r="G93" s="24" t="n"/>
      <c r="H93" s="22" t="n"/>
      <c r="I93" s="25">
        <f>IF(AND(ISNUMBER(D93),ISNUMBER(E93)),E93-D93,"")</f>
        <v/>
      </c>
      <c r="J93" s="26">
        <f>IF(AND(ISNUMBER(I93),ISNUMBER(G93)),IF(I93&gt;0,G93/I93,""),"")</f>
        <v/>
      </c>
      <c r="K93" s="25">
        <f>IF(COUNTA(A93:H93)=0,"",IF(OR(A93="",B93="",C93="",D93="",E93="",F93="",G93="",H93=""),"HATA: eksik bilgi",IF(COUNTIF(OdaListesi,A93)=0,"HATA: geçersiz oda no",IF(OR(NOT(ISNUMBER(D93)),NOT(ISNUMBER(E93))),"HATA: tarih geçersiz",IF(E93&lt;=D93,"HATA: çıkış girişten sonra olmalı",IF(OR(NOT(ISNUMBER(C93)),C93&lt;1,C93&gt;MaxKisi,C93&lt;&gt;INT(C93)),"HATA: kişi sayısı geçersiz",IF(OR(NOT(ISNUMBER(G93)),G93&lt;0),"HATA: tutar geçersiz",IF(B93&lt;&gt;TRIM(B93),"HATA: isimde baştaki/sondaki boşluk",IF(COUNTIF(KaynakAralik,H93)=0,"HATA: kaynak listede yok",IF(AND(F93&lt;&gt;"Bekleniyor",F93&lt;&gt;"Geldi",F93&lt;&gt;"İptal"),"HATA: giriş durumu geçersiz",IF(AND(F93&lt;&gt;"İptal",COUNTIFS($A$6:$A$1005,A93,$D$6:$D$1005,"&lt;"&amp;E93,$E$6:$E$1005,"&gt;"&amp;D93,$F$6:$F$1005,"&lt;&gt;İptal")&gt;1),"HATA: oda bu tarihlerde çakışıyor",IF(AND(F93="Bekleniyor",D93&lt;RaporTarihi),"HATA: giriş günü geçti, Geldi veya İptal yapın","OK"))))))))))))</f>
        <v/>
      </c>
      <c r="L93" s="25">
        <f>IF(AND(ISNUMBER(A93),F93&lt;&gt;"İptal",ISNUMBER(D93),ISNUMBER(E93),D93&lt;=RaporTarihi,E93&gt;RaporTarihi),A93,"")</f>
        <v/>
      </c>
    </row>
    <row r="94">
      <c r="A94" s="22" t="n"/>
      <c r="B94" s="22" t="n"/>
      <c r="C94" s="22" t="n"/>
      <c r="D94" s="23" t="n"/>
      <c r="E94" s="23" t="n"/>
      <c r="F94" s="22" t="n"/>
      <c r="G94" s="24" t="n"/>
      <c r="H94" s="22" t="n"/>
      <c r="I94" s="25">
        <f>IF(AND(ISNUMBER(D94),ISNUMBER(E94)),E94-D94,"")</f>
        <v/>
      </c>
      <c r="J94" s="26">
        <f>IF(AND(ISNUMBER(I94),ISNUMBER(G94)),IF(I94&gt;0,G94/I94,""),"")</f>
        <v/>
      </c>
      <c r="K94" s="25">
        <f>IF(COUNTA(A94:H94)=0,"",IF(OR(A94="",B94="",C94="",D94="",E94="",F94="",G94="",H94=""),"HATA: eksik bilgi",IF(COUNTIF(OdaListesi,A94)=0,"HATA: geçersiz oda no",IF(OR(NOT(ISNUMBER(D94)),NOT(ISNUMBER(E94))),"HATA: tarih geçersiz",IF(E94&lt;=D94,"HATA: çıkış girişten sonra olmalı",IF(OR(NOT(ISNUMBER(C94)),C94&lt;1,C94&gt;MaxKisi,C94&lt;&gt;INT(C94)),"HATA: kişi sayısı geçersiz",IF(OR(NOT(ISNUMBER(G94)),G94&lt;0),"HATA: tutar geçersiz",IF(B94&lt;&gt;TRIM(B94),"HATA: isimde baştaki/sondaki boşluk",IF(COUNTIF(KaynakAralik,H94)=0,"HATA: kaynak listede yok",IF(AND(F94&lt;&gt;"Bekleniyor",F94&lt;&gt;"Geldi",F94&lt;&gt;"İptal"),"HATA: giriş durumu geçersiz",IF(AND(F94&lt;&gt;"İptal",COUNTIFS($A$6:$A$1005,A94,$D$6:$D$1005,"&lt;"&amp;E94,$E$6:$E$1005,"&gt;"&amp;D94,$F$6:$F$1005,"&lt;&gt;İptal")&gt;1),"HATA: oda bu tarihlerde çakışıyor",IF(AND(F94="Bekleniyor",D94&lt;RaporTarihi),"HATA: giriş günü geçti, Geldi veya İptal yapın","OK"))))))))))))</f>
        <v/>
      </c>
      <c r="L94" s="25">
        <f>IF(AND(ISNUMBER(A94),F94&lt;&gt;"İptal",ISNUMBER(D94),ISNUMBER(E94),D94&lt;=RaporTarihi,E94&gt;RaporTarihi),A94,"")</f>
        <v/>
      </c>
    </row>
    <row r="95">
      <c r="A95" s="22" t="n"/>
      <c r="B95" s="22" t="n"/>
      <c r="C95" s="22" t="n"/>
      <c r="D95" s="23" t="n"/>
      <c r="E95" s="23" t="n"/>
      <c r="F95" s="22" t="n"/>
      <c r="G95" s="24" t="n"/>
      <c r="H95" s="22" t="n"/>
      <c r="I95" s="25">
        <f>IF(AND(ISNUMBER(D95),ISNUMBER(E95)),E95-D95,"")</f>
        <v/>
      </c>
      <c r="J95" s="26">
        <f>IF(AND(ISNUMBER(I95),ISNUMBER(G95)),IF(I95&gt;0,G95/I95,""),"")</f>
        <v/>
      </c>
      <c r="K95" s="25">
        <f>IF(COUNTA(A95:H95)=0,"",IF(OR(A95="",B95="",C95="",D95="",E95="",F95="",G95="",H95=""),"HATA: eksik bilgi",IF(COUNTIF(OdaListesi,A95)=0,"HATA: geçersiz oda no",IF(OR(NOT(ISNUMBER(D95)),NOT(ISNUMBER(E95))),"HATA: tarih geçersiz",IF(E95&lt;=D95,"HATA: çıkış girişten sonra olmalı",IF(OR(NOT(ISNUMBER(C95)),C95&lt;1,C95&gt;MaxKisi,C95&lt;&gt;INT(C95)),"HATA: kişi sayısı geçersiz",IF(OR(NOT(ISNUMBER(G95)),G95&lt;0),"HATA: tutar geçersiz",IF(B95&lt;&gt;TRIM(B95),"HATA: isimde baştaki/sondaki boşluk",IF(COUNTIF(KaynakAralik,H95)=0,"HATA: kaynak listede yok",IF(AND(F95&lt;&gt;"Bekleniyor",F95&lt;&gt;"Geldi",F95&lt;&gt;"İptal"),"HATA: giriş durumu geçersiz",IF(AND(F95&lt;&gt;"İptal",COUNTIFS($A$6:$A$1005,A95,$D$6:$D$1005,"&lt;"&amp;E95,$E$6:$E$1005,"&gt;"&amp;D95,$F$6:$F$1005,"&lt;&gt;İptal")&gt;1),"HATA: oda bu tarihlerde çakışıyor",IF(AND(F95="Bekleniyor",D95&lt;RaporTarihi),"HATA: giriş günü geçti, Geldi veya İptal yapın","OK"))))))))))))</f>
        <v/>
      </c>
      <c r="L95" s="25">
        <f>IF(AND(ISNUMBER(A95),F95&lt;&gt;"İptal",ISNUMBER(D95),ISNUMBER(E95),D95&lt;=RaporTarihi,E95&gt;RaporTarihi),A95,"")</f>
        <v/>
      </c>
    </row>
    <row r="96">
      <c r="A96" s="22" t="n"/>
      <c r="B96" s="22" t="n"/>
      <c r="C96" s="22" t="n"/>
      <c r="D96" s="23" t="n"/>
      <c r="E96" s="23" t="n"/>
      <c r="F96" s="22" t="n"/>
      <c r="G96" s="24" t="n"/>
      <c r="H96" s="22" t="n"/>
      <c r="I96" s="25">
        <f>IF(AND(ISNUMBER(D96),ISNUMBER(E96)),E96-D96,"")</f>
        <v/>
      </c>
      <c r="J96" s="26">
        <f>IF(AND(ISNUMBER(I96),ISNUMBER(G96)),IF(I96&gt;0,G96/I96,""),"")</f>
        <v/>
      </c>
      <c r="K96" s="25">
        <f>IF(COUNTA(A96:H96)=0,"",IF(OR(A96="",B96="",C96="",D96="",E96="",F96="",G96="",H96=""),"HATA: eksik bilgi",IF(COUNTIF(OdaListesi,A96)=0,"HATA: geçersiz oda no",IF(OR(NOT(ISNUMBER(D96)),NOT(ISNUMBER(E96))),"HATA: tarih geçersiz",IF(E96&lt;=D96,"HATA: çıkış girişten sonra olmalı",IF(OR(NOT(ISNUMBER(C96)),C96&lt;1,C96&gt;MaxKisi,C96&lt;&gt;INT(C96)),"HATA: kişi sayısı geçersiz",IF(OR(NOT(ISNUMBER(G96)),G96&lt;0),"HATA: tutar geçersiz",IF(B96&lt;&gt;TRIM(B96),"HATA: isimde baştaki/sondaki boşluk",IF(COUNTIF(KaynakAralik,H96)=0,"HATA: kaynak listede yok",IF(AND(F96&lt;&gt;"Bekleniyor",F96&lt;&gt;"Geldi",F96&lt;&gt;"İptal"),"HATA: giriş durumu geçersiz",IF(AND(F96&lt;&gt;"İptal",COUNTIFS($A$6:$A$1005,A96,$D$6:$D$1005,"&lt;"&amp;E96,$E$6:$E$1005,"&gt;"&amp;D96,$F$6:$F$1005,"&lt;&gt;İptal")&gt;1),"HATA: oda bu tarihlerde çakışıyor",IF(AND(F96="Bekleniyor",D96&lt;RaporTarihi),"HATA: giriş günü geçti, Geldi veya İptal yapın","OK"))))))))))))</f>
        <v/>
      </c>
      <c r="L96" s="25">
        <f>IF(AND(ISNUMBER(A96),F96&lt;&gt;"İptal",ISNUMBER(D96),ISNUMBER(E96),D96&lt;=RaporTarihi,E96&gt;RaporTarihi),A96,"")</f>
        <v/>
      </c>
    </row>
    <row r="97">
      <c r="A97" s="22" t="n"/>
      <c r="B97" s="22" t="n"/>
      <c r="C97" s="22" t="n"/>
      <c r="D97" s="23" t="n"/>
      <c r="E97" s="23" t="n"/>
      <c r="F97" s="22" t="n"/>
      <c r="G97" s="24" t="n"/>
      <c r="H97" s="22" t="n"/>
      <c r="I97" s="25">
        <f>IF(AND(ISNUMBER(D97),ISNUMBER(E97)),E97-D97,"")</f>
        <v/>
      </c>
      <c r="J97" s="26">
        <f>IF(AND(ISNUMBER(I97),ISNUMBER(G97)),IF(I97&gt;0,G97/I97,""),"")</f>
        <v/>
      </c>
      <c r="K97" s="25">
        <f>IF(COUNTA(A97:H97)=0,"",IF(OR(A97="",B97="",C97="",D97="",E97="",F97="",G97="",H97=""),"HATA: eksik bilgi",IF(COUNTIF(OdaListesi,A97)=0,"HATA: geçersiz oda no",IF(OR(NOT(ISNUMBER(D97)),NOT(ISNUMBER(E97))),"HATA: tarih geçersiz",IF(E97&lt;=D97,"HATA: çıkış girişten sonra olmalı",IF(OR(NOT(ISNUMBER(C97)),C97&lt;1,C97&gt;MaxKisi,C97&lt;&gt;INT(C97)),"HATA: kişi sayısı geçersiz",IF(OR(NOT(ISNUMBER(G97)),G97&lt;0),"HATA: tutar geçersiz",IF(B97&lt;&gt;TRIM(B97),"HATA: isimde baştaki/sondaki boşluk",IF(COUNTIF(KaynakAralik,H97)=0,"HATA: kaynak listede yok",IF(AND(F97&lt;&gt;"Bekleniyor",F97&lt;&gt;"Geldi",F97&lt;&gt;"İptal"),"HATA: giriş durumu geçersiz",IF(AND(F97&lt;&gt;"İptal",COUNTIFS($A$6:$A$1005,A97,$D$6:$D$1005,"&lt;"&amp;E97,$E$6:$E$1005,"&gt;"&amp;D97,$F$6:$F$1005,"&lt;&gt;İptal")&gt;1),"HATA: oda bu tarihlerde çakışıyor",IF(AND(F97="Bekleniyor",D97&lt;RaporTarihi),"HATA: giriş günü geçti, Geldi veya İptal yapın","OK"))))))))))))</f>
        <v/>
      </c>
      <c r="L97" s="25">
        <f>IF(AND(ISNUMBER(A97),F97&lt;&gt;"İptal",ISNUMBER(D97),ISNUMBER(E97),D97&lt;=RaporTarihi,E97&gt;RaporTarihi),A97,"")</f>
        <v/>
      </c>
    </row>
    <row r="98">
      <c r="A98" s="22" t="n"/>
      <c r="B98" s="22" t="n"/>
      <c r="C98" s="22" t="n"/>
      <c r="D98" s="23" t="n"/>
      <c r="E98" s="23" t="n"/>
      <c r="F98" s="22" t="n"/>
      <c r="G98" s="24" t="n"/>
      <c r="H98" s="22" t="n"/>
      <c r="I98" s="25">
        <f>IF(AND(ISNUMBER(D98),ISNUMBER(E98)),E98-D98,"")</f>
        <v/>
      </c>
      <c r="J98" s="26">
        <f>IF(AND(ISNUMBER(I98),ISNUMBER(G98)),IF(I98&gt;0,G98/I98,""),"")</f>
        <v/>
      </c>
      <c r="K98" s="25">
        <f>IF(COUNTA(A98:H98)=0,"",IF(OR(A98="",B98="",C98="",D98="",E98="",F98="",G98="",H98=""),"HATA: eksik bilgi",IF(COUNTIF(OdaListesi,A98)=0,"HATA: geçersiz oda no",IF(OR(NOT(ISNUMBER(D98)),NOT(ISNUMBER(E98))),"HATA: tarih geçersiz",IF(E98&lt;=D98,"HATA: çıkış girişten sonra olmalı",IF(OR(NOT(ISNUMBER(C98)),C98&lt;1,C98&gt;MaxKisi,C98&lt;&gt;INT(C98)),"HATA: kişi sayısı geçersiz",IF(OR(NOT(ISNUMBER(G98)),G98&lt;0),"HATA: tutar geçersiz",IF(B98&lt;&gt;TRIM(B98),"HATA: isimde baştaki/sondaki boşluk",IF(COUNTIF(KaynakAralik,H98)=0,"HATA: kaynak listede yok",IF(AND(F98&lt;&gt;"Bekleniyor",F98&lt;&gt;"Geldi",F98&lt;&gt;"İptal"),"HATA: giriş durumu geçersiz",IF(AND(F98&lt;&gt;"İptal",COUNTIFS($A$6:$A$1005,A98,$D$6:$D$1005,"&lt;"&amp;E98,$E$6:$E$1005,"&gt;"&amp;D98,$F$6:$F$1005,"&lt;&gt;İptal")&gt;1),"HATA: oda bu tarihlerde çakışıyor",IF(AND(F98="Bekleniyor",D98&lt;RaporTarihi),"HATA: giriş günü geçti, Geldi veya İptal yapın","OK"))))))))))))</f>
        <v/>
      </c>
      <c r="L98" s="25">
        <f>IF(AND(ISNUMBER(A98),F98&lt;&gt;"İptal",ISNUMBER(D98),ISNUMBER(E98),D98&lt;=RaporTarihi,E98&gt;RaporTarihi),A98,"")</f>
        <v/>
      </c>
    </row>
    <row r="99">
      <c r="A99" s="22" t="n"/>
      <c r="B99" s="22" t="n"/>
      <c r="C99" s="22" t="n"/>
      <c r="D99" s="23" t="n"/>
      <c r="E99" s="23" t="n"/>
      <c r="F99" s="22" t="n"/>
      <c r="G99" s="24" t="n"/>
      <c r="H99" s="22" t="n"/>
      <c r="I99" s="25">
        <f>IF(AND(ISNUMBER(D99),ISNUMBER(E99)),E99-D99,"")</f>
        <v/>
      </c>
      <c r="J99" s="26">
        <f>IF(AND(ISNUMBER(I99),ISNUMBER(G99)),IF(I99&gt;0,G99/I99,""),"")</f>
        <v/>
      </c>
      <c r="K99" s="25">
        <f>IF(COUNTA(A99:H99)=0,"",IF(OR(A99="",B99="",C99="",D99="",E99="",F99="",G99="",H99=""),"HATA: eksik bilgi",IF(COUNTIF(OdaListesi,A99)=0,"HATA: geçersiz oda no",IF(OR(NOT(ISNUMBER(D99)),NOT(ISNUMBER(E99))),"HATA: tarih geçersiz",IF(E99&lt;=D99,"HATA: çıkış girişten sonra olmalı",IF(OR(NOT(ISNUMBER(C99)),C99&lt;1,C99&gt;MaxKisi,C99&lt;&gt;INT(C99)),"HATA: kişi sayısı geçersiz",IF(OR(NOT(ISNUMBER(G99)),G99&lt;0),"HATA: tutar geçersiz",IF(B99&lt;&gt;TRIM(B99),"HATA: isimde baştaki/sondaki boşluk",IF(COUNTIF(KaynakAralik,H99)=0,"HATA: kaynak listede yok",IF(AND(F99&lt;&gt;"Bekleniyor",F99&lt;&gt;"Geldi",F99&lt;&gt;"İptal"),"HATA: giriş durumu geçersiz",IF(AND(F99&lt;&gt;"İptal",COUNTIFS($A$6:$A$1005,A99,$D$6:$D$1005,"&lt;"&amp;E99,$E$6:$E$1005,"&gt;"&amp;D99,$F$6:$F$1005,"&lt;&gt;İptal")&gt;1),"HATA: oda bu tarihlerde çakışıyor",IF(AND(F99="Bekleniyor",D99&lt;RaporTarihi),"HATA: giriş günü geçti, Geldi veya İptal yapın","OK"))))))))))))</f>
        <v/>
      </c>
      <c r="L99" s="25">
        <f>IF(AND(ISNUMBER(A99),F99&lt;&gt;"İptal",ISNUMBER(D99),ISNUMBER(E99),D99&lt;=RaporTarihi,E99&gt;RaporTarihi),A99,"")</f>
        <v/>
      </c>
    </row>
    <row r="100">
      <c r="A100" s="22" t="n"/>
      <c r="B100" s="22" t="n"/>
      <c r="C100" s="22" t="n"/>
      <c r="D100" s="23" t="n"/>
      <c r="E100" s="23" t="n"/>
      <c r="F100" s="22" t="n"/>
      <c r="G100" s="24" t="n"/>
      <c r="H100" s="22" t="n"/>
      <c r="I100" s="25">
        <f>IF(AND(ISNUMBER(D100),ISNUMBER(E100)),E100-D100,"")</f>
        <v/>
      </c>
      <c r="J100" s="26">
        <f>IF(AND(ISNUMBER(I100),ISNUMBER(G100)),IF(I100&gt;0,G100/I100,""),"")</f>
        <v/>
      </c>
      <c r="K100" s="25">
        <f>IF(COUNTA(A100:H100)=0,"",IF(OR(A100="",B100="",C100="",D100="",E100="",F100="",G100="",H100=""),"HATA: eksik bilgi",IF(COUNTIF(OdaListesi,A100)=0,"HATA: geçersiz oda no",IF(OR(NOT(ISNUMBER(D100)),NOT(ISNUMBER(E100))),"HATA: tarih geçersiz",IF(E100&lt;=D100,"HATA: çıkış girişten sonra olmalı",IF(OR(NOT(ISNUMBER(C100)),C100&lt;1,C100&gt;MaxKisi,C100&lt;&gt;INT(C100)),"HATA: kişi sayısı geçersiz",IF(OR(NOT(ISNUMBER(G100)),G100&lt;0),"HATA: tutar geçersiz",IF(B100&lt;&gt;TRIM(B100),"HATA: isimde baştaki/sondaki boşluk",IF(COUNTIF(KaynakAralik,H100)=0,"HATA: kaynak listede yok",IF(AND(F100&lt;&gt;"Bekleniyor",F100&lt;&gt;"Geldi",F100&lt;&gt;"İptal"),"HATA: giriş durumu geçersiz",IF(AND(F100&lt;&gt;"İptal",COUNTIFS($A$6:$A$1005,A100,$D$6:$D$1005,"&lt;"&amp;E100,$E$6:$E$1005,"&gt;"&amp;D100,$F$6:$F$1005,"&lt;&gt;İptal")&gt;1),"HATA: oda bu tarihlerde çakışıyor",IF(AND(F100="Bekleniyor",D100&lt;RaporTarihi),"HATA: giriş günü geçti, Geldi veya İptal yapın","OK"))))))))))))</f>
        <v/>
      </c>
      <c r="L100" s="25">
        <f>IF(AND(ISNUMBER(A100),F100&lt;&gt;"İptal",ISNUMBER(D100),ISNUMBER(E100),D100&lt;=RaporTarihi,E100&gt;RaporTarihi),A100,"")</f>
        <v/>
      </c>
    </row>
    <row r="101">
      <c r="A101" s="22" t="n"/>
      <c r="B101" s="22" t="n"/>
      <c r="C101" s="22" t="n"/>
      <c r="D101" s="23" t="n"/>
      <c r="E101" s="23" t="n"/>
      <c r="F101" s="22" t="n"/>
      <c r="G101" s="24" t="n"/>
      <c r="H101" s="22" t="n"/>
      <c r="I101" s="25">
        <f>IF(AND(ISNUMBER(D101),ISNUMBER(E101)),E101-D101,"")</f>
        <v/>
      </c>
      <c r="J101" s="26">
        <f>IF(AND(ISNUMBER(I101),ISNUMBER(G101)),IF(I101&gt;0,G101/I101,""),"")</f>
        <v/>
      </c>
      <c r="K101" s="25">
        <f>IF(COUNTA(A101:H101)=0,"",IF(OR(A101="",B101="",C101="",D101="",E101="",F101="",G101="",H101=""),"HATA: eksik bilgi",IF(COUNTIF(OdaListesi,A101)=0,"HATA: geçersiz oda no",IF(OR(NOT(ISNUMBER(D101)),NOT(ISNUMBER(E101))),"HATA: tarih geçersiz",IF(E101&lt;=D101,"HATA: çıkış girişten sonra olmalı",IF(OR(NOT(ISNUMBER(C101)),C101&lt;1,C101&gt;MaxKisi,C101&lt;&gt;INT(C101)),"HATA: kişi sayısı geçersiz",IF(OR(NOT(ISNUMBER(G101)),G101&lt;0),"HATA: tutar geçersiz",IF(B101&lt;&gt;TRIM(B101),"HATA: isimde baştaki/sondaki boşluk",IF(COUNTIF(KaynakAralik,H101)=0,"HATA: kaynak listede yok",IF(AND(F101&lt;&gt;"Bekleniyor",F101&lt;&gt;"Geldi",F101&lt;&gt;"İptal"),"HATA: giriş durumu geçersiz",IF(AND(F101&lt;&gt;"İptal",COUNTIFS($A$6:$A$1005,A101,$D$6:$D$1005,"&lt;"&amp;E101,$E$6:$E$1005,"&gt;"&amp;D101,$F$6:$F$1005,"&lt;&gt;İptal")&gt;1),"HATA: oda bu tarihlerde çakışıyor",IF(AND(F101="Bekleniyor",D101&lt;RaporTarihi),"HATA: giriş günü geçti, Geldi veya İptal yapın","OK"))))))))))))</f>
        <v/>
      </c>
      <c r="L101" s="25">
        <f>IF(AND(ISNUMBER(A101),F101&lt;&gt;"İptal",ISNUMBER(D101),ISNUMBER(E101),D101&lt;=RaporTarihi,E101&gt;RaporTarihi),A101,"")</f>
        <v/>
      </c>
    </row>
    <row r="102">
      <c r="A102" s="22" t="n"/>
      <c r="B102" s="22" t="n"/>
      <c r="C102" s="22" t="n"/>
      <c r="D102" s="23" t="n"/>
      <c r="E102" s="23" t="n"/>
      <c r="F102" s="22" t="n"/>
      <c r="G102" s="24" t="n"/>
      <c r="H102" s="22" t="n"/>
      <c r="I102" s="25">
        <f>IF(AND(ISNUMBER(D102),ISNUMBER(E102)),E102-D102,"")</f>
        <v/>
      </c>
      <c r="J102" s="26">
        <f>IF(AND(ISNUMBER(I102),ISNUMBER(G102)),IF(I102&gt;0,G102/I102,""),"")</f>
        <v/>
      </c>
      <c r="K102" s="25">
        <f>IF(COUNTA(A102:H102)=0,"",IF(OR(A102="",B102="",C102="",D102="",E102="",F102="",G102="",H102=""),"HATA: eksik bilgi",IF(COUNTIF(OdaListesi,A102)=0,"HATA: geçersiz oda no",IF(OR(NOT(ISNUMBER(D102)),NOT(ISNUMBER(E102))),"HATA: tarih geçersiz",IF(E102&lt;=D102,"HATA: çıkış girişten sonra olmalı",IF(OR(NOT(ISNUMBER(C102)),C102&lt;1,C102&gt;MaxKisi,C102&lt;&gt;INT(C102)),"HATA: kişi sayısı geçersiz",IF(OR(NOT(ISNUMBER(G102)),G102&lt;0),"HATA: tutar geçersiz",IF(B102&lt;&gt;TRIM(B102),"HATA: isimde baştaki/sondaki boşluk",IF(COUNTIF(KaynakAralik,H102)=0,"HATA: kaynak listede yok",IF(AND(F102&lt;&gt;"Bekleniyor",F102&lt;&gt;"Geldi",F102&lt;&gt;"İptal"),"HATA: giriş durumu geçersiz",IF(AND(F102&lt;&gt;"İptal",COUNTIFS($A$6:$A$1005,A102,$D$6:$D$1005,"&lt;"&amp;E102,$E$6:$E$1005,"&gt;"&amp;D102,$F$6:$F$1005,"&lt;&gt;İptal")&gt;1),"HATA: oda bu tarihlerde çakışıyor",IF(AND(F102="Bekleniyor",D102&lt;RaporTarihi),"HATA: giriş günü geçti, Geldi veya İptal yapın","OK"))))))))))))</f>
        <v/>
      </c>
      <c r="L102" s="25">
        <f>IF(AND(ISNUMBER(A102),F102&lt;&gt;"İptal",ISNUMBER(D102),ISNUMBER(E102),D102&lt;=RaporTarihi,E102&gt;RaporTarihi),A102,"")</f>
        <v/>
      </c>
    </row>
    <row r="103">
      <c r="A103" s="22" t="n"/>
      <c r="B103" s="22" t="n"/>
      <c r="C103" s="22" t="n"/>
      <c r="D103" s="23" t="n"/>
      <c r="E103" s="23" t="n"/>
      <c r="F103" s="22" t="n"/>
      <c r="G103" s="24" t="n"/>
      <c r="H103" s="22" t="n"/>
      <c r="I103" s="25">
        <f>IF(AND(ISNUMBER(D103),ISNUMBER(E103)),E103-D103,"")</f>
        <v/>
      </c>
      <c r="J103" s="26">
        <f>IF(AND(ISNUMBER(I103),ISNUMBER(G103)),IF(I103&gt;0,G103/I103,""),"")</f>
        <v/>
      </c>
      <c r="K103" s="25">
        <f>IF(COUNTA(A103:H103)=0,"",IF(OR(A103="",B103="",C103="",D103="",E103="",F103="",G103="",H103=""),"HATA: eksik bilgi",IF(COUNTIF(OdaListesi,A103)=0,"HATA: geçersiz oda no",IF(OR(NOT(ISNUMBER(D103)),NOT(ISNUMBER(E103))),"HATA: tarih geçersiz",IF(E103&lt;=D103,"HATA: çıkış girişten sonra olmalı",IF(OR(NOT(ISNUMBER(C103)),C103&lt;1,C103&gt;MaxKisi,C103&lt;&gt;INT(C103)),"HATA: kişi sayısı geçersiz",IF(OR(NOT(ISNUMBER(G103)),G103&lt;0),"HATA: tutar geçersiz",IF(B103&lt;&gt;TRIM(B103),"HATA: isimde baştaki/sondaki boşluk",IF(COUNTIF(KaynakAralik,H103)=0,"HATA: kaynak listede yok",IF(AND(F103&lt;&gt;"Bekleniyor",F103&lt;&gt;"Geldi",F103&lt;&gt;"İptal"),"HATA: giriş durumu geçersiz",IF(AND(F103&lt;&gt;"İptal",COUNTIFS($A$6:$A$1005,A103,$D$6:$D$1005,"&lt;"&amp;E103,$E$6:$E$1005,"&gt;"&amp;D103,$F$6:$F$1005,"&lt;&gt;İptal")&gt;1),"HATA: oda bu tarihlerde çakışıyor",IF(AND(F103="Bekleniyor",D103&lt;RaporTarihi),"HATA: giriş günü geçti, Geldi veya İptal yapın","OK"))))))))))))</f>
        <v/>
      </c>
      <c r="L103" s="25">
        <f>IF(AND(ISNUMBER(A103),F103&lt;&gt;"İptal",ISNUMBER(D103),ISNUMBER(E103),D103&lt;=RaporTarihi,E103&gt;RaporTarihi),A103,"")</f>
        <v/>
      </c>
    </row>
    <row r="104">
      <c r="A104" s="22" t="n"/>
      <c r="B104" s="22" t="n"/>
      <c r="C104" s="22" t="n"/>
      <c r="D104" s="23" t="n"/>
      <c r="E104" s="23" t="n"/>
      <c r="F104" s="22" t="n"/>
      <c r="G104" s="24" t="n"/>
      <c r="H104" s="22" t="n"/>
      <c r="I104" s="25">
        <f>IF(AND(ISNUMBER(D104),ISNUMBER(E104)),E104-D104,"")</f>
        <v/>
      </c>
      <c r="J104" s="26">
        <f>IF(AND(ISNUMBER(I104),ISNUMBER(G104)),IF(I104&gt;0,G104/I104,""),"")</f>
        <v/>
      </c>
      <c r="K104" s="25">
        <f>IF(COUNTA(A104:H104)=0,"",IF(OR(A104="",B104="",C104="",D104="",E104="",F104="",G104="",H104=""),"HATA: eksik bilgi",IF(COUNTIF(OdaListesi,A104)=0,"HATA: geçersiz oda no",IF(OR(NOT(ISNUMBER(D104)),NOT(ISNUMBER(E104))),"HATA: tarih geçersiz",IF(E104&lt;=D104,"HATA: çıkış girişten sonra olmalı",IF(OR(NOT(ISNUMBER(C104)),C104&lt;1,C104&gt;MaxKisi,C104&lt;&gt;INT(C104)),"HATA: kişi sayısı geçersiz",IF(OR(NOT(ISNUMBER(G104)),G104&lt;0),"HATA: tutar geçersiz",IF(B104&lt;&gt;TRIM(B104),"HATA: isimde baştaki/sondaki boşluk",IF(COUNTIF(KaynakAralik,H104)=0,"HATA: kaynak listede yok",IF(AND(F104&lt;&gt;"Bekleniyor",F104&lt;&gt;"Geldi",F104&lt;&gt;"İptal"),"HATA: giriş durumu geçersiz",IF(AND(F104&lt;&gt;"İptal",COUNTIFS($A$6:$A$1005,A104,$D$6:$D$1005,"&lt;"&amp;E104,$E$6:$E$1005,"&gt;"&amp;D104,$F$6:$F$1005,"&lt;&gt;İptal")&gt;1),"HATA: oda bu tarihlerde çakışıyor",IF(AND(F104="Bekleniyor",D104&lt;RaporTarihi),"HATA: giriş günü geçti, Geldi veya İptal yapın","OK"))))))))))))</f>
        <v/>
      </c>
      <c r="L104" s="25">
        <f>IF(AND(ISNUMBER(A104),F104&lt;&gt;"İptal",ISNUMBER(D104),ISNUMBER(E104),D104&lt;=RaporTarihi,E104&gt;RaporTarihi),A104,"")</f>
        <v/>
      </c>
    </row>
    <row r="105">
      <c r="A105" s="22" t="n"/>
      <c r="B105" s="22" t="n"/>
      <c r="C105" s="22" t="n"/>
      <c r="D105" s="23" t="n"/>
      <c r="E105" s="23" t="n"/>
      <c r="F105" s="22" t="n"/>
      <c r="G105" s="24" t="n"/>
      <c r="H105" s="22" t="n"/>
      <c r="I105" s="25">
        <f>IF(AND(ISNUMBER(D105),ISNUMBER(E105)),E105-D105,"")</f>
        <v/>
      </c>
      <c r="J105" s="26">
        <f>IF(AND(ISNUMBER(I105),ISNUMBER(G105)),IF(I105&gt;0,G105/I105,""),"")</f>
        <v/>
      </c>
      <c r="K105" s="25">
        <f>IF(COUNTA(A105:H105)=0,"",IF(OR(A105="",B105="",C105="",D105="",E105="",F105="",G105="",H105=""),"HATA: eksik bilgi",IF(COUNTIF(OdaListesi,A105)=0,"HATA: geçersiz oda no",IF(OR(NOT(ISNUMBER(D105)),NOT(ISNUMBER(E105))),"HATA: tarih geçersiz",IF(E105&lt;=D105,"HATA: çıkış girişten sonra olmalı",IF(OR(NOT(ISNUMBER(C105)),C105&lt;1,C105&gt;MaxKisi,C105&lt;&gt;INT(C105)),"HATA: kişi sayısı geçersiz",IF(OR(NOT(ISNUMBER(G105)),G105&lt;0),"HATA: tutar geçersiz",IF(B105&lt;&gt;TRIM(B105),"HATA: isimde baştaki/sondaki boşluk",IF(COUNTIF(KaynakAralik,H105)=0,"HATA: kaynak listede yok",IF(AND(F105&lt;&gt;"Bekleniyor",F105&lt;&gt;"Geldi",F105&lt;&gt;"İptal"),"HATA: giriş durumu geçersiz",IF(AND(F105&lt;&gt;"İptal",COUNTIFS($A$6:$A$1005,A105,$D$6:$D$1005,"&lt;"&amp;E105,$E$6:$E$1005,"&gt;"&amp;D105,$F$6:$F$1005,"&lt;&gt;İptal")&gt;1),"HATA: oda bu tarihlerde çakışıyor",IF(AND(F105="Bekleniyor",D105&lt;RaporTarihi),"HATA: giriş günü geçti, Geldi veya İptal yapın","OK"))))))))))))</f>
        <v/>
      </c>
      <c r="L105" s="25">
        <f>IF(AND(ISNUMBER(A105),F105&lt;&gt;"İptal",ISNUMBER(D105),ISNUMBER(E105),D105&lt;=RaporTarihi,E105&gt;RaporTarihi),A105,"")</f>
        <v/>
      </c>
    </row>
    <row r="106">
      <c r="A106" s="22" t="n"/>
      <c r="B106" s="22" t="n"/>
      <c r="C106" s="22" t="n"/>
      <c r="D106" s="23" t="n"/>
      <c r="E106" s="23" t="n"/>
      <c r="F106" s="22" t="n"/>
      <c r="G106" s="24" t="n"/>
      <c r="H106" s="22" t="n"/>
      <c r="I106" s="25">
        <f>IF(AND(ISNUMBER(D106),ISNUMBER(E106)),E106-D106,"")</f>
        <v/>
      </c>
      <c r="J106" s="26">
        <f>IF(AND(ISNUMBER(I106),ISNUMBER(G106)),IF(I106&gt;0,G106/I106,""),"")</f>
        <v/>
      </c>
      <c r="K106" s="25">
        <f>IF(COUNTA(A106:H106)=0,"",IF(OR(A106="",B106="",C106="",D106="",E106="",F106="",G106="",H106=""),"HATA: eksik bilgi",IF(COUNTIF(OdaListesi,A106)=0,"HATA: geçersiz oda no",IF(OR(NOT(ISNUMBER(D106)),NOT(ISNUMBER(E106))),"HATA: tarih geçersiz",IF(E106&lt;=D106,"HATA: çıkış girişten sonra olmalı",IF(OR(NOT(ISNUMBER(C106)),C106&lt;1,C106&gt;MaxKisi,C106&lt;&gt;INT(C106)),"HATA: kişi sayısı geçersiz",IF(OR(NOT(ISNUMBER(G106)),G106&lt;0),"HATA: tutar geçersiz",IF(B106&lt;&gt;TRIM(B106),"HATA: isimde baştaki/sondaki boşluk",IF(COUNTIF(KaynakAralik,H106)=0,"HATA: kaynak listede yok",IF(AND(F106&lt;&gt;"Bekleniyor",F106&lt;&gt;"Geldi",F106&lt;&gt;"İptal"),"HATA: giriş durumu geçersiz",IF(AND(F106&lt;&gt;"İptal",COUNTIFS($A$6:$A$1005,A106,$D$6:$D$1005,"&lt;"&amp;E106,$E$6:$E$1005,"&gt;"&amp;D106,$F$6:$F$1005,"&lt;&gt;İptal")&gt;1),"HATA: oda bu tarihlerde çakışıyor",IF(AND(F106="Bekleniyor",D106&lt;RaporTarihi),"HATA: giriş günü geçti, Geldi veya İptal yapın","OK"))))))))))))</f>
        <v/>
      </c>
      <c r="L106" s="25">
        <f>IF(AND(ISNUMBER(A106),F106&lt;&gt;"İptal",ISNUMBER(D106),ISNUMBER(E106),D106&lt;=RaporTarihi,E106&gt;RaporTarihi),A106,"")</f>
        <v/>
      </c>
    </row>
    <row r="107">
      <c r="A107" s="22" t="n"/>
      <c r="B107" s="22" t="n"/>
      <c r="C107" s="22" t="n"/>
      <c r="D107" s="23" t="n"/>
      <c r="E107" s="23" t="n"/>
      <c r="F107" s="22" t="n"/>
      <c r="G107" s="24" t="n"/>
      <c r="H107" s="22" t="n"/>
      <c r="I107" s="25">
        <f>IF(AND(ISNUMBER(D107),ISNUMBER(E107)),E107-D107,"")</f>
        <v/>
      </c>
      <c r="J107" s="26">
        <f>IF(AND(ISNUMBER(I107),ISNUMBER(G107)),IF(I107&gt;0,G107/I107,""),"")</f>
        <v/>
      </c>
      <c r="K107" s="25">
        <f>IF(COUNTA(A107:H107)=0,"",IF(OR(A107="",B107="",C107="",D107="",E107="",F107="",G107="",H107=""),"HATA: eksik bilgi",IF(COUNTIF(OdaListesi,A107)=0,"HATA: geçersiz oda no",IF(OR(NOT(ISNUMBER(D107)),NOT(ISNUMBER(E107))),"HATA: tarih geçersiz",IF(E107&lt;=D107,"HATA: çıkış girişten sonra olmalı",IF(OR(NOT(ISNUMBER(C107)),C107&lt;1,C107&gt;MaxKisi,C107&lt;&gt;INT(C107)),"HATA: kişi sayısı geçersiz",IF(OR(NOT(ISNUMBER(G107)),G107&lt;0),"HATA: tutar geçersiz",IF(B107&lt;&gt;TRIM(B107),"HATA: isimde baştaki/sondaki boşluk",IF(COUNTIF(KaynakAralik,H107)=0,"HATA: kaynak listede yok",IF(AND(F107&lt;&gt;"Bekleniyor",F107&lt;&gt;"Geldi",F107&lt;&gt;"İptal"),"HATA: giriş durumu geçersiz",IF(AND(F107&lt;&gt;"İptal",COUNTIFS($A$6:$A$1005,A107,$D$6:$D$1005,"&lt;"&amp;E107,$E$6:$E$1005,"&gt;"&amp;D107,$F$6:$F$1005,"&lt;&gt;İptal")&gt;1),"HATA: oda bu tarihlerde çakışıyor",IF(AND(F107="Bekleniyor",D107&lt;RaporTarihi),"HATA: giriş günü geçti, Geldi veya İptal yapın","OK"))))))))))))</f>
        <v/>
      </c>
      <c r="L107" s="25">
        <f>IF(AND(ISNUMBER(A107),F107&lt;&gt;"İptal",ISNUMBER(D107),ISNUMBER(E107),D107&lt;=RaporTarihi,E107&gt;RaporTarihi),A107,"")</f>
        <v/>
      </c>
    </row>
    <row r="108">
      <c r="A108" s="22" t="n"/>
      <c r="B108" s="22" t="n"/>
      <c r="C108" s="22" t="n"/>
      <c r="D108" s="23" t="n"/>
      <c r="E108" s="23" t="n"/>
      <c r="F108" s="22" t="n"/>
      <c r="G108" s="24" t="n"/>
      <c r="H108" s="22" t="n"/>
      <c r="I108" s="25">
        <f>IF(AND(ISNUMBER(D108),ISNUMBER(E108)),E108-D108,"")</f>
        <v/>
      </c>
      <c r="J108" s="26">
        <f>IF(AND(ISNUMBER(I108),ISNUMBER(G108)),IF(I108&gt;0,G108/I108,""),"")</f>
        <v/>
      </c>
      <c r="K108" s="25">
        <f>IF(COUNTA(A108:H108)=0,"",IF(OR(A108="",B108="",C108="",D108="",E108="",F108="",G108="",H108=""),"HATA: eksik bilgi",IF(COUNTIF(OdaListesi,A108)=0,"HATA: geçersiz oda no",IF(OR(NOT(ISNUMBER(D108)),NOT(ISNUMBER(E108))),"HATA: tarih geçersiz",IF(E108&lt;=D108,"HATA: çıkış girişten sonra olmalı",IF(OR(NOT(ISNUMBER(C108)),C108&lt;1,C108&gt;MaxKisi,C108&lt;&gt;INT(C108)),"HATA: kişi sayısı geçersiz",IF(OR(NOT(ISNUMBER(G108)),G108&lt;0),"HATA: tutar geçersiz",IF(B108&lt;&gt;TRIM(B108),"HATA: isimde baştaki/sondaki boşluk",IF(COUNTIF(KaynakAralik,H108)=0,"HATA: kaynak listede yok",IF(AND(F108&lt;&gt;"Bekleniyor",F108&lt;&gt;"Geldi",F108&lt;&gt;"İptal"),"HATA: giriş durumu geçersiz",IF(AND(F108&lt;&gt;"İptal",COUNTIFS($A$6:$A$1005,A108,$D$6:$D$1005,"&lt;"&amp;E108,$E$6:$E$1005,"&gt;"&amp;D108,$F$6:$F$1005,"&lt;&gt;İptal")&gt;1),"HATA: oda bu tarihlerde çakışıyor",IF(AND(F108="Bekleniyor",D108&lt;RaporTarihi),"HATA: giriş günü geçti, Geldi veya İptal yapın","OK"))))))))))))</f>
        <v/>
      </c>
      <c r="L108" s="25">
        <f>IF(AND(ISNUMBER(A108),F108&lt;&gt;"İptal",ISNUMBER(D108),ISNUMBER(E108),D108&lt;=RaporTarihi,E108&gt;RaporTarihi),A108,"")</f>
        <v/>
      </c>
    </row>
    <row r="109">
      <c r="A109" s="22" t="n"/>
      <c r="B109" s="22" t="n"/>
      <c r="C109" s="22" t="n"/>
      <c r="D109" s="23" t="n"/>
      <c r="E109" s="23" t="n"/>
      <c r="F109" s="22" t="n"/>
      <c r="G109" s="24" t="n"/>
      <c r="H109" s="22" t="n"/>
      <c r="I109" s="25">
        <f>IF(AND(ISNUMBER(D109),ISNUMBER(E109)),E109-D109,"")</f>
        <v/>
      </c>
      <c r="J109" s="26">
        <f>IF(AND(ISNUMBER(I109),ISNUMBER(G109)),IF(I109&gt;0,G109/I109,""),"")</f>
        <v/>
      </c>
      <c r="K109" s="25">
        <f>IF(COUNTA(A109:H109)=0,"",IF(OR(A109="",B109="",C109="",D109="",E109="",F109="",G109="",H109=""),"HATA: eksik bilgi",IF(COUNTIF(OdaListesi,A109)=0,"HATA: geçersiz oda no",IF(OR(NOT(ISNUMBER(D109)),NOT(ISNUMBER(E109))),"HATA: tarih geçersiz",IF(E109&lt;=D109,"HATA: çıkış girişten sonra olmalı",IF(OR(NOT(ISNUMBER(C109)),C109&lt;1,C109&gt;MaxKisi,C109&lt;&gt;INT(C109)),"HATA: kişi sayısı geçersiz",IF(OR(NOT(ISNUMBER(G109)),G109&lt;0),"HATA: tutar geçersiz",IF(B109&lt;&gt;TRIM(B109),"HATA: isimde baştaki/sondaki boşluk",IF(COUNTIF(KaynakAralik,H109)=0,"HATA: kaynak listede yok",IF(AND(F109&lt;&gt;"Bekleniyor",F109&lt;&gt;"Geldi",F109&lt;&gt;"İptal"),"HATA: giriş durumu geçersiz",IF(AND(F109&lt;&gt;"İptal",COUNTIFS($A$6:$A$1005,A109,$D$6:$D$1005,"&lt;"&amp;E109,$E$6:$E$1005,"&gt;"&amp;D109,$F$6:$F$1005,"&lt;&gt;İptal")&gt;1),"HATA: oda bu tarihlerde çakışıyor",IF(AND(F109="Bekleniyor",D109&lt;RaporTarihi),"HATA: giriş günü geçti, Geldi veya İptal yapın","OK"))))))))))))</f>
        <v/>
      </c>
      <c r="L109" s="25">
        <f>IF(AND(ISNUMBER(A109),F109&lt;&gt;"İptal",ISNUMBER(D109),ISNUMBER(E109),D109&lt;=RaporTarihi,E109&gt;RaporTarihi),A109,"")</f>
        <v/>
      </c>
    </row>
    <row r="110">
      <c r="A110" s="22" t="n"/>
      <c r="B110" s="22" t="n"/>
      <c r="C110" s="22" t="n"/>
      <c r="D110" s="23" t="n"/>
      <c r="E110" s="23" t="n"/>
      <c r="F110" s="22" t="n"/>
      <c r="G110" s="24" t="n"/>
      <c r="H110" s="22" t="n"/>
      <c r="I110" s="25">
        <f>IF(AND(ISNUMBER(D110),ISNUMBER(E110)),E110-D110,"")</f>
        <v/>
      </c>
      <c r="J110" s="26">
        <f>IF(AND(ISNUMBER(I110),ISNUMBER(G110)),IF(I110&gt;0,G110/I110,""),"")</f>
        <v/>
      </c>
      <c r="K110" s="25">
        <f>IF(COUNTA(A110:H110)=0,"",IF(OR(A110="",B110="",C110="",D110="",E110="",F110="",G110="",H110=""),"HATA: eksik bilgi",IF(COUNTIF(OdaListesi,A110)=0,"HATA: geçersiz oda no",IF(OR(NOT(ISNUMBER(D110)),NOT(ISNUMBER(E110))),"HATA: tarih geçersiz",IF(E110&lt;=D110,"HATA: çıkış girişten sonra olmalı",IF(OR(NOT(ISNUMBER(C110)),C110&lt;1,C110&gt;MaxKisi,C110&lt;&gt;INT(C110)),"HATA: kişi sayısı geçersiz",IF(OR(NOT(ISNUMBER(G110)),G110&lt;0),"HATA: tutar geçersiz",IF(B110&lt;&gt;TRIM(B110),"HATA: isimde baştaki/sondaki boşluk",IF(COUNTIF(KaynakAralik,H110)=0,"HATA: kaynak listede yok",IF(AND(F110&lt;&gt;"Bekleniyor",F110&lt;&gt;"Geldi",F110&lt;&gt;"İptal"),"HATA: giriş durumu geçersiz",IF(AND(F110&lt;&gt;"İptal",COUNTIFS($A$6:$A$1005,A110,$D$6:$D$1005,"&lt;"&amp;E110,$E$6:$E$1005,"&gt;"&amp;D110,$F$6:$F$1005,"&lt;&gt;İptal")&gt;1),"HATA: oda bu tarihlerde çakışıyor",IF(AND(F110="Bekleniyor",D110&lt;RaporTarihi),"HATA: giriş günü geçti, Geldi veya İptal yapın","OK"))))))))))))</f>
        <v/>
      </c>
      <c r="L110" s="25">
        <f>IF(AND(ISNUMBER(A110),F110&lt;&gt;"İptal",ISNUMBER(D110),ISNUMBER(E110),D110&lt;=RaporTarihi,E110&gt;RaporTarihi),A110,"")</f>
        <v/>
      </c>
    </row>
    <row r="111">
      <c r="A111" s="22" t="n"/>
      <c r="B111" s="22" t="n"/>
      <c r="C111" s="22" t="n"/>
      <c r="D111" s="23" t="n"/>
      <c r="E111" s="23" t="n"/>
      <c r="F111" s="22" t="n"/>
      <c r="G111" s="24" t="n"/>
      <c r="H111" s="22" t="n"/>
      <c r="I111" s="25">
        <f>IF(AND(ISNUMBER(D111),ISNUMBER(E111)),E111-D111,"")</f>
        <v/>
      </c>
      <c r="J111" s="26">
        <f>IF(AND(ISNUMBER(I111),ISNUMBER(G111)),IF(I111&gt;0,G111/I111,""),"")</f>
        <v/>
      </c>
      <c r="K111" s="25">
        <f>IF(COUNTA(A111:H111)=0,"",IF(OR(A111="",B111="",C111="",D111="",E111="",F111="",G111="",H111=""),"HATA: eksik bilgi",IF(COUNTIF(OdaListesi,A111)=0,"HATA: geçersiz oda no",IF(OR(NOT(ISNUMBER(D111)),NOT(ISNUMBER(E111))),"HATA: tarih geçersiz",IF(E111&lt;=D111,"HATA: çıkış girişten sonra olmalı",IF(OR(NOT(ISNUMBER(C111)),C111&lt;1,C111&gt;MaxKisi,C111&lt;&gt;INT(C111)),"HATA: kişi sayısı geçersiz",IF(OR(NOT(ISNUMBER(G111)),G111&lt;0),"HATA: tutar geçersiz",IF(B111&lt;&gt;TRIM(B111),"HATA: isimde baştaki/sondaki boşluk",IF(COUNTIF(KaynakAralik,H111)=0,"HATA: kaynak listede yok",IF(AND(F111&lt;&gt;"Bekleniyor",F111&lt;&gt;"Geldi",F111&lt;&gt;"İptal"),"HATA: giriş durumu geçersiz",IF(AND(F111&lt;&gt;"İptal",COUNTIFS($A$6:$A$1005,A111,$D$6:$D$1005,"&lt;"&amp;E111,$E$6:$E$1005,"&gt;"&amp;D111,$F$6:$F$1005,"&lt;&gt;İptal")&gt;1),"HATA: oda bu tarihlerde çakışıyor",IF(AND(F111="Bekleniyor",D111&lt;RaporTarihi),"HATA: giriş günü geçti, Geldi veya İptal yapın","OK"))))))))))))</f>
        <v/>
      </c>
      <c r="L111" s="25">
        <f>IF(AND(ISNUMBER(A111),F111&lt;&gt;"İptal",ISNUMBER(D111),ISNUMBER(E111),D111&lt;=RaporTarihi,E111&gt;RaporTarihi),A111,"")</f>
        <v/>
      </c>
    </row>
    <row r="112">
      <c r="A112" s="22" t="n"/>
      <c r="B112" s="22" t="n"/>
      <c r="C112" s="22" t="n"/>
      <c r="D112" s="23" t="n"/>
      <c r="E112" s="23" t="n"/>
      <c r="F112" s="22" t="n"/>
      <c r="G112" s="24" t="n"/>
      <c r="H112" s="22" t="n"/>
      <c r="I112" s="25">
        <f>IF(AND(ISNUMBER(D112),ISNUMBER(E112)),E112-D112,"")</f>
        <v/>
      </c>
      <c r="J112" s="26">
        <f>IF(AND(ISNUMBER(I112),ISNUMBER(G112)),IF(I112&gt;0,G112/I112,""),"")</f>
        <v/>
      </c>
      <c r="K112" s="25">
        <f>IF(COUNTA(A112:H112)=0,"",IF(OR(A112="",B112="",C112="",D112="",E112="",F112="",G112="",H112=""),"HATA: eksik bilgi",IF(COUNTIF(OdaListesi,A112)=0,"HATA: geçersiz oda no",IF(OR(NOT(ISNUMBER(D112)),NOT(ISNUMBER(E112))),"HATA: tarih geçersiz",IF(E112&lt;=D112,"HATA: çıkış girişten sonra olmalı",IF(OR(NOT(ISNUMBER(C112)),C112&lt;1,C112&gt;MaxKisi,C112&lt;&gt;INT(C112)),"HATA: kişi sayısı geçersiz",IF(OR(NOT(ISNUMBER(G112)),G112&lt;0),"HATA: tutar geçersiz",IF(B112&lt;&gt;TRIM(B112),"HATA: isimde baştaki/sondaki boşluk",IF(COUNTIF(KaynakAralik,H112)=0,"HATA: kaynak listede yok",IF(AND(F112&lt;&gt;"Bekleniyor",F112&lt;&gt;"Geldi",F112&lt;&gt;"İptal"),"HATA: giriş durumu geçersiz",IF(AND(F112&lt;&gt;"İptal",COUNTIFS($A$6:$A$1005,A112,$D$6:$D$1005,"&lt;"&amp;E112,$E$6:$E$1005,"&gt;"&amp;D112,$F$6:$F$1005,"&lt;&gt;İptal")&gt;1),"HATA: oda bu tarihlerde çakışıyor",IF(AND(F112="Bekleniyor",D112&lt;RaporTarihi),"HATA: giriş günü geçti, Geldi veya İptal yapın","OK"))))))))))))</f>
        <v/>
      </c>
      <c r="L112" s="25">
        <f>IF(AND(ISNUMBER(A112),F112&lt;&gt;"İptal",ISNUMBER(D112),ISNUMBER(E112),D112&lt;=RaporTarihi,E112&gt;RaporTarihi),A112,"")</f>
        <v/>
      </c>
    </row>
    <row r="113">
      <c r="A113" s="22" t="n"/>
      <c r="B113" s="22" t="n"/>
      <c r="C113" s="22" t="n"/>
      <c r="D113" s="23" t="n"/>
      <c r="E113" s="23" t="n"/>
      <c r="F113" s="22" t="n"/>
      <c r="G113" s="24" t="n"/>
      <c r="H113" s="22" t="n"/>
      <c r="I113" s="25">
        <f>IF(AND(ISNUMBER(D113),ISNUMBER(E113)),E113-D113,"")</f>
        <v/>
      </c>
      <c r="J113" s="26">
        <f>IF(AND(ISNUMBER(I113),ISNUMBER(G113)),IF(I113&gt;0,G113/I113,""),"")</f>
        <v/>
      </c>
      <c r="K113" s="25">
        <f>IF(COUNTA(A113:H113)=0,"",IF(OR(A113="",B113="",C113="",D113="",E113="",F113="",G113="",H113=""),"HATA: eksik bilgi",IF(COUNTIF(OdaListesi,A113)=0,"HATA: geçersiz oda no",IF(OR(NOT(ISNUMBER(D113)),NOT(ISNUMBER(E113))),"HATA: tarih geçersiz",IF(E113&lt;=D113,"HATA: çıkış girişten sonra olmalı",IF(OR(NOT(ISNUMBER(C113)),C113&lt;1,C113&gt;MaxKisi,C113&lt;&gt;INT(C113)),"HATA: kişi sayısı geçersiz",IF(OR(NOT(ISNUMBER(G113)),G113&lt;0),"HATA: tutar geçersiz",IF(B113&lt;&gt;TRIM(B113),"HATA: isimde baştaki/sondaki boşluk",IF(COUNTIF(KaynakAralik,H113)=0,"HATA: kaynak listede yok",IF(AND(F113&lt;&gt;"Bekleniyor",F113&lt;&gt;"Geldi",F113&lt;&gt;"İptal"),"HATA: giriş durumu geçersiz",IF(AND(F113&lt;&gt;"İptal",COUNTIFS($A$6:$A$1005,A113,$D$6:$D$1005,"&lt;"&amp;E113,$E$6:$E$1005,"&gt;"&amp;D113,$F$6:$F$1005,"&lt;&gt;İptal")&gt;1),"HATA: oda bu tarihlerde çakışıyor",IF(AND(F113="Bekleniyor",D113&lt;RaporTarihi),"HATA: giriş günü geçti, Geldi veya İptal yapın","OK"))))))))))))</f>
        <v/>
      </c>
      <c r="L113" s="25">
        <f>IF(AND(ISNUMBER(A113),F113&lt;&gt;"İptal",ISNUMBER(D113),ISNUMBER(E113),D113&lt;=RaporTarihi,E113&gt;RaporTarihi),A113,"")</f>
        <v/>
      </c>
    </row>
    <row r="114">
      <c r="A114" s="22" t="n"/>
      <c r="B114" s="22" t="n"/>
      <c r="C114" s="22" t="n"/>
      <c r="D114" s="23" t="n"/>
      <c r="E114" s="23" t="n"/>
      <c r="F114" s="22" t="n"/>
      <c r="G114" s="24" t="n"/>
      <c r="H114" s="22" t="n"/>
      <c r="I114" s="25">
        <f>IF(AND(ISNUMBER(D114),ISNUMBER(E114)),E114-D114,"")</f>
        <v/>
      </c>
      <c r="J114" s="26">
        <f>IF(AND(ISNUMBER(I114),ISNUMBER(G114)),IF(I114&gt;0,G114/I114,""),"")</f>
        <v/>
      </c>
      <c r="K114" s="25">
        <f>IF(COUNTA(A114:H114)=0,"",IF(OR(A114="",B114="",C114="",D114="",E114="",F114="",G114="",H114=""),"HATA: eksik bilgi",IF(COUNTIF(OdaListesi,A114)=0,"HATA: geçersiz oda no",IF(OR(NOT(ISNUMBER(D114)),NOT(ISNUMBER(E114))),"HATA: tarih geçersiz",IF(E114&lt;=D114,"HATA: çıkış girişten sonra olmalı",IF(OR(NOT(ISNUMBER(C114)),C114&lt;1,C114&gt;MaxKisi,C114&lt;&gt;INT(C114)),"HATA: kişi sayısı geçersiz",IF(OR(NOT(ISNUMBER(G114)),G114&lt;0),"HATA: tutar geçersiz",IF(B114&lt;&gt;TRIM(B114),"HATA: isimde baştaki/sondaki boşluk",IF(COUNTIF(KaynakAralik,H114)=0,"HATA: kaynak listede yok",IF(AND(F114&lt;&gt;"Bekleniyor",F114&lt;&gt;"Geldi",F114&lt;&gt;"İptal"),"HATA: giriş durumu geçersiz",IF(AND(F114&lt;&gt;"İptal",COUNTIFS($A$6:$A$1005,A114,$D$6:$D$1005,"&lt;"&amp;E114,$E$6:$E$1005,"&gt;"&amp;D114,$F$6:$F$1005,"&lt;&gt;İptal")&gt;1),"HATA: oda bu tarihlerde çakışıyor",IF(AND(F114="Bekleniyor",D114&lt;RaporTarihi),"HATA: giriş günü geçti, Geldi veya İptal yapın","OK"))))))))))))</f>
        <v/>
      </c>
      <c r="L114" s="25">
        <f>IF(AND(ISNUMBER(A114),F114&lt;&gt;"İptal",ISNUMBER(D114),ISNUMBER(E114),D114&lt;=RaporTarihi,E114&gt;RaporTarihi),A114,"")</f>
        <v/>
      </c>
    </row>
    <row r="115">
      <c r="A115" s="22" t="n"/>
      <c r="B115" s="22" t="n"/>
      <c r="C115" s="22" t="n"/>
      <c r="D115" s="23" t="n"/>
      <c r="E115" s="23" t="n"/>
      <c r="F115" s="22" t="n"/>
      <c r="G115" s="24" t="n"/>
      <c r="H115" s="22" t="n"/>
      <c r="I115" s="25">
        <f>IF(AND(ISNUMBER(D115),ISNUMBER(E115)),E115-D115,"")</f>
        <v/>
      </c>
      <c r="J115" s="26">
        <f>IF(AND(ISNUMBER(I115),ISNUMBER(G115)),IF(I115&gt;0,G115/I115,""),"")</f>
        <v/>
      </c>
      <c r="K115" s="25">
        <f>IF(COUNTA(A115:H115)=0,"",IF(OR(A115="",B115="",C115="",D115="",E115="",F115="",G115="",H115=""),"HATA: eksik bilgi",IF(COUNTIF(OdaListesi,A115)=0,"HATA: geçersiz oda no",IF(OR(NOT(ISNUMBER(D115)),NOT(ISNUMBER(E115))),"HATA: tarih geçersiz",IF(E115&lt;=D115,"HATA: çıkış girişten sonra olmalı",IF(OR(NOT(ISNUMBER(C115)),C115&lt;1,C115&gt;MaxKisi,C115&lt;&gt;INT(C115)),"HATA: kişi sayısı geçersiz",IF(OR(NOT(ISNUMBER(G115)),G115&lt;0),"HATA: tutar geçersiz",IF(B115&lt;&gt;TRIM(B115),"HATA: isimde baştaki/sondaki boşluk",IF(COUNTIF(KaynakAralik,H115)=0,"HATA: kaynak listede yok",IF(AND(F115&lt;&gt;"Bekleniyor",F115&lt;&gt;"Geldi",F115&lt;&gt;"İptal"),"HATA: giriş durumu geçersiz",IF(AND(F115&lt;&gt;"İptal",COUNTIFS($A$6:$A$1005,A115,$D$6:$D$1005,"&lt;"&amp;E115,$E$6:$E$1005,"&gt;"&amp;D115,$F$6:$F$1005,"&lt;&gt;İptal")&gt;1),"HATA: oda bu tarihlerde çakışıyor",IF(AND(F115="Bekleniyor",D115&lt;RaporTarihi),"HATA: giriş günü geçti, Geldi veya İptal yapın","OK"))))))))))))</f>
        <v/>
      </c>
      <c r="L115" s="25">
        <f>IF(AND(ISNUMBER(A115),F115&lt;&gt;"İptal",ISNUMBER(D115),ISNUMBER(E115),D115&lt;=RaporTarihi,E115&gt;RaporTarihi),A115,"")</f>
        <v/>
      </c>
    </row>
    <row r="116">
      <c r="A116" s="22" t="n"/>
      <c r="B116" s="22" t="n"/>
      <c r="C116" s="22" t="n"/>
      <c r="D116" s="23" t="n"/>
      <c r="E116" s="23" t="n"/>
      <c r="F116" s="22" t="n"/>
      <c r="G116" s="24" t="n"/>
      <c r="H116" s="22" t="n"/>
      <c r="I116" s="25">
        <f>IF(AND(ISNUMBER(D116),ISNUMBER(E116)),E116-D116,"")</f>
        <v/>
      </c>
      <c r="J116" s="26">
        <f>IF(AND(ISNUMBER(I116),ISNUMBER(G116)),IF(I116&gt;0,G116/I116,""),"")</f>
        <v/>
      </c>
      <c r="K116" s="25">
        <f>IF(COUNTA(A116:H116)=0,"",IF(OR(A116="",B116="",C116="",D116="",E116="",F116="",G116="",H116=""),"HATA: eksik bilgi",IF(COUNTIF(OdaListesi,A116)=0,"HATA: geçersiz oda no",IF(OR(NOT(ISNUMBER(D116)),NOT(ISNUMBER(E116))),"HATA: tarih geçersiz",IF(E116&lt;=D116,"HATA: çıkış girişten sonra olmalı",IF(OR(NOT(ISNUMBER(C116)),C116&lt;1,C116&gt;MaxKisi,C116&lt;&gt;INT(C116)),"HATA: kişi sayısı geçersiz",IF(OR(NOT(ISNUMBER(G116)),G116&lt;0),"HATA: tutar geçersiz",IF(B116&lt;&gt;TRIM(B116),"HATA: isimde baştaki/sondaki boşluk",IF(COUNTIF(KaynakAralik,H116)=0,"HATA: kaynak listede yok",IF(AND(F116&lt;&gt;"Bekleniyor",F116&lt;&gt;"Geldi",F116&lt;&gt;"İptal"),"HATA: giriş durumu geçersiz",IF(AND(F116&lt;&gt;"İptal",COUNTIFS($A$6:$A$1005,A116,$D$6:$D$1005,"&lt;"&amp;E116,$E$6:$E$1005,"&gt;"&amp;D116,$F$6:$F$1005,"&lt;&gt;İptal")&gt;1),"HATA: oda bu tarihlerde çakışıyor",IF(AND(F116="Bekleniyor",D116&lt;RaporTarihi),"HATA: giriş günü geçti, Geldi veya İptal yapın","OK"))))))))))))</f>
        <v/>
      </c>
      <c r="L116" s="25">
        <f>IF(AND(ISNUMBER(A116),F116&lt;&gt;"İptal",ISNUMBER(D116),ISNUMBER(E116),D116&lt;=RaporTarihi,E116&gt;RaporTarihi),A116,"")</f>
        <v/>
      </c>
    </row>
    <row r="117">
      <c r="A117" s="22" t="n"/>
      <c r="B117" s="22" t="n"/>
      <c r="C117" s="22" t="n"/>
      <c r="D117" s="23" t="n"/>
      <c r="E117" s="23" t="n"/>
      <c r="F117" s="22" t="n"/>
      <c r="G117" s="24" t="n"/>
      <c r="H117" s="22" t="n"/>
      <c r="I117" s="25">
        <f>IF(AND(ISNUMBER(D117),ISNUMBER(E117)),E117-D117,"")</f>
        <v/>
      </c>
      <c r="J117" s="26">
        <f>IF(AND(ISNUMBER(I117),ISNUMBER(G117)),IF(I117&gt;0,G117/I117,""),"")</f>
        <v/>
      </c>
      <c r="K117" s="25">
        <f>IF(COUNTA(A117:H117)=0,"",IF(OR(A117="",B117="",C117="",D117="",E117="",F117="",G117="",H117=""),"HATA: eksik bilgi",IF(COUNTIF(OdaListesi,A117)=0,"HATA: geçersiz oda no",IF(OR(NOT(ISNUMBER(D117)),NOT(ISNUMBER(E117))),"HATA: tarih geçersiz",IF(E117&lt;=D117,"HATA: çıkış girişten sonra olmalı",IF(OR(NOT(ISNUMBER(C117)),C117&lt;1,C117&gt;MaxKisi,C117&lt;&gt;INT(C117)),"HATA: kişi sayısı geçersiz",IF(OR(NOT(ISNUMBER(G117)),G117&lt;0),"HATA: tutar geçersiz",IF(B117&lt;&gt;TRIM(B117),"HATA: isimde baştaki/sondaki boşluk",IF(COUNTIF(KaynakAralik,H117)=0,"HATA: kaynak listede yok",IF(AND(F117&lt;&gt;"Bekleniyor",F117&lt;&gt;"Geldi",F117&lt;&gt;"İptal"),"HATA: giriş durumu geçersiz",IF(AND(F117&lt;&gt;"İptal",COUNTIFS($A$6:$A$1005,A117,$D$6:$D$1005,"&lt;"&amp;E117,$E$6:$E$1005,"&gt;"&amp;D117,$F$6:$F$1005,"&lt;&gt;İptal")&gt;1),"HATA: oda bu tarihlerde çakışıyor",IF(AND(F117="Bekleniyor",D117&lt;RaporTarihi),"HATA: giriş günü geçti, Geldi veya İptal yapın","OK"))))))))))))</f>
        <v/>
      </c>
      <c r="L117" s="25">
        <f>IF(AND(ISNUMBER(A117),F117&lt;&gt;"İptal",ISNUMBER(D117),ISNUMBER(E117),D117&lt;=RaporTarihi,E117&gt;RaporTarihi),A117,"")</f>
        <v/>
      </c>
    </row>
    <row r="118">
      <c r="A118" s="22" t="n"/>
      <c r="B118" s="22" t="n"/>
      <c r="C118" s="22" t="n"/>
      <c r="D118" s="23" t="n"/>
      <c r="E118" s="23" t="n"/>
      <c r="F118" s="22" t="n"/>
      <c r="G118" s="24" t="n"/>
      <c r="H118" s="22" t="n"/>
      <c r="I118" s="25">
        <f>IF(AND(ISNUMBER(D118),ISNUMBER(E118)),E118-D118,"")</f>
        <v/>
      </c>
      <c r="J118" s="26">
        <f>IF(AND(ISNUMBER(I118),ISNUMBER(G118)),IF(I118&gt;0,G118/I118,""),"")</f>
        <v/>
      </c>
      <c r="K118" s="25">
        <f>IF(COUNTA(A118:H118)=0,"",IF(OR(A118="",B118="",C118="",D118="",E118="",F118="",G118="",H118=""),"HATA: eksik bilgi",IF(COUNTIF(OdaListesi,A118)=0,"HATA: geçersiz oda no",IF(OR(NOT(ISNUMBER(D118)),NOT(ISNUMBER(E118))),"HATA: tarih geçersiz",IF(E118&lt;=D118,"HATA: çıkış girişten sonra olmalı",IF(OR(NOT(ISNUMBER(C118)),C118&lt;1,C118&gt;MaxKisi,C118&lt;&gt;INT(C118)),"HATA: kişi sayısı geçersiz",IF(OR(NOT(ISNUMBER(G118)),G118&lt;0),"HATA: tutar geçersiz",IF(B118&lt;&gt;TRIM(B118),"HATA: isimde baştaki/sondaki boşluk",IF(COUNTIF(KaynakAralik,H118)=0,"HATA: kaynak listede yok",IF(AND(F118&lt;&gt;"Bekleniyor",F118&lt;&gt;"Geldi",F118&lt;&gt;"İptal"),"HATA: giriş durumu geçersiz",IF(AND(F118&lt;&gt;"İptal",COUNTIFS($A$6:$A$1005,A118,$D$6:$D$1005,"&lt;"&amp;E118,$E$6:$E$1005,"&gt;"&amp;D118,$F$6:$F$1005,"&lt;&gt;İptal")&gt;1),"HATA: oda bu tarihlerde çakışıyor",IF(AND(F118="Bekleniyor",D118&lt;RaporTarihi),"HATA: giriş günü geçti, Geldi veya İptal yapın","OK"))))))))))))</f>
        <v/>
      </c>
      <c r="L118" s="25">
        <f>IF(AND(ISNUMBER(A118),F118&lt;&gt;"İptal",ISNUMBER(D118),ISNUMBER(E118),D118&lt;=RaporTarihi,E118&gt;RaporTarihi),A118,"")</f>
        <v/>
      </c>
    </row>
    <row r="119">
      <c r="A119" s="22" t="n"/>
      <c r="B119" s="22" t="n"/>
      <c r="C119" s="22" t="n"/>
      <c r="D119" s="23" t="n"/>
      <c r="E119" s="23" t="n"/>
      <c r="F119" s="22" t="n"/>
      <c r="G119" s="24" t="n"/>
      <c r="H119" s="22" t="n"/>
      <c r="I119" s="25">
        <f>IF(AND(ISNUMBER(D119),ISNUMBER(E119)),E119-D119,"")</f>
        <v/>
      </c>
      <c r="J119" s="26">
        <f>IF(AND(ISNUMBER(I119),ISNUMBER(G119)),IF(I119&gt;0,G119/I119,""),"")</f>
        <v/>
      </c>
      <c r="K119" s="25">
        <f>IF(COUNTA(A119:H119)=0,"",IF(OR(A119="",B119="",C119="",D119="",E119="",F119="",G119="",H119=""),"HATA: eksik bilgi",IF(COUNTIF(OdaListesi,A119)=0,"HATA: geçersiz oda no",IF(OR(NOT(ISNUMBER(D119)),NOT(ISNUMBER(E119))),"HATA: tarih geçersiz",IF(E119&lt;=D119,"HATA: çıkış girişten sonra olmalı",IF(OR(NOT(ISNUMBER(C119)),C119&lt;1,C119&gt;MaxKisi,C119&lt;&gt;INT(C119)),"HATA: kişi sayısı geçersiz",IF(OR(NOT(ISNUMBER(G119)),G119&lt;0),"HATA: tutar geçersiz",IF(B119&lt;&gt;TRIM(B119),"HATA: isimde baştaki/sondaki boşluk",IF(COUNTIF(KaynakAralik,H119)=0,"HATA: kaynak listede yok",IF(AND(F119&lt;&gt;"Bekleniyor",F119&lt;&gt;"Geldi",F119&lt;&gt;"İptal"),"HATA: giriş durumu geçersiz",IF(AND(F119&lt;&gt;"İptal",COUNTIFS($A$6:$A$1005,A119,$D$6:$D$1005,"&lt;"&amp;E119,$E$6:$E$1005,"&gt;"&amp;D119,$F$6:$F$1005,"&lt;&gt;İptal")&gt;1),"HATA: oda bu tarihlerde çakışıyor",IF(AND(F119="Bekleniyor",D119&lt;RaporTarihi),"HATA: giriş günü geçti, Geldi veya İptal yapın","OK"))))))))))))</f>
        <v/>
      </c>
      <c r="L119" s="25">
        <f>IF(AND(ISNUMBER(A119),F119&lt;&gt;"İptal",ISNUMBER(D119),ISNUMBER(E119),D119&lt;=RaporTarihi,E119&gt;RaporTarihi),A119,"")</f>
        <v/>
      </c>
    </row>
    <row r="120">
      <c r="A120" s="22" t="n"/>
      <c r="B120" s="22" t="n"/>
      <c r="C120" s="22" t="n"/>
      <c r="D120" s="23" t="n"/>
      <c r="E120" s="23" t="n"/>
      <c r="F120" s="22" t="n"/>
      <c r="G120" s="24" t="n"/>
      <c r="H120" s="22" t="n"/>
      <c r="I120" s="25">
        <f>IF(AND(ISNUMBER(D120),ISNUMBER(E120)),E120-D120,"")</f>
        <v/>
      </c>
      <c r="J120" s="26">
        <f>IF(AND(ISNUMBER(I120),ISNUMBER(G120)),IF(I120&gt;0,G120/I120,""),"")</f>
        <v/>
      </c>
      <c r="K120" s="25">
        <f>IF(COUNTA(A120:H120)=0,"",IF(OR(A120="",B120="",C120="",D120="",E120="",F120="",G120="",H120=""),"HATA: eksik bilgi",IF(COUNTIF(OdaListesi,A120)=0,"HATA: geçersiz oda no",IF(OR(NOT(ISNUMBER(D120)),NOT(ISNUMBER(E120))),"HATA: tarih geçersiz",IF(E120&lt;=D120,"HATA: çıkış girişten sonra olmalı",IF(OR(NOT(ISNUMBER(C120)),C120&lt;1,C120&gt;MaxKisi,C120&lt;&gt;INT(C120)),"HATA: kişi sayısı geçersiz",IF(OR(NOT(ISNUMBER(G120)),G120&lt;0),"HATA: tutar geçersiz",IF(B120&lt;&gt;TRIM(B120),"HATA: isimde baştaki/sondaki boşluk",IF(COUNTIF(KaynakAralik,H120)=0,"HATA: kaynak listede yok",IF(AND(F120&lt;&gt;"Bekleniyor",F120&lt;&gt;"Geldi",F120&lt;&gt;"İptal"),"HATA: giriş durumu geçersiz",IF(AND(F120&lt;&gt;"İptal",COUNTIFS($A$6:$A$1005,A120,$D$6:$D$1005,"&lt;"&amp;E120,$E$6:$E$1005,"&gt;"&amp;D120,$F$6:$F$1005,"&lt;&gt;İptal")&gt;1),"HATA: oda bu tarihlerde çakışıyor",IF(AND(F120="Bekleniyor",D120&lt;RaporTarihi),"HATA: giriş günü geçti, Geldi veya İptal yapın","OK"))))))))))))</f>
        <v/>
      </c>
      <c r="L120" s="25">
        <f>IF(AND(ISNUMBER(A120),F120&lt;&gt;"İptal",ISNUMBER(D120),ISNUMBER(E120),D120&lt;=RaporTarihi,E120&gt;RaporTarihi),A120,"")</f>
        <v/>
      </c>
    </row>
    <row r="121">
      <c r="A121" s="22" t="n"/>
      <c r="B121" s="22" t="n"/>
      <c r="C121" s="22" t="n"/>
      <c r="D121" s="23" t="n"/>
      <c r="E121" s="23" t="n"/>
      <c r="F121" s="22" t="n"/>
      <c r="G121" s="24" t="n"/>
      <c r="H121" s="22" t="n"/>
      <c r="I121" s="25">
        <f>IF(AND(ISNUMBER(D121),ISNUMBER(E121)),E121-D121,"")</f>
        <v/>
      </c>
      <c r="J121" s="26">
        <f>IF(AND(ISNUMBER(I121),ISNUMBER(G121)),IF(I121&gt;0,G121/I121,""),"")</f>
        <v/>
      </c>
      <c r="K121" s="25">
        <f>IF(COUNTA(A121:H121)=0,"",IF(OR(A121="",B121="",C121="",D121="",E121="",F121="",G121="",H121=""),"HATA: eksik bilgi",IF(COUNTIF(OdaListesi,A121)=0,"HATA: geçersiz oda no",IF(OR(NOT(ISNUMBER(D121)),NOT(ISNUMBER(E121))),"HATA: tarih geçersiz",IF(E121&lt;=D121,"HATA: çıkış girişten sonra olmalı",IF(OR(NOT(ISNUMBER(C121)),C121&lt;1,C121&gt;MaxKisi,C121&lt;&gt;INT(C121)),"HATA: kişi sayısı geçersiz",IF(OR(NOT(ISNUMBER(G121)),G121&lt;0),"HATA: tutar geçersiz",IF(B121&lt;&gt;TRIM(B121),"HATA: isimde baştaki/sondaki boşluk",IF(COUNTIF(KaynakAralik,H121)=0,"HATA: kaynak listede yok",IF(AND(F121&lt;&gt;"Bekleniyor",F121&lt;&gt;"Geldi",F121&lt;&gt;"İptal"),"HATA: giriş durumu geçersiz",IF(AND(F121&lt;&gt;"İptal",COUNTIFS($A$6:$A$1005,A121,$D$6:$D$1005,"&lt;"&amp;E121,$E$6:$E$1005,"&gt;"&amp;D121,$F$6:$F$1005,"&lt;&gt;İptal")&gt;1),"HATA: oda bu tarihlerde çakışıyor",IF(AND(F121="Bekleniyor",D121&lt;RaporTarihi),"HATA: giriş günü geçti, Geldi veya İptal yapın","OK"))))))))))))</f>
        <v/>
      </c>
      <c r="L121" s="25">
        <f>IF(AND(ISNUMBER(A121),F121&lt;&gt;"İptal",ISNUMBER(D121),ISNUMBER(E121),D121&lt;=RaporTarihi,E121&gt;RaporTarihi),A121,"")</f>
        <v/>
      </c>
    </row>
    <row r="122">
      <c r="A122" s="22" t="n"/>
      <c r="B122" s="22" t="n"/>
      <c r="C122" s="22" t="n"/>
      <c r="D122" s="23" t="n"/>
      <c r="E122" s="23" t="n"/>
      <c r="F122" s="22" t="n"/>
      <c r="G122" s="24" t="n"/>
      <c r="H122" s="22" t="n"/>
      <c r="I122" s="25">
        <f>IF(AND(ISNUMBER(D122),ISNUMBER(E122)),E122-D122,"")</f>
        <v/>
      </c>
      <c r="J122" s="26">
        <f>IF(AND(ISNUMBER(I122),ISNUMBER(G122)),IF(I122&gt;0,G122/I122,""),"")</f>
        <v/>
      </c>
      <c r="K122" s="25">
        <f>IF(COUNTA(A122:H122)=0,"",IF(OR(A122="",B122="",C122="",D122="",E122="",F122="",G122="",H122=""),"HATA: eksik bilgi",IF(COUNTIF(OdaListesi,A122)=0,"HATA: geçersiz oda no",IF(OR(NOT(ISNUMBER(D122)),NOT(ISNUMBER(E122))),"HATA: tarih geçersiz",IF(E122&lt;=D122,"HATA: çıkış girişten sonra olmalı",IF(OR(NOT(ISNUMBER(C122)),C122&lt;1,C122&gt;MaxKisi,C122&lt;&gt;INT(C122)),"HATA: kişi sayısı geçersiz",IF(OR(NOT(ISNUMBER(G122)),G122&lt;0),"HATA: tutar geçersiz",IF(B122&lt;&gt;TRIM(B122),"HATA: isimde baştaki/sondaki boşluk",IF(COUNTIF(KaynakAralik,H122)=0,"HATA: kaynak listede yok",IF(AND(F122&lt;&gt;"Bekleniyor",F122&lt;&gt;"Geldi",F122&lt;&gt;"İptal"),"HATA: giriş durumu geçersiz",IF(AND(F122&lt;&gt;"İptal",COUNTIFS($A$6:$A$1005,A122,$D$6:$D$1005,"&lt;"&amp;E122,$E$6:$E$1005,"&gt;"&amp;D122,$F$6:$F$1005,"&lt;&gt;İptal")&gt;1),"HATA: oda bu tarihlerde çakışıyor",IF(AND(F122="Bekleniyor",D122&lt;RaporTarihi),"HATA: giriş günü geçti, Geldi veya İptal yapın","OK"))))))))))))</f>
        <v/>
      </c>
      <c r="L122" s="25">
        <f>IF(AND(ISNUMBER(A122),F122&lt;&gt;"İptal",ISNUMBER(D122),ISNUMBER(E122),D122&lt;=RaporTarihi,E122&gt;RaporTarihi),A122,"")</f>
        <v/>
      </c>
    </row>
    <row r="123">
      <c r="A123" s="22" t="n"/>
      <c r="B123" s="22" t="n"/>
      <c r="C123" s="22" t="n"/>
      <c r="D123" s="23" t="n"/>
      <c r="E123" s="23" t="n"/>
      <c r="F123" s="22" t="n"/>
      <c r="G123" s="24" t="n"/>
      <c r="H123" s="22" t="n"/>
      <c r="I123" s="25">
        <f>IF(AND(ISNUMBER(D123),ISNUMBER(E123)),E123-D123,"")</f>
        <v/>
      </c>
      <c r="J123" s="26">
        <f>IF(AND(ISNUMBER(I123),ISNUMBER(G123)),IF(I123&gt;0,G123/I123,""),"")</f>
        <v/>
      </c>
      <c r="K123" s="25">
        <f>IF(COUNTA(A123:H123)=0,"",IF(OR(A123="",B123="",C123="",D123="",E123="",F123="",G123="",H123=""),"HATA: eksik bilgi",IF(COUNTIF(OdaListesi,A123)=0,"HATA: geçersiz oda no",IF(OR(NOT(ISNUMBER(D123)),NOT(ISNUMBER(E123))),"HATA: tarih geçersiz",IF(E123&lt;=D123,"HATA: çıkış girişten sonra olmalı",IF(OR(NOT(ISNUMBER(C123)),C123&lt;1,C123&gt;MaxKisi,C123&lt;&gt;INT(C123)),"HATA: kişi sayısı geçersiz",IF(OR(NOT(ISNUMBER(G123)),G123&lt;0),"HATA: tutar geçersiz",IF(B123&lt;&gt;TRIM(B123),"HATA: isimde baştaki/sondaki boşluk",IF(COUNTIF(KaynakAralik,H123)=0,"HATA: kaynak listede yok",IF(AND(F123&lt;&gt;"Bekleniyor",F123&lt;&gt;"Geldi",F123&lt;&gt;"İptal"),"HATA: giriş durumu geçersiz",IF(AND(F123&lt;&gt;"İptal",COUNTIFS($A$6:$A$1005,A123,$D$6:$D$1005,"&lt;"&amp;E123,$E$6:$E$1005,"&gt;"&amp;D123,$F$6:$F$1005,"&lt;&gt;İptal")&gt;1),"HATA: oda bu tarihlerde çakışıyor",IF(AND(F123="Bekleniyor",D123&lt;RaporTarihi),"HATA: giriş günü geçti, Geldi veya İptal yapın","OK"))))))))))))</f>
        <v/>
      </c>
      <c r="L123" s="25">
        <f>IF(AND(ISNUMBER(A123),F123&lt;&gt;"İptal",ISNUMBER(D123),ISNUMBER(E123),D123&lt;=RaporTarihi,E123&gt;RaporTarihi),A123,"")</f>
        <v/>
      </c>
    </row>
    <row r="124">
      <c r="A124" s="22" t="n"/>
      <c r="B124" s="22" t="n"/>
      <c r="C124" s="22" t="n"/>
      <c r="D124" s="23" t="n"/>
      <c r="E124" s="23" t="n"/>
      <c r="F124" s="22" t="n"/>
      <c r="G124" s="24" t="n"/>
      <c r="H124" s="22" t="n"/>
      <c r="I124" s="25">
        <f>IF(AND(ISNUMBER(D124),ISNUMBER(E124)),E124-D124,"")</f>
        <v/>
      </c>
      <c r="J124" s="26">
        <f>IF(AND(ISNUMBER(I124),ISNUMBER(G124)),IF(I124&gt;0,G124/I124,""),"")</f>
        <v/>
      </c>
      <c r="K124" s="25">
        <f>IF(COUNTA(A124:H124)=0,"",IF(OR(A124="",B124="",C124="",D124="",E124="",F124="",G124="",H124=""),"HATA: eksik bilgi",IF(COUNTIF(OdaListesi,A124)=0,"HATA: geçersiz oda no",IF(OR(NOT(ISNUMBER(D124)),NOT(ISNUMBER(E124))),"HATA: tarih geçersiz",IF(E124&lt;=D124,"HATA: çıkış girişten sonra olmalı",IF(OR(NOT(ISNUMBER(C124)),C124&lt;1,C124&gt;MaxKisi,C124&lt;&gt;INT(C124)),"HATA: kişi sayısı geçersiz",IF(OR(NOT(ISNUMBER(G124)),G124&lt;0),"HATA: tutar geçersiz",IF(B124&lt;&gt;TRIM(B124),"HATA: isimde baştaki/sondaki boşluk",IF(COUNTIF(KaynakAralik,H124)=0,"HATA: kaynak listede yok",IF(AND(F124&lt;&gt;"Bekleniyor",F124&lt;&gt;"Geldi",F124&lt;&gt;"İptal"),"HATA: giriş durumu geçersiz",IF(AND(F124&lt;&gt;"İptal",COUNTIFS($A$6:$A$1005,A124,$D$6:$D$1005,"&lt;"&amp;E124,$E$6:$E$1005,"&gt;"&amp;D124,$F$6:$F$1005,"&lt;&gt;İptal")&gt;1),"HATA: oda bu tarihlerde çakışıyor",IF(AND(F124="Bekleniyor",D124&lt;RaporTarihi),"HATA: giriş günü geçti, Geldi veya İptal yapın","OK"))))))))))))</f>
        <v/>
      </c>
      <c r="L124" s="25">
        <f>IF(AND(ISNUMBER(A124),F124&lt;&gt;"İptal",ISNUMBER(D124),ISNUMBER(E124),D124&lt;=RaporTarihi,E124&gt;RaporTarihi),A124,"")</f>
        <v/>
      </c>
    </row>
    <row r="125">
      <c r="A125" s="22" t="n"/>
      <c r="B125" s="22" t="n"/>
      <c r="C125" s="22" t="n"/>
      <c r="D125" s="23" t="n"/>
      <c r="E125" s="23" t="n"/>
      <c r="F125" s="22" t="n"/>
      <c r="G125" s="24" t="n"/>
      <c r="H125" s="22" t="n"/>
      <c r="I125" s="25">
        <f>IF(AND(ISNUMBER(D125),ISNUMBER(E125)),E125-D125,"")</f>
        <v/>
      </c>
      <c r="J125" s="26">
        <f>IF(AND(ISNUMBER(I125),ISNUMBER(G125)),IF(I125&gt;0,G125/I125,""),"")</f>
        <v/>
      </c>
      <c r="K125" s="25">
        <f>IF(COUNTA(A125:H125)=0,"",IF(OR(A125="",B125="",C125="",D125="",E125="",F125="",G125="",H125=""),"HATA: eksik bilgi",IF(COUNTIF(OdaListesi,A125)=0,"HATA: geçersiz oda no",IF(OR(NOT(ISNUMBER(D125)),NOT(ISNUMBER(E125))),"HATA: tarih geçersiz",IF(E125&lt;=D125,"HATA: çıkış girişten sonra olmalı",IF(OR(NOT(ISNUMBER(C125)),C125&lt;1,C125&gt;MaxKisi,C125&lt;&gt;INT(C125)),"HATA: kişi sayısı geçersiz",IF(OR(NOT(ISNUMBER(G125)),G125&lt;0),"HATA: tutar geçersiz",IF(B125&lt;&gt;TRIM(B125),"HATA: isimde baştaki/sondaki boşluk",IF(COUNTIF(KaynakAralik,H125)=0,"HATA: kaynak listede yok",IF(AND(F125&lt;&gt;"Bekleniyor",F125&lt;&gt;"Geldi",F125&lt;&gt;"İptal"),"HATA: giriş durumu geçersiz",IF(AND(F125&lt;&gt;"İptal",COUNTIFS($A$6:$A$1005,A125,$D$6:$D$1005,"&lt;"&amp;E125,$E$6:$E$1005,"&gt;"&amp;D125,$F$6:$F$1005,"&lt;&gt;İptal")&gt;1),"HATA: oda bu tarihlerde çakışıyor",IF(AND(F125="Bekleniyor",D125&lt;RaporTarihi),"HATA: giriş günü geçti, Geldi veya İptal yapın","OK"))))))))))))</f>
        <v/>
      </c>
      <c r="L125" s="25">
        <f>IF(AND(ISNUMBER(A125),F125&lt;&gt;"İptal",ISNUMBER(D125),ISNUMBER(E125),D125&lt;=RaporTarihi,E125&gt;RaporTarihi),A125,"")</f>
        <v/>
      </c>
    </row>
    <row r="126">
      <c r="A126" s="22" t="n"/>
      <c r="B126" s="22" t="n"/>
      <c r="C126" s="22" t="n"/>
      <c r="D126" s="23" t="n"/>
      <c r="E126" s="23" t="n"/>
      <c r="F126" s="22" t="n"/>
      <c r="G126" s="24" t="n"/>
      <c r="H126" s="22" t="n"/>
      <c r="I126" s="25">
        <f>IF(AND(ISNUMBER(D126),ISNUMBER(E126)),E126-D126,"")</f>
        <v/>
      </c>
      <c r="J126" s="26">
        <f>IF(AND(ISNUMBER(I126),ISNUMBER(G126)),IF(I126&gt;0,G126/I126,""),"")</f>
        <v/>
      </c>
      <c r="K126" s="25">
        <f>IF(COUNTA(A126:H126)=0,"",IF(OR(A126="",B126="",C126="",D126="",E126="",F126="",G126="",H126=""),"HATA: eksik bilgi",IF(COUNTIF(OdaListesi,A126)=0,"HATA: geçersiz oda no",IF(OR(NOT(ISNUMBER(D126)),NOT(ISNUMBER(E126))),"HATA: tarih geçersiz",IF(E126&lt;=D126,"HATA: çıkış girişten sonra olmalı",IF(OR(NOT(ISNUMBER(C126)),C126&lt;1,C126&gt;MaxKisi,C126&lt;&gt;INT(C126)),"HATA: kişi sayısı geçersiz",IF(OR(NOT(ISNUMBER(G126)),G126&lt;0),"HATA: tutar geçersiz",IF(B126&lt;&gt;TRIM(B126),"HATA: isimde baştaki/sondaki boşluk",IF(COUNTIF(KaynakAralik,H126)=0,"HATA: kaynak listede yok",IF(AND(F126&lt;&gt;"Bekleniyor",F126&lt;&gt;"Geldi",F126&lt;&gt;"İptal"),"HATA: giriş durumu geçersiz",IF(AND(F126&lt;&gt;"İptal",COUNTIFS($A$6:$A$1005,A126,$D$6:$D$1005,"&lt;"&amp;E126,$E$6:$E$1005,"&gt;"&amp;D126,$F$6:$F$1005,"&lt;&gt;İptal")&gt;1),"HATA: oda bu tarihlerde çakışıyor",IF(AND(F126="Bekleniyor",D126&lt;RaporTarihi),"HATA: giriş günü geçti, Geldi veya İptal yapın","OK"))))))))))))</f>
        <v/>
      </c>
      <c r="L126" s="25">
        <f>IF(AND(ISNUMBER(A126),F126&lt;&gt;"İptal",ISNUMBER(D126),ISNUMBER(E126),D126&lt;=RaporTarihi,E126&gt;RaporTarihi),A126,"")</f>
        <v/>
      </c>
    </row>
    <row r="127">
      <c r="A127" s="22" t="n"/>
      <c r="B127" s="22" t="n"/>
      <c r="C127" s="22" t="n"/>
      <c r="D127" s="23" t="n"/>
      <c r="E127" s="23" t="n"/>
      <c r="F127" s="22" t="n"/>
      <c r="G127" s="24" t="n"/>
      <c r="H127" s="22" t="n"/>
      <c r="I127" s="25">
        <f>IF(AND(ISNUMBER(D127),ISNUMBER(E127)),E127-D127,"")</f>
        <v/>
      </c>
      <c r="J127" s="26">
        <f>IF(AND(ISNUMBER(I127),ISNUMBER(G127)),IF(I127&gt;0,G127/I127,""),"")</f>
        <v/>
      </c>
      <c r="K127" s="25">
        <f>IF(COUNTA(A127:H127)=0,"",IF(OR(A127="",B127="",C127="",D127="",E127="",F127="",G127="",H127=""),"HATA: eksik bilgi",IF(COUNTIF(OdaListesi,A127)=0,"HATA: geçersiz oda no",IF(OR(NOT(ISNUMBER(D127)),NOT(ISNUMBER(E127))),"HATA: tarih geçersiz",IF(E127&lt;=D127,"HATA: çıkış girişten sonra olmalı",IF(OR(NOT(ISNUMBER(C127)),C127&lt;1,C127&gt;MaxKisi,C127&lt;&gt;INT(C127)),"HATA: kişi sayısı geçersiz",IF(OR(NOT(ISNUMBER(G127)),G127&lt;0),"HATA: tutar geçersiz",IF(B127&lt;&gt;TRIM(B127),"HATA: isimde baştaki/sondaki boşluk",IF(COUNTIF(KaynakAralik,H127)=0,"HATA: kaynak listede yok",IF(AND(F127&lt;&gt;"Bekleniyor",F127&lt;&gt;"Geldi",F127&lt;&gt;"İptal"),"HATA: giriş durumu geçersiz",IF(AND(F127&lt;&gt;"İptal",COUNTIFS($A$6:$A$1005,A127,$D$6:$D$1005,"&lt;"&amp;E127,$E$6:$E$1005,"&gt;"&amp;D127,$F$6:$F$1005,"&lt;&gt;İptal")&gt;1),"HATA: oda bu tarihlerde çakışıyor",IF(AND(F127="Bekleniyor",D127&lt;RaporTarihi),"HATA: giriş günü geçti, Geldi veya İptal yapın","OK"))))))))))))</f>
        <v/>
      </c>
      <c r="L127" s="25">
        <f>IF(AND(ISNUMBER(A127),F127&lt;&gt;"İptal",ISNUMBER(D127),ISNUMBER(E127),D127&lt;=RaporTarihi,E127&gt;RaporTarihi),A127,"")</f>
        <v/>
      </c>
    </row>
    <row r="128">
      <c r="A128" s="22" t="n"/>
      <c r="B128" s="22" t="n"/>
      <c r="C128" s="22" t="n"/>
      <c r="D128" s="23" t="n"/>
      <c r="E128" s="23" t="n"/>
      <c r="F128" s="22" t="n"/>
      <c r="G128" s="24" t="n"/>
      <c r="H128" s="22" t="n"/>
      <c r="I128" s="25">
        <f>IF(AND(ISNUMBER(D128),ISNUMBER(E128)),E128-D128,"")</f>
        <v/>
      </c>
      <c r="J128" s="26">
        <f>IF(AND(ISNUMBER(I128),ISNUMBER(G128)),IF(I128&gt;0,G128/I128,""),"")</f>
        <v/>
      </c>
      <c r="K128" s="25">
        <f>IF(COUNTA(A128:H128)=0,"",IF(OR(A128="",B128="",C128="",D128="",E128="",F128="",G128="",H128=""),"HATA: eksik bilgi",IF(COUNTIF(OdaListesi,A128)=0,"HATA: geçersiz oda no",IF(OR(NOT(ISNUMBER(D128)),NOT(ISNUMBER(E128))),"HATA: tarih geçersiz",IF(E128&lt;=D128,"HATA: çıkış girişten sonra olmalı",IF(OR(NOT(ISNUMBER(C128)),C128&lt;1,C128&gt;MaxKisi,C128&lt;&gt;INT(C128)),"HATA: kişi sayısı geçersiz",IF(OR(NOT(ISNUMBER(G128)),G128&lt;0),"HATA: tutar geçersiz",IF(B128&lt;&gt;TRIM(B128),"HATA: isimde baştaki/sondaki boşluk",IF(COUNTIF(KaynakAralik,H128)=0,"HATA: kaynak listede yok",IF(AND(F128&lt;&gt;"Bekleniyor",F128&lt;&gt;"Geldi",F128&lt;&gt;"İptal"),"HATA: giriş durumu geçersiz",IF(AND(F128&lt;&gt;"İptal",COUNTIFS($A$6:$A$1005,A128,$D$6:$D$1005,"&lt;"&amp;E128,$E$6:$E$1005,"&gt;"&amp;D128,$F$6:$F$1005,"&lt;&gt;İptal")&gt;1),"HATA: oda bu tarihlerde çakışıyor",IF(AND(F128="Bekleniyor",D128&lt;RaporTarihi),"HATA: giriş günü geçti, Geldi veya İptal yapın","OK"))))))))))))</f>
        <v/>
      </c>
      <c r="L128" s="25">
        <f>IF(AND(ISNUMBER(A128),F128&lt;&gt;"İptal",ISNUMBER(D128),ISNUMBER(E128),D128&lt;=RaporTarihi,E128&gt;RaporTarihi),A128,"")</f>
        <v/>
      </c>
    </row>
    <row r="129">
      <c r="A129" s="22" t="n"/>
      <c r="B129" s="22" t="n"/>
      <c r="C129" s="22" t="n"/>
      <c r="D129" s="23" t="n"/>
      <c r="E129" s="23" t="n"/>
      <c r="F129" s="22" t="n"/>
      <c r="G129" s="24" t="n"/>
      <c r="H129" s="22" t="n"/>
      <c r="I129" s="25">
        <f>IF(AND(ISNUMBER(D129),ISNUMBER(E129)),E129-D129,"")</f>
        <v/>
      </c>
      <c r="J129" s="26">
        <f>IF(AND(ISNUMBER(I129),ISNUMBER(G129)),IF(I129&gt;0,G129/I129,""),"")</f>
        <v/>
      </c>
      <c r="K129" s="25">
        <f>IF(COUNTA(A129:H129)=0,"",IF(OR(A129="",B129="",C129="",D129="",E129="",F129="",G129="",H129=""),"HATA: eksik bilgi",IF(COUNTIF(OdaListesi,A129)=0,"HATA: geçersiz oda no",IF(OR(NOT(ISNUMBER(D129)),NOT(ISNUMBER(E129))),"HATA: tarih geçersiz",IF(E129&lt;=D129,"HATA: çıkış girişten sonra olmalı",IF(OR(NOT(ISNUMBER(C129)),C129&lt;1,C129&gt;MaxKisi,C129&lt;&gt;INT(C129)),"HATA: kişi sayısı geçersiz",IF(OR(NOT(ISNUMBER(G129)),G129&lt;0),"HATA: tutar geçersiz",IF(B129&lt;&gt;TRIM(B129),"HATA: isimde baştaki/sondaki boşluk",IF(COUNTIF(KaynakAralik,H129)=0,"HATA: kaynak listede yok",IF(AND(F129&lt;&gt;"Bekleniyor",F129&lt;&gt;"Geldi",F129&lt;&gt;"İptal"),"HATA: giriş durumu geçersiz",IF(AND(F129&lt;&gt;"İptal",COUNTIFS($A$6:$A$1005,A129,$D$6:$D$1005,"&lt;"&amp;E129,$E$6:$E$1005,"&gt;"&amp;D129,$F$6:$F$1005,"&lt;&gt;İptal")&gt;1),"HATA: oda bu tarihlerde çakışıyor",IF(AND(F129="Bekleniyor",D129&lt;RaporTarihi),"HATA: giriş günü geçti, Geldi veya İptal yapın","OK"))))))))))))</f>
        <v/>
      </c>
      <c r="L129" s="25">
        <f>IF(AND(ISNUMBER(A129),F129&lt;&gt;"İptal",ISNUMBER(D129),ISNUMBER(E129),D129&lt;=RaporTarihi,E129&gt;RaporTarihi),A129,"")</f>
        <v/>
      </c>
    </row>
    <row r="130">
      <c r="A130" s="22" t="n"/>
      <c r="B130" s="22" t="n"/>
      <c r="C130" s="22" t="n"/>
      <c r="D130" s="23" t="n"/>
      <c r="E130" s="23" t="n"/>
      <c r="F130" s="22" t="n"/>
      <c r="G130" s="24" t="n"/>
      <c r="H130" s="22" t="n"/>
      <c r="I130" s="25">
        <f>IF(AND(ISNUMBER(D130),ISNUMBER(E130)),E130-D130,"")</f>
        <v/>
      </c>
      <c r="J130" s="26">
        <f>IF(AND(ISNUMBER(I130),ISNUMBER(G130)),IF(I130&gt;0,G130/I130,""),"")</f>
        <v/>
      </c>
      <c r="K130" s="25">
        <f>IF(COUNTA(A130:H130)=0,"",IF(OR(A130="",B130="",C130="",D130="",E130="",F130="",G130="",H130=""),"HATA: eksik bilgi",IF(COUNTIF(OdaListesi,A130)=0,"HATA: geçersiz oda no",IF(OR(NOT(ISNUMBER(D130)),NOT(ISNUMBER(E130))),"HATA: tarih geçersiz",IF(E130&lt;=D130,"HATA: çıkış girişten sonra olmalı",IF(OR(NOT(ISNUMBER(C130)),C130&lt;1,C130&gt;MaxKisi,C130&lt;&gt;INT(C130)),"HATA: kişi sayısı geçersiz",IF(OR(NOT(ISNUMBER(G130)),G130&lt;0),"HATA: tutar geçersiz",IF(B130&lt;&gt;TRIM(B130),"HATA: isimde baştaki/sondaki boşluk",IF(COUNTIF(KaynakAralik,H130)=0,"HATA: kaynak listede yok",IF(AND(F130&lt;&gt;"Bekleniyor",F130&lt;&gt;"Geldi",F130&lt;&gt;"İptal"),"HATA: giriş durumu geçersiz",IF(AND(F130&lt;&gt;"İptal",COUNTIFS($A$6:$A$1005,A130,$D$6:$D$1005,"&lt;"&amp;E130,$E$6:$E$1005,"&gt;"&amp;D130,$F$6:$F$1005,"&lt;&gt;İptal")&gt;1),"HATA: oda bu tarihlerde çakışıyor",IF(AND(F130="Bekleniyor",D130&lt;RaporTarihi),"HATA: giriş günü geçti, Geldi veya İptal yapın","OK"))))))))))))</f>
        <v/>
      </c>
      <c r="L130" s="25">
        <f>IF(AND(ISNUMBER(A130),F130&lt;&gt;"İptal",ISNUMBER(D130),ISNUMBER(E130),D130&lt;=RaporTarihi,E130&gt;RaporTarihi),A130,"")</f>
        <v/>
      </c>
    </row>
    <row r="131">
      <c r="A131" s="22" t="n"/>
      <c r="B131" s="22" t="n"/>
      <c r="C131" s="22" t="n"/>
      <c r="D131" s="23" t="n"/>
      <c r="E131" s="23" t="n"/>
      <c r="F131" s="22" t="n"/>
      <c r="G131" s="24" t="n"/>
      <c r="H131" s="22" t="n"/>
      <c r="I131" s="25">
        <f>IF(AND(ISNUMBER(D131),ISNUMBER(E131)),E131-D131,"")</f>
        <v/>
      </c>
      <c r="J131" s="26">
        <f>IF(AND(ISNUMBER(I131),ISNUMBER(G131)),IF(I131&gt;0,G131/I131,""),"")</f>
        <v/>
      </c>
      <c r="K131" s="25">
        <f>IF(COUNTA(A131:H131)=0,"",IF(OR(A131="",B131="",C131="",D131="",E131="",F131="",G131="",H131=""),"HATA: eksik bilgi",IF(COUNTIF(OdaListesi,A131)=0,"HATA: geçersiz oda no",IF(OR(NOT(ISNUMBER(D131)),NOT(ISNUMBER(E131))),"HATA: tarih geçersiz",IF(E131&lt;=D131,"HATA: çıkış girişten sonra olmalı",IF(OR(NOT(ISNUMBER(C131)),C131&lt;1,C131&gt;MaxKisi,C131&lt;&gt;INT(C131)),"HATA: kişi sayısı geçersiz",IF(OR(NOT(ISNUMBER(G131)),G131&lt;0),"HATA: tutar geçersiz",IF(B131&lt;&gt;TRIM(B131),"HATA: isimde baştaki/sondaki boşluk",IF(COUNTIF(KaynakAralik,H131)=0,"HATA: kaynak listede yok",IF(AND(F131&lt;&gt;"Bekleniyor",F131&lt;&gt;"Geldi",F131&lt;&gt;"İptal"),"HATA: giriş durumu geçersiz",IF(AND(F131&lt;&gt;"İptal",COUNTIFS($A$6:$A$1005,A131,$D$6:$D$1005,"&lt;"&amp;E131,$E$6:$E$1005,"&gt;"&amp;D131,$F$6:$F$1005,"&lt;&gt;İptal")&gt;1),"HATA: oda bu tarihlerde çakışıyor",IF(AND(F131="Bekleniyor",D131&lt;RaporTarihi),"HATA: giriş günü geçti, Geldi veya İptal yapın","OK"))))))))))))</f>
        <v/>
      </c>
      <c r="L131" s="25">
        <f>IF(AND(ISNUMBER(A131),F131&lt;&gt;"İptal",ISNUMBER(D131),ISNUMBER(E131),D131&lt;=RaporTarihi,E131&gt;RaporTarihi),A131,"")</f>
        <v/>
      </c>
    </row>
    <row r="132">
      <c r="A132" s="22" t="n"/>
      <c r="B132" s="22" t="n"/>
      <c r="C132" s="22" t="n"/>
      <c r="D132" s="23" t="n"/>
      <c r="E132" s="23" t="n"/>
      <c r="F132" s="22" t="n"/>
      <c r="G132" s="24" t="n"/>
      <c r="H132" s="22" t="n"/>
      <c r="I132" s="25">
        <f>IF(AND(ISNUMBER(D132),ISNUMBER(E132)),E132-D132,"")</f>
        <v/>
      </c>
      <c r="J132" s="26">
        <f>IF(AND(ISNUMBER(I132),ISNUMBER(G132)),IF(I132&gt;0,G132/I132,""),"")</f>
        <v/>
      </c>
      <c r="K132" s="25">
        <f>IF(COUNTA(A132:H132)=0,"",IF(OR(A132="",B132="",C132="",D132="",E132="",F132="",G132="",H132=""),"HATA: eksik bilgi",IF(COUNTIF(OdaListesi,A132)=0,"HATA: geçersiz oda no",IF(OR(NOT(ISNUMBER(D132)),NOT(ISNUMBER(E132))),"HATA: tarih geçersiz",IF(E132&lt;=D132,"HATA: çıkış girişten sonra olmalı",IF(OR(NOT(ISNUMBER(C132)),C132&lt;1,C132&gt;MaxKisi,C132&lt;&gt;INT(C132)),"HATA: kişi sayısı geçersiz",IF(OR(NOT(ISNUMBER(G132)),G132&lt;0),"HATA: tutar geçersiz",IF(B132&lt;&gt;TRIM(B132),"HATA: isimde baştaki/sondaki boşluk",IF(COUNTIF(KaynakAralik,H132)=0,"HATA: kaynak listede yok",IF(AND(F132&lt;&gt;"Bekleniyor",F132&lt;&gt;"Geldi",F132&lt;&gt;"İptal"),"HATA: giriş durumu geçersiz",IF(AND(F132&lt;&gt;"İptal",COUNTIFS($A$6:$A$1005,A132,$D$6:$D$1005,"&lt;"&amp;E132,$E$6:$E$1005,"&gt;"&amp;D132,$F$6:$F$1005,"&lt;&gt;İptal")&gt;1),"HATA: oda bu tarihlerde çakışıyor",IF(AND(F132="Bekleniyor",D132&lt;RaporTarihi),"HATA: giriş günü geçti, Geldi veya İptal yapın","OK"))))))))))))</f>
        <v/>
      </c>
      <c r="L132" s="25">
        <f>IF(AND(ISNUMBER(A132),F132&lt;&gt;"İptal",ISNUMBER(D132),ISNUMBER(E132),D132&lt;=RaporTarihi,E132&gt;RaporTarihi),A132,"")</f>
        <v/>
      </c>
    </row>
    <row r="133">
      <c r="A133" s="22" t="n"/>
      <c r="B133" s="22" t="n"/>
      <c r="C133" s="22" t="n"/>
      <c r="D133" s="23" t="n"/>
      <c r="E133" s="23" t="n"/>
      <c r="F133" s="22" t="n"/>
      <c r="G133" s="24" t="n"/>
      <c r="H133" s="22" t="n"/>
      <c r="I133" s="25">
        <f>IF(AND(ISNUMBER(D133),ISNUMBER(E133)),E133-D133,"")</f>
        <v/>
      </c>
      <c r="J133" s="26">
        <f>IF(AND(ISNUMBER(I133),ISNUMBER(G133)),IF(I133&gt;0,G133/I133,""),"")</f>
        <v/>
      </c>
      <c r="K133" s="25">
        <f>IF(COUNTA(A133:H133)=0,"",IF(OR(A133="",B133="",C133="",D133="",E133="",F133="",G133="",H133=""),"HATA: eksik bilgi",IF(COUNTIF(OdaListesi,A133)=0,"HATA: geçersiz oda no",IF(OR(NOT(ISNUMBER(D133)),NOT(ISNUMBER(E133))),"HATA: tarih geçersiz",IF(E133&lt;=D133,"HATA: çıkış girişten sonra olmalı",IF(OR(NOT(ISNUMBER(C133)),C133&lt;1,C133&gt;MaxKisi,C133&lt;&gt;INT(C133)),"HATA: kişi sayısı geçersiz",IF(OR(NOT(ISNUMBER(G133)),G133&lt;0),"HATA: tutar geçersiz",IF(B133&lt;&gt;TRIM(B133),"HATA: isimde baştaki/sondaki boşluk",IF(COUNTIF(KaynakAralik,H133)=0,"HATA: kaynak listede yok",IF(AND(F133&lt;&gt;"Bekleniyor",F133&lt;&gt;"Geldi",F133&lt;&gt;"İptal"),"HATA: giriş durumu geçersiz",IF(AND(F133&lt;&gt;"İptal",COUNTIFS($A$6:$A$1005,A133,$D$6:$D$1005,"&lt;"&amp;E133,$E$6:$E$1005,"&gt;"&amp;D133,$F$6:$F$1005,"&lt;&gt;İptal")&gt;1),"HATA: oda bu tarihlerde çakışıyor",IF(AND(F133="Bekleniyor",D133&lt;RaporTarihi),"HATA: giriş günü geçti, Geldi veya İptal yapın","OK"))))))))))))</f>
        <v/>
      </c>
      <c r="L133" s="25">
        <f>IF(AND(ISNUMBER(A133),F133&lt;&gt;"İptal",ISNUMBER(D133),ISNUMBER(E133),D133&lt;=RaporTarihi,E133&gt;RaporTarihi),A133,"")</f>
        <v/>
      </c>
    </row>
    <row r="134">
      <c r="A134" s="22" t="n"/>
      <c r="B134" s="22" t="n"/>
      <c r="C134" s="22" t="n"/>
      <c r="D134" s="23" t="n"/>
      <c r="E134" s="23" t="n"/>
      <c r="F134" s="22" t="n"/>
      <c r="G134" s="24" t="n"/>
      <c r="H134" s="22" t="n"/>
      <c r="I134" s="25">
        <f>IF(AND(ISNUMBER(D134),ISNUMBER(E134)),E134-D134,"")</f>
        <v/>
      </c>
      <c r="J134" s="26">
        <f>IF(AND(ISNUMBER(I134),ISNUMBER(G134)),IF(I134&gt;0,G134/I134,""),"")</f>
        <v/>
      </c>
      <c r="K134" s="25">
        <f>IF(COUNTA(A134:H134)=0,"",IF(OR(A134="",B134="",C134="",D134="",E134="",F134="",G134="",H134=""),"HATA: eksik bilgi",IF(COUNTIF(OdaListesi,A134)=0,"HATA: geçersiz oda no",IF(OR(NOT(ISNUMBER(D134)),NOT(ISNUMBER(E134))),"HATA: tarih geçersiz",IF(E134&lt;=D134,"HATA: çıkış girişten sonra olmalı",IF(OR(NOT(ISNUMBER(C134)),C134&lt;1,C134&gt;MaxKisi,C134&lt;&gt;INT(C134)),"HATA: kişi sayısı geçersiz",IF(OR(NOT(ISNUMBER(G134)),G134&lt;0),"HATA: tutar geçersiz",IF(B134&lt;&gt;TRIM(B134),"HATA: isimde baştaki/sondaki boşluk",IF(COUNTIF(KaynakAralik,H134)=0,"HATA: kaynak listede yok",IF(AND(F134&lt;&gt;"Bekleniyor",F134&lt;&gt;"Geldi",F134&lt;&gt;"İptal"),"HATA: giriş durumu geçersiz",IF(AND(F134&lt;&gt;"İptal",COUNTIFS($A$6:$A$1005,A134,$D$6:$D$1005,"&lt;"&amp;E134,$E$6:$E$1005,"&gt;"&amp;D134,$F$6:$F$1005,"&lt;&gt;İptal")&gt;1),"HATA: oda bu tarihlerde çakışıyor",IF(AND(F134="Bekleniyor",D134&lt;RaporTarihi),"HATA: giriş günü geçti, Geldi veya İptal yapın","OK"))))))))))))</f>
        <v/>
      </c>
      <c r="L134" s="25">
        <f>IF(AND(ISNUMBER(A134),F134&lt;&gt;"İptal",ISNUMBER(D134),ISNUMBER(E134),D134&lt;=RaporTarihi,E134&gt;RaporTarihi),A134,"")</f>
        <v/>
      </c>
    </row>
    <row r="135">
      <c r="A135" s="22" t="n"/>
      <c r="B135" s="22" t="n"/>
      <c r="C135" s="22" t="n"/>
      <c r="D135" s="23" t="n"/>
      <c r="E135" s="23" t="n"/>
      <c r="F135" s="22" t="n"/>
      <c r="G135" s="24" t="n"/>
      <c r="H135" s="22" t="n"/>
      <c r="I135" s="25">
        <f>IF(AND(ISNUMBER(D135),ISNUMBER(E135)),E135-D135,"")</f>
        <v/>
      </c>
      <c r="J135" s="26">
        <f>IF(AND(ISNUMBER(I135),ISNUMBER(G135)),IF(I135&gt;0,G135/I135,""),"")</f>
        <v/>
      </c>
      <c r="K135" s="25">
        <f>IF(COUNTA(A135:H135)=0,"",IF(OR(A135="",B135="",C135="",D135="",E135="",F135="",G135="",H135=""),"HATA: eksik bilgi",IF(COUNTIF(OdaListesi,A135)=0,"HATA: geçersiz oda no",IF(OR(NOT(ISNUMBER(D135)),NOT(ISNUMBER(E135))),"HATA: tarih geçersiz",IF(E135&lt;=D135,"HATA: çıkış girişten sonra olmalı",IF(OR(NOT(ISNUMBER(C135)),C135&lt;1,C135&gt;MaxKisi,C135&lt;&gt;INT(C135)),"HATA: kişi sayısı geçersiz",IF(OR(NOT(ISNUMBER(G135)),G135&lt;0),"HATA: tutar geçersiz",IF(B135&lt;&gt;TRIM(B135),"HATA: isimde baştaki/sondaki boşluk",IF(COUNTIF(KaynakAralik,H135)=0,"HATA: kaynak listede yok",IF(AND(F135&lt;&gt;"Bekleniyor",F135&lt;&gt;"Geldi",F135&lt;&gt;"İptal"),"HATA: giriş durumu geçersiz",IF(AND(F135&lt;&gt;"İptal",COUNTIFS($A$6:$A$1005,A135,$D$6:$D$1005,"&lt;"&amp;E135,$E$6:$E$1005,"&gt;"&amp;D135,$F$6:$F$1005,"&lt;&gt;İptal")&gt;1),"HATA: oda bu tarihlerde çakışıyor",IF(AND(F135="Bekleniyor",D135&lt;RaporTarihi),"HATA: giriş günü geçti, Geldi veya İptal yapın","OK"))))))))))))</f>
        <v/>
      </c>
      <c r="L135" s="25">
        <f>IF(AND(ISNUMBER(A135),F135&lt;&gt;"İptal",ISNUMBER(D135),ISNUMBER(E135),D135&lt;=RaporTarihi,E135&gt;RaporTarihi),A135,"")</f>
        <v/>
      </c>
    </row>
    <row r="136">
      <c r="A136" s="22" t="n"/>
      <c r="B136" s="22" t="n"/>
      <c r="C136" s="22" t="n"/>
      <c r="D136" s="23" t="n"/>
      <c r="E136" s="23" t="n"/>
      <c r="F136" s="22" t="n"/>
      <c r="G136" s="24" t="n"/>
      <c r="H136" s="22" t="n"/>
      <c r="I136" s="25">
        <f>IF(AND(ISNUMBER(D136),ISNUMBER(E136)),E136-D136,"")</f>
        <v/>
      </c>
      <c r="J136" s="26">
        <f>IF(AND(ISNUMBER(I136),ISNUMBER(G136)),IF(I136&gt;0,G136/I136,""),"")</f>
        <v/>
      </c>
      <c r="K136" s="25">
        <f>IF(COUNTA(A136:H136)=0,"",IF(OR(A136="",B136="",C136="",D136="",E136="",F136="",G136="",H136=""),"HATA: eksik bilgi",IF(COUNTIF(OdaListesi,A136)=0,"HATA: geçersiz oda no",IF(OR(NOT(ISNUMBER(D136)),NOT(ISNUMBER(E136))),"HATA: tarih geçersiz",IF(E136&lt;=D136,"HATA: çıkış girişten sonra olmalı",IF(OR(NOT(ISNUMBER(C136)),C136&lt;1,C136&gt;MaxKisi,C136&lt;&gt;INT(C136)),"HATA: kişi sayısı geçersiz",IF(OR(NOT(ISNUMBER(G136)),G136&lt;0),"HATA: tutar geçersiz",IF(B136&lt;&gt;TRIM(B136),"HATA: isimde baştaki/sondaki boşluk",IF(COUNTIF(KaynakAralik,H136)=0,"HATA: kaynak listede yok",IF(AND(F136&lt;&gt;"Bekleniyor",F136&lt;&gt;"Geldi",F136&lt;&gt;"İptal"),"HATA: giriş durumu geçersiz",IF(AND(F136&lt;&gt;"İptal",COUNTIFS($A$6:$A$1005,A136,$D$6:$D$1005,"&lt;"&amp;E136,$E$6:$E$1005,"&gt;"&amp;D136,$F$6:$F$1005,"&lt;&gt;İptal")&gt;1),"HATA: oda bu tarihlerde çakışıyor",IF(AND(F136="Bekleniyor",D136&lt;RaporTarihi),"HATA: giriş günü geçti, Geldi veya İptal yapın","OK"))))))))))))</f>
        <v/>
      </c>
      <c r="L136" s="25">
        <f>IF(AND(ISNUMBER(A136),F136&lt;&gt;"İptal",ISNUMBER(D136),ISNUMBER(E136),D136&lt;=RaporTarihi,E136&gt;RaporTarihi),A136,"")</f>
        <v/>
      </c>
    </row>
    <row r="137">
      <c r="A137" s="22" t="n"/>
      <c r="B137" s="22" t="n"/>
      <c r="C137" s="22" t="n"/>
      <c r="D137" s="23" t="n"/>
      <c r="E137" s="23" t="n"/>
      <c r="F137" s="22" t="n"/>
      <c r="G137" s="24" t="n"/>
      <c r="H137" s="22" t="n"/>
      <c r="I137" s="25">
        <f>IF(AND(ISNUMBER(D137),ISNUMBER(E137)),E137-D137,"")</f>
        <v/>
      </c>
      <c r="J137" s="26">
        <f>IF(AND(ISNUMBER(I137),ISNUMBER(G137)),IF(I137&gt;0,G137/I137,""),"")</f>
        <v/>
      </c>
      <c r="K137" s="25">
        <f>IF(COUNTA(A137:H137)=0,"",IF(OR(A137="",B137="",C137="",D137="",E137="",F137="",G137="",H137=""),"HATA: eksik bilgi",IF(COUNTIF(OdaListesi,A137)=0,"HATA: geçersiz oda no",IF(OR(NOT(ISNUMBER(D137)),NOT(ISNUMBER(E137))),"HATA: tarih geçersiz",IF(E137&lt;=D137,"HATA: çıkış girişten sonra olmalı",IF(OR(NOT(ISNUMBER(C137)),C137&lt;1,C137&gt;MaxKisi,C137&lt;&gt;INT(C137)),"HATA: kişi sayısı geçersiz",IF(OR(NOT(ISNUMBER(G137)),G137&lt;0),"HATA: tutar geçersiz",IF(B137&lt;&gt;TRIM(B137),"HATA: isimde baştaki/sondaki boşluk",IF(COUNTIF(KaynakAralik,H137)=0,"HATA: kaynak listede yok",IF(AND(F137&lt;&gt;"Bekleniyor",F137&lt;&gt;"Geldi",F137&lt;&gt;"İptal"),"HATA: giriş durumu geçersiz",IF(AND(F137&lt;&gt;"İptal",COUNTIFS($A$6:$A$1005,A137,$D$6:$D$1005,"&lt;"&amp;E137,$E$6:$E$1005,"&gt;"&amp;D137,$F$6:$F$1005,"&lt;&gt;İptal")&gt;1),"HATA: oda bu tarihlerde çakışıyor",IF(AND(F137="Bekleniyor",D137&lt;RaporTarihi),"HATA: giriş günü geçti, Geldi veya İptal yapın","OK"))))))))))))</f>
        <v/>
      </c>
      <c r="L137" s="25">
        <f>IF(AND(ISNUMBER(A137),F137&lt;&gt;"İptal",ISNUMBER(D137),ISNUMBER(E137),D137&lt;=RaporTarihi,E137&gt;RaporTarihi),A137,"")</f>
        <v/>
      </c>
    </row>
    <row r="138">
      <c r="A138" s="22" t="n"/>
      <c r="B138" s="22" t="n"/>
      <c r="C138" s="22" t="n"/>
      <c r="D138" s="23" t="n"/>
      <c r="E138" s="23" t="n"/>
      <c r="F138" s="22" t="n"/>
      <c r="G138" s="24" t="n"/>
      <c r="H138" s="22" t="n"/>
      <c r="I138" s="25">
        <f>IF(AND(ISNUMBER(D138),ISNUMBER(E138)),E138-D138,"")</f>
        <v/>
      </c>
      <c r="J138" s="26">
        <f>IF(AND(ISNUMBER(I138),ISNUMBER(G138)),IF(I138&gt;0,G138/I138,""),"")</f>
        <v/>
      </c>
      <c r="K138" s="25">
        <f>IF(COUNTA(A138:H138)=0,"",IF(OR(A138="",B138="",C138="",D138="",E138="",F138="",G138="",H138=""),"HATA: eksik bilgi",IF(COUNTIF(OdaListesi,A138)=0,"HATA: geçersiz oda no",IF(OR(NOT(ISNUMBER(D138)),NOT(ISNUMBER(E138))),"HATA: tarih geçersiz",IF(E138&lt;=D138,"HATA: çıkış girişten sonra olmalı",IF(OR(NOT(ISNUMBER(C138)),C138&lt;1,C138&gt;MaxKisi,C138&lt;&gt;INT(C138)),"HATA: kişi sayısı geçersiz",IF(OR(NOT(ISNUMBER(G138)),G138&lt;0),"HATA: tutar geçersiz",IF(B138&lt;&gt;TRIM(B138),"HATA: isimde baştaki/sondaki boşluk",IF(COUNTIF(KaynakAralik,H138)=0,"HATA: kaynak listede yok",IF(AND(F138&lt;&gt;"Bekleniyor",F138&lt;&gt;"Geldi",F138&lt;&gt;"İptal"),"HATA: giriş durumu geçersiz",IF(AND(F138&lt;&gt;"İptal",COUNTIFS($A$6:$A$1005,A138,$D$6:$D$1005,"&lt;"&amp;E138,$E$6:$E$1005,"&gt;"&amp;D138,$F$6:$F$1005,"&lt;&gt;İptal")&gt;1),"HATA: oda bu tarihlerde çakışıyor",IF(AND(F138="Bekleniyor",D138&lt;RaporTarihi),"HATA: giriş günü geçti, Geldi veya İptal yapın","OK"))))))))))))</f>
        <v/>
      </c>
      <c r="L138" s="25">
        <f>IF(AND(ISNUMBER(A138),F138&lt;&gt;"İptal",ISNUMBER(D138),ISNUMBER(E138),D138&lt;=RaporTarihi,E138&gt;RaporTarihi),A138,"")</f>
        <v/>
      </c>
    </row>
    <row r="139">
      <c r="A139" s="22" t="n"/>
      <c r="B139" s="22" t="n"/>
      <c r="C139" s="22" t="n"/>
      <c r="D139" s="23" t="n"/>
      <c r="E139" s="23" t="n"/>
      <c r="F139" s="22" t="n"/>
      <c r="G139" s="24" t="n"/>
      <c r="H139" s="22" t="n"/>
      <c r="I139" s="25">
        <f>IF(AND(ISNUMBER(D139),ISNUMBER(E139)),E139-D139,"")</f>
        <v/>
      </c>
      <c r="J139" s="26">
        <f>IF(AND(ISNUMBER(I139),ISNUMBER(G139)),IF(I139&gt;0,G139/I139,""),"")</f>
        <v/>
      </c>
      <c r="K139" s="25">
        <f>IF(COUNTA(A139:H139)=0,"",IF(OR(A139="",B139="",C139="",D139="",E139="",F139="",G139="",H139=""),"HATA: eksik bilgi",IF(COUNTIF(OdaListesi,A139)=0,"HATA: geçersiz oda no",IF(OR(NOT(ISNUMBER(D139)),NOT(ISNUMBER(E139))),"HATA: tarih geçersiz",IF(E139&lt;=D139,"HATA: çıkış girişten sonra olmalı",IF(OR(NOT(ISNUMBER(C139)),C139&lt;1,C139&gt;MaxKisi,C139&lt;&gt;INT(C139)),"HATA: kişi sayısı geçersiz",IF(OR(NOT(ISNUMBER(G139)),G139&lt;0),"HATA: tutar geçersiz",IF(B139&lt;&gt;TRIM(B139),"HATA: isimde baştaki/sondaki boşluk",IF(COUNTIF(KaynakAralik,H139)=0,"HATA: kaynak listede yok",IF(AND(F139&lt;&gt;"Bekleniyor",F139&lt;&gt;"Geldi",F139&lt;&gt;"İptal"),"HATA: giriş durumu geçersiz",IF(AND(F139&lt;&gt;"İptal",COUNTIFS($A$6:$A$1005,A139,$D$6:$D$1005,"&lt;"&amp;E139,$E$6:$E$1005,"&gt;"&amp;D139,$F$6:$F$1005,"&lt;&gt;İptal")&gt;1),"HATA: oda bu tarihlerde çakışıyor",IF(AND(F139="Bekleniyor",D139&lt;RaporTarihi),"HATA: giriş günü geçti, Geldi veya İptal yapın","OK"))))))))))))</f>
        <v/>
      </c>
      <c r="L139" s="25">
        <f>IF(AND(ISNUMBER(A139),F139&lt;&gt;"İptal",ISNUMBER(D139),ISNUMBER(E139),D139&lt;=RaporTarihi,E139&gt;RaporTarihi),A139,"")</f>
        <v/>
      </c>
    </row>
    <row r="140">
      <c r="A140" s="22" t="n"/>
      <c r="B140" s="22" t="n"/>
      <c r="C140" s="22" t="n"/>
      <c r="D140" s="23" t="n"/>
      <c r="E140" s="23" t="n"/>
      <c r="F140" s="22" t="n"/>
      <c r="G140" s="24" t="n"/>
      <c r="H140" s="22" t="n"/>
      <c r="I140" s="25">
        <f>IF(AND(ISNUMBER(D140),ISNUMBER(E140)),E140-D140,"")</f>
        <v/>
      </c>
      <c r="J140" s="26">
        <f>IF(AND(ISNUMBER(I140),ISNUMBER(G140)),IF(I140&gt;0,G140/I140,""),"")</f>
        <v/>
      </c>
      <c r="K140" s="25">
        <f>IF(COUNTA(A140:H140)=0,"",IF(OR(A140="",B140="",C140="",D140="",E140="",F140="",G140="",H140=""),"HATA: eksik bilgi",IF(COUNTIF(OdaListesi,A140)=0,"HATA: geçersiz oda no",IF(OR(NOT(ISNUMBER(D140)),NOT(ISNUMBER(E140))),"HATA: tarih geçersiz",IF(E140&lt;=D140,"HATA: çıkış girişten sonra olmalı",IF(OR(NOT(ISNUMBER(C140)),C140&lt;1,C140&gt;MaxKisi,C140&lt;&gt;INT(C140)),"HATA: kişi sayısı geçersiz",IF(OR(NOT(ISNUMBER(G140)),G140&lt;0),"HATA: tutar geçersiz",IF(B140&lt;&gt;TRIM(B140),"HATA: isimde baştaki/sondaki boşluk",IF(COUNTIF(KaynakAralik,H140)=0,"HATA: kaynak listede yok",IF(AND(F140&lt;&gt;"Bekleniyor",F140&lt;&gt;"Geldi",F140&lt;&gt;"İptal"),"HATA: giriş durumu geçersiz",IF(AND(F140&lt;&gt;"İptal",COUNTIFS($A$6:$A$1005,A140,$D$6:$D$1005,"&lt;"&amp;E140,$E$6:$E$1005,"&gt;"&amp;D140,$F$6:$F$1005,"&lt;&gt;İptal")&gt;1),"HATA: oda bu tarihlerde çakışıyor",IF(AND(F140="Bekleniyor",D140&lt;RaporTarihi),"HATA: giriş günü geçti, Geldi veya İptal yapın","OK"))))))))))))</f>
        <v/>
      </c>
      <c r="L140" s="25">
        <f>IF(AND(ISNUMBER(A140),F140&lt;&gt;"İptal",ISNUMBER(D140),ISNUMBER(E140),D140&lt;=RaporTarihi,E140&gt;RaporTarihi),A140,"")</f>
        <v/>
      </c>
    </row>
    <row r="141">
      <c r="A141" s="22" t="n"/>
      <c r="B141" s="22" t="n"/>
      <c r="C141" s="22" t="n"/>
      <c r="D141" s="23" t="n"/>
      <c r="E141" s="23" t="n"/>
      <c r="F141" s="22" t="n"/>
      <c r="G141" s="24" t="n"/>
      <c r="H141" s="22" t="n"/>
      <c r="I141" s="25">
        <f>IF(AND(ISNUMBER(D141),ISNUMBER(E141)),E141-D141,"")</f>
        <v/>
      </c>
      <c r="J141" s="26">
        <f>IF(AND(ISNUMBER(I141),ISNUMBER(G141)),IF(I141&gt;0,G141/I141,""),"")</f>
        <v/>
      </c>
      <c r="K141" s="25">
        <f>IF(COUNTA(A141:H141)=0,"",IF(OR(A141="",B141="",C141="",D141="",E141="",F141="",G141="",H141=""),"HATA: eksik bilgi",IF(COUNTIF(OdaListesi,A141)=0,"HATA: geçersiz oda no",IF(OR(NOT(ISNUMBER(D141)),NOT(ISNUMBER(E141))),"HATA: tarih geçersiz",IF(E141&lt;=D141,"HATA: çıkış girişten sonra olmalı",IF(OR(NOT(ISNUMBER(C141)),C141&lt;1,C141&gt;MaxKisi,C141&lt;&gt;INT(C141)),"HATA: kişi sayısı geçersiz",IF(OR(NOT(ISNUMBER(G141)),G141&lt;0),"HATA: tutar geçersiz",IF(B141&lt;&gt;TRIM(B141),"HATA: isimde baştaki/sondaki boşluk",IF(COUNTIF(KaynakAralik,H141)=0,"HATA: kaynak listede yok",IF(AND(F141&lt;&gt;"Bekleniyor",F141&lt;&gt;"Geldi",F141&lt;&gt;"İptal"),"HATA: giriş durumu geçersiz",IF(AND(F141&lt;&gt;"İptal",COUNTIFS($A$6:$A$1005,A141,$D$6:$D$1005,"&lt;"&amp;E141,$E$6:$E$1005,"&gt;"&amp;D141,$F$6:$F$1005,"&lt;&gt;İptal")&gt;1),"HATA: oda bu tarihlerde çakışıyor",IF(AND(F141="Bekleniyor",D141&lt;RaporTarihi),"HATA: giriş günü geçti, Geldi veya İptal yapın","OK"))))))))))))</f>
        <v/>
      </c>
      <c r="L141" s="25">
        <f>IF(AND(ISNUMBER(A141),F141&lt;&gt;"İptal",ISNUMBER(D141),ISNUMBER(E141),D141&lt;=RaporTarihi,E141&gt;RaporTarihi),A141,"")</f>
        <v/>
      </c>
    </row>
    <row r="142">
      <c r="A142" s="22" t="n"/>
      <c r="B142" s="22" t="n"/>
      <c r="C142" s="22" t="n"/>
      <c r="D142" s="23" t="n"/>
      <c r="E142" s="23" t="n"/>
      <c r="F142" s="22" t="n"/>
      <c r="G142" s="24" t="n"/>
      <c r="H142" s="22" t="n"/>
      <c r="I142" s="25">
        <f>IF(AND(ISNUMBER(D142),ISNUMBER(E142)),E142-D142,"")</f>
        <v/>
      </c>
      <c r="J142" s="26">
        <f>IF(AND(ISNUMBER(I142),ISNUMBER(G142)),IF(I142&gt;0,G142/I142,""),"")</f>
        <v/>
      </c>
      <c r="K142" s="25">
        <f>IF(COUNTA(A142:H142)=0,"",IF(OR(A142="",B142="",C142="",D142="",E142="",F142="",G142="",H142=""),"HATA: eksik bilgi",IF(COUNTIF(OdaListesi,A142)=0,"HATA: geçersiz oda no",IF(OR(NOT(ISNUMBER(D142)),NOT(ISNUMBER(E142))),"HATA: tarih geçersiz",IF(E142&lt;=D142,"HATA: çıkış girişten sonra olmalı",IF(OR(NOT(ISNUMBER(C142)),C142&lt;1,C142&gt;MaxKisi,C142&lt;&gt;INT(C142)),"HATA: kişi sayısı geçersiz",IF(OR(NOT(ISNUMBER(G142)),G142&lt;0),"HATA: tutar geçersiz",IF(B142&lt;&gt;TRIM(B142),"HATA: isimde baştaki/sondaki boşluk",IF(COUNTIF(KaynakAralik,H142)=0,"HATA: kaynak listede yok",IF(AND(F142&lt;&gt;"Bekleniyor",F142&lt;&gt;"Geldi",F142&lt;&gt;"İptal"),"HATA: giriş durumu geçersiz",IF(AND(F142&lt;&gt;"İptal",COUNTIFS($A$6:$A$1005,A142,$D$6:$D$1005,"&lt;"&amp;E142,$E$6:$E$1005,"&gt;"&amp;D142,$F$6:$F$1005,"&lt;&gt;İptal")&gt;1),"HATA: oda bu tarihlerde çakışıyor",IF(AND(F142="Bekleniyor",D142&lt;RaporTarihi),"HATA: giriş günü geçti, Geldi veya İptal yapın","OK"))))))))))))</f>
        <v/>
      </c>
      <c r="L142" s="25">
        <f>IF(AND(ISNUMBER(A142),F142&lt;&gt;"İptal",ISNUMBER(D142),ISNUMBER(E142),D142&lt;=RaporTarihi,E142&gt;RaporTarihi),A142,"")</f>
        <v/>
      </c>
    </row>
    <row r="143">
      <c r="A143" s="22" t="n"/>
      <c r="B143" s="22" t="n"/>
      <c r="C143" s="22" t="n"/>
      <c r="D143" s="23" t="n"/>
      <c r="E143" s="23" t="n"/>
      <c r="F143" s="22" t="n"/>
      <c r="G143" s="24" t="n"/>
      <c r="H143" s="22" t="n"/>
      <c r="I143" s="25">
        <f>IF(AND(ISNUMBER(D143),ISNUMBER(E143)),E143-D143,"")</f>
        <v/>
      </c>
      <c r="J143" s="26">
        <f>IF(AND(ISNUMBER(I143),ISNUMBER(G143)),IF(I143&gt;0,G143/I143,""),"")</f>
        <v/>
      </c>
      <c r="K143" s="25">
        <f>IF(COUNTA(A143:H143)=0,"",IF(OR(A143="",B143="",C143="",D143="",E143="",F143="",G143="",H143=""),"HATA: eksik bilgi",IF(COUNTIF(OdaListesi,A143)=0,"HATA: geçersiz oda no",IF(OR(NOT(ISNUMBER(D143)),NOT(ISNUMBER(E143))),"HATA: tarih geçersiz",IF(E143&lt;=D143,"HATA: çıkış girişten sonra olmalı",IF(OR(NOT(ISNUMBER(C143)),C143&lt;1,C143&gt;MaxKisi,C143&lt;&gt;INT(C143)),"HATA: kişi sayısı geçersiz",IF(OR(NOT(ISNUMBER(G143)),G143&lt;0),"HATA: tutar geçersiz",IF(B143&lt;&gt;TRIM(B143),"HATA: isimde baştaki/sondaki boşluk",IF(COUNTIF(KaynakAralik,H143)=0,"HATA: kaynak listede yok",IF(AND(F143&lt;&gt;"Bekleniyor",F143&lt;&gt;"Geldi",F143&lt;&gt;"İptal"),"HATA: giriş durumu geçersiz",IF(AND(F143&lt;&gt;"İptal",COUNTIFS($A$6:$A$1005,A143,$D$6:$D$1005,"&lt;"&amp;E143,$E$6:$E$1005,"&gt;"&amp;D143,$F$6:$F$1005,"&lt;&gt;İptal")&gt;1),"HATA: oda bu tarihlerde çakışıyor",IF(AND(F143="Bekleniyor",D143&lt;RaporTarihi),"HATA: giriş günü geçti, Geldi veya İptal yapın","OK"))))))))))))</f>
        <v/>
      </c>
      <c r="L143" s="25">
        <f>IF(AND(ISNUMBER(A143),F143&lt;&gt;"İptal",ISNUMBER(D143),ISNUMBER(E143),D143&lt;=RaporTarihi,E143&gt;RaporTarihi),A143,"")</f>
        <v/>
      </c>
    </row>
    <row r="144">
      <c r="A144" s="22" t="n"/>
      <c r="B144" s="22" t="n"/>
      <c r="C144" s="22" t="n"/>
      <c r="D144" s="23" t="n"/>
      <c r="E144" s="23" t="n"/>
      <c r="F144" s="22" t="n"/>
      <c r="G144" s="24" t="n"/>
      <c r="H144" s="22" t="n"/>
      <c r="I144" s="25">
        <f>IF(AND(ISNUMBER(D144),ISNUMBER(E144)),E144-D144,"")</f>
        <v/>
      </c>
      <c r="J144" s="26">
        <f>IF(AND(ISNUMBER(I144),ISNUMBER(G144)),IF(I144&gt;0,G144/I144,""),"")</f>
        <v/>
      </c>
      <c r="K144" s="25">
        <f>IF(COUNTA(A144:H144)=0,"",IF(OR(A144="",B144="",C144="",D144="",E144="",F144="",G144="",H144=""),"HATA: eksik bilgi",IF(COUNTIF(OdaListesi,A144)=0,"HATA: geçersiz oda no",IF(OR(NOT(ISNUMBER(D144)),NOT(ISNUMBER(E144))),"HATA: tarih geçersiz",IF(E144&lt;=D144,"HATA: çıkış girişten sonra olmalı",IF(OR(NOT(ISNUMBER(C144)),C144&lt;1,C144&gt;MaxKisi,C144&lt;&gt;INT(C144)),"HATA: kişi sayısı geçersiz",IF(OR(NOT(ISNUMBER(G144)),G144&lt;0),"HATA: tutar geçersiz",IF(B144&lt;&gt;TRIM(B144),"HATA: isimde baştaki/sondaki boşluk",IF(COUNTIF(KaynakAralik,H144)=0,"HATA: kaynak listede yok",IF(AND(F144&lt;&gt;"Bekleniyor",F144&lt;&gt;"Geldi",F144&lt;&gt;"İptal"),"HATA: giriş durumu geçersiz",IF(AND(F144&lt;&gt;"İptal",COUNTIFS($A$6:$A$1005,A144,$D$6:$D$1005,"&lt;"&amp;E144,$E$6:$E$1005,"&gt;"&amp;D144,$F$6:$F$1005,"&lt;&gt;İptal")&gt;1),"HATA: oda bu tarihlerde çakışıyor",IF(AND(F144="Bekleniyor",D144&lt;RaporTarihi),"HATA: giriş günü geçti, Geldi veya İptal yapın","OK"))))))))))))</f>
        <v/>
      </c>
      <c r="L144" s="25">
        <f>IF(AND(ISNUMBER(A144),F144&lt;&gt;"İptal",ISNUMBER(D144),ISNUMBER(E144),D144&lt;=RaporTarihi,E144&gt;RaporTarihi),A144,"")</f>
        <v/>
      </c>
    </row>
    <row r="145">
      <c r="A145" s="22" t="n"/>
      <c r="B145" s="22" t="n"/>
      <c r="C145" s="22" t="n"/>
      <c r="D145" s="23" t="n"/>
      <c r="E145" s="23" t="n"/>
      <c r="F145" s="22" t="n"/>
      <c r="G145" s="24" t="n"/>
      <c r="H145" s="22" t="n"/>
      <c r="I145" s="25">
        <f>IF(AND(ISNUMBER(D145),ISNUMBER(E145)),E145-D145,"")</f>
        <v/>
      </c>
      <c r="J145" s="26">
        <f>IF(AND(ISNUMBER(I145),ISNUMBER(G145)),IF(I145&gt;0,G145/I145,""),"")</f>
        <v/>
      </c>
      <c r="K145" s="25">
        <f>IF(COUNTA(A145:H145)=0,"",IF(OR(A145="",B145="",C145="",D145="",E145="",F145="",G145="",H145=""),"HATA: eksik bilgi",IF(COUNTIF(OdaListesi,A145)=0,"HATA: geçersiz oda no",IF(OR(NOT(ISNUMBER(D145)),NOT(ISNUMBER(E145))),"HATA: tarih geçersiz",IF(E145&lt;=D145,"HATA: çıkış girişten sonra olmalı",IF(OR(NOT(ISNUMBER(C145)),C145&lt;1,C145&gt;MaxKisi,C145&lt;&gt;INT(C145)),"HATA: kişi sayısı geçersiz",IF(OR(NOT(ISNUMBER(G145)),G145&lt;0),"HATA: tutar geçersiz",IF(B145&lt;&gt;TRIM(B145),"HATA: isimde baştaki/sondaki boşluk",IF(COUNTIF(KaynakAralik,H145)=0,"HATA: kaynak listede yok",IF(AND(F145&lt;&gt;"Bekleniyor",F145&lt;&gt;"Geldi",F145&lt;&gt;"İptal"),"HATA: giriş durumu geçersiz",IF(AND(F145&lt;&gt;"İptal",COUNTIFS($A$6:$A$1005,A145,$D$6:$D$1005,"&lt;"&amp;E145,$E$6:$E$1005,"&gt;"&amp;D145,$F$6:$F$1005,"&lt;&gt;İptal")&gt;1),"HATA: oda bu tarihlerde çakışıyor",IF(AND(F145="Bekleniyor",D145&lt;RaporTarihi),"HATA: giriş günü geçti, Geldi veya İptal yapın","OK"))))))))))))</f>
        <v/>
      </c>
      <c r="L145" s="25">
        <f>IF(AND(ISNUMBER(A145),F145&lt;&gt;"İptal",ISNUMBER(D145),ISNUMBER(E145),D145&lt;=RaporTarihi,E145&gt;RaporTarihi),A145,"")</f>
        <v/>
      </c>
    </row>
    <row r="146">
      <c r="A146" s="22" t="n"/>
      <c r="B146" s="22" t="n"/>
      <c r="C146" s="22" t="n"/>
      <c r="D146" s="23" t="n"/>
      <c r="E146" s="23" t="n"/>
      <c r="F146" s="22" t="n"/>
      <c r="G146" s="24" t="n"/>
      <c r="H146" s="22" t="n"/>
      <c r="I146" s="25">
        <f>IF(AND(ISNUMBER(D146),ISNUMBER(E146)),E146-D146,"")</f>
        <v/>
      </c>
      <c r="J146" s="26">
        <f>IF(AND(ISNUMBER(I146),ISNUMBER(G146)),IF(I146&gt;0,G146/I146,""),"")</f>
        <v/>
      </c>
      <c r="K146" s="25">
        <f>IF(COUNTA(A146:H146)=0,"",IF(OR(A146="",B146="",C146="",D146="",E146="",F146="",G146="",H146=""),"HATA: eksik bilgi",IF(COUNTIF(OdaListesi,A146)=0,"HATA: geçersiz oda no",IF(OR(NOT(ISNUMBER(D146)),NOT(ISNUMBER(E146))),"HATA: tarih geçersiz",IF(E146&lt;=D146,"HATA: çıkış girişten sonra olmalı",IF(OR(NOT(ISNUMBER(C146)),C146&lt;1,C146&gt;MaxKisi,C146&lt;&gt;INT(C146)),"HATA: kişi sayısı geçersiz",IF(OR(NOT(ISNUMBER(G146)),G146&lt;0),"HATA: tutar geçersiz",IF(B146&lt;&gt;TRIM(B146),"HATA: isimde baştaki/sondaki boşluk",IF(COUNTIF(KaynakAralik,H146)=0,"HATA: kaynak listede yok",IF(AND(F146&lt;&gt;"Bekleniyor",F146&lt;&gt;"Geldi",F146&lt;&gt;"İptal"),"HATA: giriş durumu geçersiz",IF(AND(F146&lt;&gt;"İptal",COUNTIFS($A$6:$A$1005,A146,$D$6:$D$1005,"&lt;"&amp;E146,$E$6:$E$1005,"&gt;"&amp;D146,$F$6:$F$1005,"&lt;&gt;İptal")&gt;1),"HATA: oda bu tarihlerde çakışıyor",IF(AND(F146="Bekleniyor",D146&lt;RaporTarihi),"HATA: giriş günü geçti, Geldi veya İptal yapın","OK"))))))))))))</f>
        <v/>
      </c>
      <c r="L146" s="25">
        <f>IF(AND(ISNUMBER(A146),F146&lt;&gt;"İptal",ISNUMBER(D146),ISNUMBER(E146),D146&lt;=RaporTarihi,E146&gt;RaporTarihi),A146,"")</f>
        <v/>
      </c>
    </row>
    <row r="147">
      <c r="A147" s="22" t="n"/>
      <c r="B147" s="22" t="n"/>
      <c r="C147" s="22" t="n"/>
      <c r="D147" s="23" t="n"/>
      <c r="E147" s="23" t="n"/>
      <c r="F147" s="22" t="n"/>
      <c r="G147" s="24" t="n"/>
      <c r="H147" s="22" t="n"/>
      <c r="I147" s="25">
        <f>IF(AND(ISNUMBER(D147),ISNUMBER(E147)),E147-D147,"")</f>
        <v/>
      </c>
      <c r="J147" s="26">
        <f>IF(AND(ISNUMBER(I147),ISNUMBER(G147)),IF(I147&gt;0,G147/I147,""),"")</f>
        <v/>
      </c>
      <c r="K147" s="25">
        <f>IF(COUNTA(A147:H147)=0,"",IF(OR(A147="",B147="",C147="",D147="",E147="",F147="",G147="",H147=""),"HATA: eksik bilgi",IF(COUNTIF(OdaListesi,A147)=0,"HATA: geçersiz oda no",IF(OR(NOT(ISNUMBER(D147)),NOT(ISNUMBER(E147))),"HATA: tarih geçersiz",IF(E147&lt;=D147,"HATA: çıkış girişten sonra olmalı",IF(OR(NOT(ISNUMBER(C147)),C147&lt;1,C147&gt;MaxKisi,C147&lt;&gt;INT(C147)),"HATA: kişi sayısı geçersiz",IF(OR(NOT(ISNUMBER(G147)),G147&lt;0),"HATA: tutar geçersiz",IF(B147&lt;&gt;TRIM(B147),"HATA: isimde baştaki/sondaki boşluk",IF(COUNTIF(KaynakAralik,H147)=0,"HATA: kaynak listede yok",IF(AND(F147&lt;&gt;"Bekleniyor",F147&lt;&gt;"Geldi",F147&lt;&gt;"İptal"),"HATA: giriş durumu geçersiz",IF(AND(F147&lt;&gt;"İptal",COUNTIFS($A$6:$A$1005,A147,$D$6:$D$1005,"&lt;"&amp;E147,$E$6:$E$1005,"&gt;"&amp;D147,$F$6:$F$1005,"&lt;&gt;İptal")&gt;1),"HATA: oda bu tarihlerde çakışıyor",IF(AND(F147="Bekleniyor",D147&lt;RaporTarihi),"HATA: giriş günü geçti, Geldi veya İptal yapın","OK"))))))))))))</f>
        <v/>
      </c>
      <c r="L147" s="25">
        <f>IF(AND(ISNUMBER(A147),F147&lt;&gt;"İptal",ISNUMBER(D147),ISNUMBER(E147),D147&lt;=RaporTarihi,E147&gt;RaporTarihi),A147,"")</f>
        <v/>
      </c>
    </row>
    <row r="148">
      <c r="A148" s="22" t="n"/>
      <c r="B148" s="22" t="n"/>
      <c r="C148" s="22" t="n"/>
      <c r="D148" s="23" t="n"/>
      <c r="E148" s="23" t="n"/>
      <c r="F148" s="22" t="n"/>
      <c r="G148" s="24" t="n"/>
      <c r="H148" s="22" t="n"/>
      <c r="I148" s="25">
        <f>IF(AND(ISNUMBER(D148),ISNUMBER(E148)),E148-D148,"")</f>
        <v/>
      </c>
      <c r="J148" s="26">
        <f>IF(AND(ISNUMBER(I148),ISNUMBER(G148)),IF(I148&gt;0,G148/I148,""),"")</f>
        <v/>
      </c>
      <c r="K148" s="25">
        <f>IF(COUNTA(A148:H148)=0,"",IF(OR(A148="",B148="",C148="",D148="",E148="",F148="",G148="",H148=""),"HATA: eksik bilgi",IF(COUNTIF(OdaListesi,A148)=0,"HATA: geçersiz oda no",IF(OR(NOT(ISNUMBER(D148)),NOT(ISNUMBER(E148))),"HATA: tarih geçersiz",IF(E148&lt;=D148,"HATA: çıkış girişten sonra olmalı",IF(OR(NOT(ISNUMBER(C148)),C148&lt;1,C148&gt;MaxKisi,C148&lt;&gt;INT(C148)),"HATA: kişi sayısı geçersiz",IF(OR(NOT(ISNUMBER(G148)),G148&lt;0),"HATA: tutar geçersiz",IF(B148&lt;&gt;TRIM(B148),"HATA: isimde baştaki/sondaki boşluk",IF(COUNTIF(KaynakAralik,H148)=0,"HATA: kaynak listede yok",IF(AND(F148&lt;&gt;"Bekleniyor",F148&lt;&gt;"Geldi",F148&lt;&gt;"İptal"),"HATA: giriş durumu geçersiz",IF(AND(F148&lt;&gt;"İptal",COUNTIFS($A$6:$A$1005,A148,$D$6:$D$1005,"&lt;"&amp;E148,$E$6:$E$1005,"&gt;"&amp;D148,$F$6:$F$1005,"&lt;&gt;İptal")&gt;1),"HATA: oda bu tarihlerde çakışıyor",IF(AND(F148="Bekleniyor",D148&lt;RaporTarihi),"HATA: giriş günü geçti, Geldi veya İptal yapın","OK"))))))))))))</f>
        <v/>
      </c>
      <c r="L148" s="25">
        <f>IF(AND(ISNUMBER(A148),F148&lt;&gt;"İptal",ISNUMBER(D148),ISNUMBER(E148),D148&lt;=RaporTarihi,E148&gt;RaporTarihi),A148,"")</f>
        <v/>
      </c>
    </row>
    <row r="149">
      <c r="A149" s="22" t="n"/>
      <c r="B149" s="22" t="n"/>
      <c r="C149" s="22" t="n"/>
      <c r="D149" s="23" t="n"/>
      <c r="E149" s="23" t="n"/>
      <c r="F149" s="22" t="n"/>
      <c r="G149" s="24" t="n"/>
      <c r="H149" s="22" t="n"/>
      <c r="I149" s="25">
        <f>IF(AND(ISNUMBER(D149),ISNUMBER(E149)),E149-D149,"")</f>
        <v/>
      </c>
      <c r="J149" s="26">
        <f>IF(AND(ISNUMBER(I149),ISNUMBER(G149)),IF(I149&gt;0,G149/I149,""),"")</f>
        <v/>
      </c>
      <c r="K149" s="25">
        <f>IF(COUNTA(A149:H149)=0,"",IF(OR(A149="",B149="",C149="",D149="",E149="",F149="",G149="",H149=""),"HATA: eksik bilgi",IF(COUNTIF(OdaListesi,A149)=0,"HATA: geçersiz oda no",IF(OR(NOT(ISNUMBER(D149)),NOT(ISNUMBER(E149))),"HATA: tarih geçersiz",IF(E149&lt;=D149,"HATA: çıkış girişten sonra olmalı",IF(OR(NOT(ISNUMBER(C149)),C149&lt;1,C149&gt;MaxKisi,C149&lt;&gt;INT(C149)),"HATA: kişi sayısı geçersiz",IF(OR(NOT(ISNUMBER(G149)),G149&lt;0),"HATA: tutar geçersiz",IF(B149&lt;&gt;TRIM(B149),"HATA: isimde baştaki/sondaki boşluk",IF(COUNTIF(KaynakAralik,H149)=0,"HATA: kaynak listede yok",IF(AND(F149&lt;&gt;"Bekleniyor",F149&lt;&gt;"Geldi",F149&lt;&gt;"İptal"),"HATA: giriş durumu geçersiz",IF(AND(F149&lt;&gt;"İptal",COUNTIFS($A$6:$A$1005,A149,$D$6:$D$1005,"&lt;"&amp;E149,$E$6:$E$1005,"&gt;"&amp;D149,$F$6:$F$1005,"&lt;&gt;İptal")&gt;1),"HATA: oda bu tarihlerde çakışıyor",IF(AND(F149="Bekleniyor",D149&lt;RaporTarihi),"HATA: giriş günü geçti, Geldi veya İptal yapın","OK"))))))))))))</f>
        <v/>
      </c>
      <c r="L149" s="25">
        <f>IF(AND(ISNUMBER(A149),F149&lt;&gt;"İptal",ISNUMBER(D149),ISNUMBER(E149),D149&lt;=RaporTarihi,E149&gt;RaporTarihi),A149,"")</f>
        <v/>
      </c>
    </row>
    <row r="150">
      <c r="A150" s="22" t="n"/>
      <c r="B150" s="22" t="n"/>
      <c r="C150" s="22" t="n"/>
      <c r="D150" s="23" t="n"/>
      <c r="E150" s="23" t="n"/>
      <c r="F150" s="22" t="n"/>
      <c r="G150" s="24" t="n"/>
      <c r="H150" s="22" t="n"/>
      <c r="I150" s="25">
        <f>IF(AND(ISNUMBER(D150),ISNUMBER(E150)),E150-D150,"")</f>
        <v/>
      </c>
      <c r="J150" s="26">
        <f>IF(AND(ISNUMBER(I150),ISNUMBER(G150)),IF(I150&gt;0,G150/I150,""),"")</f>
        <v/>
      </c>
      <c r="K150" s="25">
        <f>IF(COUNTA(A150:H150)=0,"",IF(OR(A150="",B150="",C150="",D150="",E150="",F150="",G150="",H150=""),"HATA: eksik bilgi",IF(COUNTIF(OdaListesi,A150)=0,"HATA: geçersiz oda no",IF(OR(NOT(ISNUMBER(D150)),NOT(ISNUMBER(E150))),"HATA: tarih geçersiz",IF(E150&lt;=D150,"HATA: çıkış girişten sonra olmalı",IF(OR(NOT(ISNUMBER(C150)),C150&lt;1,C150&gt;MaxKisi,C150&lt;&gt;INT(C150)),"HATA: kişi sayısı geçersiz",IF(OR(NOT(ISNUMBER(G150)),G150&lt;0),"HATA: tutar geçersiz",IF(B150&lt;&gt;TRIM(B150),"HATA: isimde baştaki/sondaki boşluk",IF(COUNTIF(KaynakAralik,H150)=0,"HATA: kaynak listede yok",IF(AND(F150&lt;&gt;"Bekleniyor",F150&lt;&gt;"Geldi",F150&lt;&gt;"İptal"),"HATA: giriş durumu geçersiz",IF(AND(F150&lt;&gt;"İptal",COUNTIFS($A$6:$A$1005,A150,$D$6:$D$1005,"&lt;"&amp;E150,$E$6:$E$1005,"&gt;"&amp;D150,$F$6:$F$1005,"&lt;&gt;İptal")&gt;1),"HATA: oda bu tarihlerde çakışıyor",IF(AND(F150="Bekleniyor",D150&lt;RaporTarihi),"HATA: giriş günü geçti, Geldi veya İptal yapın","OK"))))))))))))</f>
        <v/>
      </c>
      <c r="L150" s="25">
        <f>IF(AND(ISNUMBER(A150),F150&lt;&gt;"İptal",ISNUMBER(D150),ISNUMBER(E150),D150&lt;=RaporTarihi,E150&gt;RaporTarihi),A150,"")</f>
        <v/>
      </c>
    </row>
    <row r="151">
      <c r="A151" s="22" t="n"/>
      <c r="B151" s="22" t="n"/>
      <c r="C151" s="22" t="n"/>
      <c r="D151" s="23" t="n"/>
      <c r="E151" s="23" t="n"/>
      <c r="F151" s="22" t="n"/>
      <c r="G151" s="24" t="n"/>
      <c r="H151" s="22" t="n"/>
      <c r="I151" s="25">
        <f>IF(AND(ISNUMBER(D151),ISNUMBER(E151)),E151-D151,"")</f>
        <v/>
      </c>
      <c r="J151" s="26">
        <f>IF(AND(ISNUMBER(I151),ISNUMBER(G151)),IF(I151&gt;0,G151/I151,""),"")</f>
        <v/>
      </c>
      <c r="K151" s="25">
        <f>IF(COUNTA(A151:H151)=0,"",IF(OR(A151="",B151="",C151="",D151="",E151="",F151="",G151="",H151=""),"HATA: eksik bilgi",IF(COUNTIF(OdaListesi,A151)=0,"HATA: geçersiz oda no",IF(OR(NOT(ISNUMBER(D151)),NOT(ISNUMBER(E151))),"HATA: tarih geçersiz",IF(E151&lt;=D151,"HATA: çıkış girişten sonra olmalı",IF(OR(NOT(ISNUMBER(C151)),C151&lt;1,C151&gt;MaxKisi,C151&lt;&gt;INT(C151)),"HATA: kişi sayısı geçersiz",IF(OR(NOT(ISNUMBER(G151)),G151&lt;0),"HATA: tutar geçersiz",IF(B151&lt;&gt;TRIM(B151),"HATA: isimde baştaki/sondaki boşluk",IF(COUNTIF(KaynakAralik,H151)=0,"HATA: kaynak listede yok",IF(AND(F151&lt;&gt;"Bekleniyor",F151&lt;&gt;"Geldi",F151&lt;&gt;"İptal"),"HATA: giriş durumu geçersiz",IF(AND(F151&lt;&gt;"İptal",COUNTIFS($A$6:$A$1005,A151,$D$6:$D$1005,"&lt;"&amp;E151,$E$6:$E$1005,"&gt;"&amp;D151,$F$6:$F$1005,"&lt;&gt;İptal")&gt;1),"HATA: oda bu tarihlerde çakışıyor",IF(AND(F151="Bekleniyor",D151&lt;RaporTarihi),"HATA: giriş günü geçti, Geldi veya İptal yapın","OK"))))))))))))</f>
        <v/>
      </c>
      <c r="L151" s="25">
        <f>IF(AND(ISNUMBER(A151),F151&lt;&gt;"İptal",ISNUMBER(D151),ISNUMBER(E151),D151&lt;=RaporTarihi,E151&gt;RaporTarihi),A151,"")</f>
        <v/>
      </c>
    </row>
    <row r="152">
      <c r="A152" s="22" t="n"/>
      <c r="B152" s="22" t="n"/>
      <c r="C152" s="22" t="n"/>
      <c r="D152" s="23" t="n"/>
      <c r="E152" s="23" t="n"/>
      <c r="F152" s="22" t="n"/>
      <c r="G152" s="24" t="n"/>
      <c r="H152" s="22" t="n"/>
      <c r="I152" s="25">
        <f>IF(AND(ISNUMBER(D152),ISNUMBER(E152)),E152-D152,"")</f>
        <v/>
      </c>
      <c r="J152" s="26">
        <f>IF(AND(ISNUMBER(I152),ISNUMBER(G152)),IF(I152&gt;0,G152/I152,""),"")</f>
        <v/>
      </c>
      <c r="K152" s="25">
        <f>IF(COUNTA(A152:H152)=0,"",IF(OR(A152="",B152="",C152="",D152="",E152="",F152="",G152="",H152=""),"HATA: eksik bilgi",IF(COUNTIF(OdaListesi,A152)=0,"HATA: geçersiz oda no",IF(OR(NOT(ISNUMBER(D152)),NOT(ISNUMBER(E152))),"HATA: tarih geçersiz",IF(E152&lt;=D152,"HATA: çıkış girişten sonra olmalı",IF(OR(NOT(ISNUMBER(C152)),C152&lt;1,C152&gt;MaxKisi,C152&lt;&gt;INT(C152)),"HATA: kişi sayısı geçersiz",IF(OR(NOT(ISNUMBER(G152)),G152&lt;0),"HATA: tutar geçersiz",IF(B152&lt;&gt;TRIM(B152),"HATA: isimde baştaki/sondaki boşluk",IF(COUNTIF(KaynakAralik,H152)=0,"HATA: kaynak listede yok",IF(AND(F152&lt;&gt;"Bekleniyor",F152&lt;&gt;"Geldi",F152&lt;&gt;"İptal"),"HATA: giriş durumu geçersiz",IF(AND(F152&lt;&gt;"İptal",COUNTIFS($A$6:$A$1005,A152,$D$6:$D$1005,"&lt;"&amp;E152,$E$6:$E$1005,"&gt;"&amp;D152,$F$6:$F$1005,"&lt;&gt;İptal")&gt;1),"HATA: oda bu tarihlerde çakışıyor",IF(AND(F152="Bekleniyor",D152&lt;RaporTarihi),"HATA: giriş günü geçti, Geldi veya İptal yapın","OK"))))))))))))</f>
        <v/>
      </c>
      <c r="L152" s="25">
        <f>IF(AND(ISNUMBER(A152),F152&lt;&gt;"İptal",ISNUMBER(D152),ISNUMBER(E152),D152&lt;=RaporTarihi,E152&gt;RaporTarihi),A152,"")</f>
        <v/>
      </c>
    </row>
    <row r="153">
      <c r="A153" s="22" t="n"/>
      <c r="B153" s="22" t="n"/>
      <c r="C153" s="22" t="n"/>
      <c r="D153" s="23" t="n"/>
      <c r="E153" s="23" t="n"/>
      <c r="F153" s="22" t="n"/>
      <c r="G153" s="24" t="n"/>
      <c r="H153" s="22" t="n"/>
      <c r="I153" s="25">
        <f>IF(AND(ISNUMBER(D153),ISNUMBER(E153)),E153-D153,"")</f>
        <v/>
      </c>
      <c r="J153" s="26">
        <f>IF(AND(ISNUMBER(I153),ISNUMBER(G153)),IF(I153&gt;0,G153/I153,""),"")</f>
        <v/>
      </c>
      <c r="K153" s="25">
        <f>IF(COUNTA(A153:H153)=0,"",IF(OR(A153="",B153="",C153="",D153="",E153="",F153="",G153="",H153=""),"HATA: eksik bilgi",IF(COUNTIF(OdaListesi,A153)=0,"HATA: geçersiz oda no",IF(OR(NOT(ISNUMBER(D153)),NOT(ISNUMBER(E153))),"HATA: tarih geçersiz",IF(E153&lt;=D153,"HATA: çıkış girişten sonra olmalı",IF(OR(NOT(ISNUMBER(C153)),C153&lt;1,C153&gt;MaxKisi,C153&lt;&gt;INT(C153)),"HATA: kişi sayısı geçersiz",IF(OR(NOT(ISNUMBER(G153)),G153&lt;0),"HATA: tutar geçersiz",IF(B153&lt;&gt;TRIM(B153),"HATA: isimde baştaki/sondaki boşluk",IF(COUNTIF(KaynakAralik,H153)=0,"HATA: kaynak listede yok",IF(AND(F153&lt;&gt;"Bekleniyor",F153&lt;&gt;"Geldi",F153&lt;&gt;"İptal"),"HATA: giriş durumu geçersiz",IF(AND(F153&lt;&gt;"İptal",COUNTIFS($A$6:$A$1005,A153,$D$6:$D$1005,"&lt;"&amp;E153,$E$6:$E$1005,"&gt;"&amp;D153,$F$6:$F$1005,"&lt;&gt;İptal")&gt;1),"HATA: oda bu tarihlerde çakışıyor",IF(AND(F153="Bekleniyor",D153&lt;RaporTarihi),"HATA: giriş günü geçti, Geldi veya İptal yapın","OK"))))))))))))</f>
        <v/>
      </c>
      <c r="L153" s="25">
        <f>IF(AND(ISNUMBER(A153),F153&lt;&gt;"İptal",ISNUMBER(D153),ISNUMBER(E153),D153&lt;=RaporTarihi,E153&gt;RaporTarihi),A153,"")</f>
        <v/>
      </c>
    </row>
    <row r="154">
      <c r="A154" s="22" t="n"/>
      <c r="B154" s="22" t="n"/>
      <c r="C154" s="22" t="n"/>
      <c r="D154" s="23" t="n"/>
      <c r="E154" s="23" t="n"/>
      <c r="F154" s="22" t="n"/>
      <c r="G154" s="24" t="n"/>
      <c r="H154" s="22" t="n"/>
      <c r="I154" s="25">
        <f>IF(AND(ISNUMBER(D154),ISNUMBER(E154)),E154-D154,"")</f>
        <v/>
      </c>
      <c r="J154" s="26">
        <f>IF(AND(ISNUMBER(I154),ISNUMBER(G154)),IF(I154&gt;0,G154/I154,""),"")</f>
        <v/>
      </c>
      <c r="K154" s="25">
        <f>IF(COUNTA(A154:H154)=0,"",IF(OR(A154="",B154="",C154="",D154="",E154="",F154="",G154="",H154=""),"HATA: eksik bilgi",IF(COUNTIF(OdaListesi,A154)=0,"HATA: geçersiz oda no",IF(OR(NOT(ISNUMBER(D154)),NOT(ISNUMBER(E154))),"HATA: tarih geçersiz",IF(E154&lt;=D154,"HATA: çıkış girişten sonra olmalı",IF(OR(NOT(ISNUMBER(C154)),C154&lt;1,C154&gt;MaxKisi,C154&lt;&gt;INT(C154)),"HATA: kişi sayısı geçersiz",IF(OR(NOT(ISNUMBER(G154)),G154&lt;0),"HATA: tutar geçersiz",IF(B154&lt;&gt;TRIM(B154),"HATA: isimde baştaki/sondaki boşluk",IF(COUNTIF(KaynakAralik,H154)=0,"HATA: kaynak listede yok",IF(AND(F154&lt;&gt;"Bekleniyor",F154&lt;&gt;"Geldi",F154&lt;&gt;"İptal"),"HATA: giriş durumu geçersiz",IF(AND(F154&lt;&gt;"İptal",COUNTIFS($A$6:$A$1005,A154,$D$6:$D$1005,"&lt;"&amp;E154,$E$6:$E$1005,"&gt;"&amp;D154,$F$6:$F$1005,"&lt;&gt;İptal")&gt;1),"HATA: oda bu tarihlerde çakışıyor",IF(AND(F154="Bekleniyor",D154&lt;RaporTarihi),"HATA: giriş günü geçti, Geldi veya İptal yapın","OK"))))))))))))</f>
        <v/>
      </c>
      <c r="L154" s="25">
        <f>IF(AND(ISNUMBER(A154),F154&lt;&gt;"İptal",ISNUMBER(D154),ISNUMBER(E154),D154&lt;=RaporTarihi,E154&gt;RaporTarihi),A154,"")</f>
        <v/>
      </c>
    </row>
    <row r="155">
      <c r="A155" s="22" t="n"/>
      <c r="B155" s="22" t="n"/>
      <c r="C155" s="22" t="n"/>
      <c r="D155" s="23" t="n"/>
      <c r="E155" s="23" t="n"/>
      <c r="F155" s="22" t="n"/>
      <c r="G155" s="24" t="n"/>
      <c r="H155" s="22" t="n"/>
      <c r="I155" s="25">
        <f>IF(AND(ISNUMBER(D155),ISNUMBER(E155)),E155-D155,"")</f>
        <v/>
      </c>
      <c r="J155" s="26">
        <f>IF(AND(ISNUMBER(I155),ISNUMBER(G155)),IF(I155&gt;0,G155/I155,""),"")</f>
        <v/>
      </c>
      <c r="K155" s="25">
        <f>IF(COUNTA(A155:H155)=0,"",IF(OR(A155="",B155="",C155="",D155="",E155="",F155="",G155="",H155=""),"HATA: eksik bilgi",IF(COUNTIF(OdaListesi,A155)=0,"HATA: geçersiz oda no",IF(OR(NOT(ISNUMBER(D155)),NOT(ISNUMBER(E155))),"HATA: tarih geçersiz",IF(E155&lt;=D155,"HATA: çıkış girişten sonra olmalı",IF(OR(NOT(ISNUMBER(C155)),C155&lt;1,C155&gt;MaxKisi,C155&lt;&gt;INT(C155)),"HATA: kişi sayısı geçersiz",IF(OR(NOT(ISNUMBER(G155)),G155&lt;0),"HATA: tutar geçersiz",IF(B155&lt;&gt;TRIM(B155),"HATA: isimde baştaki/sondaki boşluk",IF(COUNTIF(KaynakAralik,H155)=0,"HATA: kaynak listede yok",IF(AND(F155&lt;&gt;"Bekleniyor",F155&lt;&gt;"Geldi",F155&lt;&gt;"İptal"),"HATA: giriş durumu geçersiz",IF(AND(F155&lt;&gt;"İptal",COUNTIFS($A$6:$A$1005,A155,$D$6:$D$1005,"&lt;"&amp;E155,$E$6:$E$1005,"&gt;"&amp;D155,$F$6:$F$1005,"&lt;&gt;İptal")&gt;1),"HATA: oda bu tarihlerde çakışıyor",IF(AND(F155="Bekleniyor",D155&lt;RaporTarihi),"HATA: giriş günü geçti, Geldi veya İptal yapın","OK"))))))))))))</f>
        <v/>
      </c>
      <c r="L155" s="25">
        <f>IF(AND(ISNUMBER(A155),F155&lt;&gt;"İptal",ISNUMBER(D155),ISNUMBER(E155),D155&lt;=RaporTarihi,E155&gt;RaporTarihi),A155,"")</f>
        <v/>
      </c>
    </row>
    <row r="156">
      <c r="A156" s="22" t="n"/>
      <c r="B156" s="22" t="n"/>
      <c r="C156" s="22" t="n"/>
      <c r="D156" s="23" t="n"/>
      <c r="E156" s="23" t="n"/>
      <c r="F156" s="22" t="n"/>
      <c r="G156" s="24" t="n"/>
      <c r="H156" s="22" t="n"/>
      <c r="I156" s="25">
        <f>IF(AND(ISNUMBER(D156),ISNUMBER(E156)),E156-D156,"")</f>
        <v/>
      </c>
      <c r="J156" s="26">
        <f>IF(AND(ISNUMBER(I156),ISNUMBER(G156)),IF(I156&gt;0,G156/I156,""),"")</f>
        <v/>
      </c>
      <c r="K156" s="25">
        <f>IF(COUNTA(A156:H156)=0,"",IF(OR(A156="",B156="",C156="",D156="",E156="",F156="",G156="",H156=""),"HATA: eksik bilgi",IF(COUNTIF(OdaListesi,A156)=0,"HATA: geçersiz oda no",IF(OR(NOT(ISNUMBER(D156)),NOT(ISNUMBER(E156))),"HATA: tarih geçersiz",IF(E156&lt;=D156,"HATA: çıkış girişten sonra olmalı",IF(OR(NOT(ISNUMBER(C156)),C156&lt;1,C156&gt;MaxKisi,C156&lt;&gt;INT(C156)),"HATA: kişi sayısı geçersiz",IF(OR(NOT(ISNUMBER(G156)),G156&lt;0),"HATA: tutar geçersiz",IF(B156&lt;&gt;TRIM(B156),"HATA: isimde baştaki/sondaki boşluk",IF(COUNTIF(KaynakAralik,H156)=0,"HATA: kaynak listede yok",IF(AND(F156&lt;&gt;"Bekleniyor",F156&lt;&gt;"Geldi",F156&lt;&gt;"İptal"),"HATA: giriş durumu geçersiz",IF(AND(F156&lt;&gt;"İptal",COUNTIFS($A$6:$A$1005,A156,$D$6:$D$1005,"&lt;"&amp;E156,$E$6:$E$1005,"&gt;"&amp;D156,$F$6:$F$1005,"&lt;&gt;İptal")&gt;1),"HATA: oda bu tarihlerde çakışıyor",IF(AND(F156="Bekleniyor",D156&lt;RaporTarihi),"HATA: giriş günü geçti, Geldi veya İptal yapın","OK"))))))))))))</f>
        <v/>
      </c>
      <c r="L156" s="25">
        <f>IF(AND(ISNUMBER(A156),F156&lt;&gt;"İptal",ISNUMBER(D156),ISNUMBER(E156),D156&lt;=RaporTarihi,E156&gt;RaporTarihi),A156,"")</f>
        <v/>
      </c>
    </row>
    <row r="157">
      <c r="A157" s="22" t="n"/>
      <c r="B157" s="22" t="n"/>
      <c r="C157" s="22" t="n"/>
      <c r="D157" s="23" t="n"/>
      <c r="E157" s="23" t="n"/>
      <c r="F157" s="22" t="n"/>
      <c r="G157" s="24" t="n"/>
      <c r="H157" s="22" t="n"/>
      <c r="I157" s="25">
        <f>IF(AND(ISNUMBER(D157),ISNUMBER(E157)),E157-D157,"")</f>
        <v/>
      </c>
      <c r="J157" s="26">
        <f>IF(AND(ISNUMBER(I157),ISNUMBER(G157)),IF(I157&gt;0,G157/I157,""),"")</f>
        <v/>
      </c>
      <c r="K157" s="25">
        <f>IF(COUNTA(A157:H157)=0,"",IF(OR(A157="",B157="",C157="",D157="",E157="",F157="",G157="",H157=""),"HATA: eksik bilgi",IF(COUNTIF(OdaListesi,A157)=0,"HATA: geçersiz oda no",IF(OR(NOT(ISNUMBER(D157)),NOT(ISNUMBER(E157))),"HATA: tarih geçersiz",IF(E157&lt;=D157,"HATA: çıkış girişten sonra olmalı",IF(OR(NOT(ISNUMBER(C157)),C157&lt;1,C157&gt;MaxKisi,C157&lt;&gt;INT(C157)),"HATA: kişi sayısı geçersiz",IF(OR(NOT(ISNUMBER(G157)),G157&lt;0),"HATA: tutar geçersiz",IF(B157&lt;&gt;TRIM(B157),"HATA: isimde baştaki/sondaki boşluk",IF(COUNTIF(KaynakAralik,H157)=0,"HATA: kaynak listede yok",IF(AND(F157&lt;&gt;"Bekleniyor",F157&lt;&gt;"Geldi",F157&lt;&gt;"İptal"),"HATA: giriş durumu geçersiz",IF(AND(F157&lt;&gt;"İptal",COUNTIFS($A$6:$A$1005,A157,$D$6:$D$1005,"&lt;"&amp;E157,$E$6:$E$1005,"&gt;"&amp;D157,$F$6:$F$1005,"&lt;&gt;İptal")&gt;1),"HATA: oda bu tarihlerde çakışıyor",IF(AND(F157="Bekleniyor",D157&lt;RaporTarihi),"HATA: giriş günü geçti, Geldi veya İptal yapın","OK"))))))))))))</f>
        <v/>
      </c>
      <c r="L157" s="25">
        <f>IF(AND(ISNUMBER(A157),F157&lt;&gt;"İptal",ISNUMBER(D157),ISNUMBER(E157),D157&lt;=RaporTarihi,E157&gt;RaporTarihi),A157,"")</f>
        <v/>
      </c>
    </row>
    <row r="158">
      <c r="A158" s="22" t="n"/>
      <c r="B158" s="22" t="n"/>
      <c r="C158" s="22" t="n"/>
      <c r="D158" s="23" t="n"/>
      <c r="E158" s="23" t="n"/>
      <c r="F158" s="22" t="n"/>
      <c r="G158" s="24" t="n"/>
      <c r="H158" s="22" t="n"/>
      <c r="I158" s="25">
        <f>IF(AND(ISNUMBER(D158),ISNUMBER(E158)),E158-D158,"")</f>
        <v/>
      </c>
      <c r="J158" s="26">
        <f>IF(AND(ISNUMBER(I158),ISNUMBER(G158)),IF(I158&gt;0,G158/I158,""),"")</f>
        <v/>
      </c>
      <c r="K158" s="25">
        <f>IF(COUNTA(A158:H158)=0,"",IF(OR(A158="",B158="",C158="",D158="",E158="",F158="",G158="",H158=""),"HATA: eksik bilgi",IF(COUNTIF(OdaListesi,A158)=0,"HATA: geçersiz oda no",IF(OR(NOT(ISNUMBER(D158)),NOT(ISNUMBER(E158))),"HATA: tarih geçersiz",IF(E158&lt;=D158,"HATA: çıkış girişten sonra olmalı",IF(OR(NOT(ISNUMBER(C158)),C158&lt;1,C158&gt;MaxKisi,C158&lt;&gt;INT(C158)),"HATA: kişi sayısı geçersiz",IF(OR(NOT(ISNUMBER(G158)),G158&lt;0),"HATA: tutar geçersiz",IF(B158&lt;&gt;TRIM(B158),"HATA: isimde baştaki/sondaki boşluk",IF(COUNTIF(KaynakAralik,H158)=0,"HATA: kaynak listede yok",IF(AND(F158&lt;&gt;"Bekleniyor",F158&lt;&gt;"Geldi",F158&lt;&gt;"İptal"),"HATA: giriş durumu geçersiz",IF(AND(F158&lt;&gt;"İptal",COUNTIFS($A$6:$A$1005,A158,$D$6:$D$1005,"&lt;"&amp;E158,$E$6:$E$1005,"&gt;"&amp;D158,$F$6:$F$1005,"&lt;&gt;İptal")&gt;1),"HATA: oda bu tarihlerde çakışıyor",IF(AND(F158="Bekleniyor",D158&lt;RaporTarihi),"HATA: giriş günü geçti, Geldi veya İptal yapın","OK"))))))))))))</f>
        <v/>
      </c>
      <c r="L158" s="25">
        <f>IF(AND(ISNUMBER(A158),F158&lt;&gt;"İptal",ISNUMBER(D158),ISNUMBER(E158),D158&lt;=RaporTarihi,E158&gt;RaporTarihi),A158,"")</f>
        <v/>
      </c>
    </row>
    <row r="159">
      <c r="A159" s="22" t="n"/>
      <c r="B159" s="22" t="n"/>
      <c r="C159" s="22" t="n"/>
      <c r="D159" s="23" t="n"/>
      <c r="E159" s="23" t="n"/>
      <c r="F159" s="22" t="n"/>
      <c r="G159" s="24" t="n"/>
      <c r="H159" s="22" t="n"/>
      <c r="I159" s="25">
        <f>IF(AND(ISNUMBER(D159),ISNUMBER(E159)),E159-D159,"")</f>
        <v/>
      </c>
      <c r="J159" s="26">
        <f>IF(AND(ISNUMBER(I159),ISNUMBER(G159)),IF(I159&gt;0,G159/I159,""),"")</f>
        <v/>
      </c>
      <c r="K159" s="25">
        <f>IF(COUNTA(A159:H159)=0,"",IF(OR(A159="",B159="",C159="",D159="",E159="",F159="",G159="",H159=""),"HATA: eksik bilgi",IF(COUNTIF(OdaListesi,A159)=0,"HATA: geçersiz oda no",IF(OR(NOT(ISNUMBER(D159)),NOT(ISNUMBER(E159))),"HATA: tarih geçersiz",IF(E159&lt;=D159,"HATA: çıkış girişten sonra olmalı",IF(OR(NOT(ISNUMBER(C159)),C159&lt;1,C159&gt;MaxKisi,C159&lt;&gt;INT(C159)),"HATA: kişi sayısı geçersiz",IF(OR(NOT(ISNUMBER(G159)),G159&lt;0),"HATA: tutar geçersiz",IF(B159&lt;&gt;TRIM(B159),"HATA: isimde baştaki/sondaki boşluk",IF(COUNTIF(KaynakAralik,H159)=0,"HATA: kaynak listede yok",IF(AND(F159&lt;&gt;"Bekleniyor",F159&lt;&gt;"Geldi",F159&lt;&gt;"İptal"),"HATA: giriş durumu geçersiz",IF(AND(F159&lt;&gt;"İptal",COUNTIFS($A$6:$A$1005,A159,$D$6:$D$1005,"&lt;"&amp;E159,$E$6:$E$1005,"&gt;"&amp;D159,$F$6:$F$1005,"&lt;&gt;İptal")&gt;1),"HATA: oda bu tarihlerde çakışıyor",IF(AND(F159="Bekleniyor",D159&lt;RaporTarihi),"HATA: giriş günü geçti, Geldi veya İptal yapın","OK"))))))))))))</f>
        <v/>
      </c>
      <c r="L159" s="25">
        <f>IF(AND(ISNUMBER(A159),F159&lt;&gt;"İptal",ISNUMBER(D159),ISNUMBER(E159),D159&lt;=RaporTarihi,E159&gt;RaporTarihi),A159,"")</f>
        <v/>
      </c>
    </row>
    <row r="160">
      <c r="A160" s="22" t="n"/>
      <c r="B160" s="22" t="n"/>
      <c r="C160" s="22" t="n"/>
      <c r="D160" s="23" t="n"/>
      <c r="E160" s="23" t="n"/>
      <c r="F160" s="22" t="n"/>
      <c r="G160" s="24" t="n"/>
      <c r="H160" s="22" t="n"/>
      <c r="I160" s="25">
        <f>IF(AND(ISNUMBER(D160),ISNUMBER(E160)),E160-D160,"")</f>
        <v/>
      </c>
      <c r="J160" s="26">
        <f>IF(AND(ISNUMBER(I160),ISNUMBER(G160)),IF(I160&gt;0,G160/I160,""),"")</f>
        <v/>
      </c>
      <c r="K160" s="25">
        <f>IF(COUNTA(A160:H160)=0,"",IF(OR(A160="",B160="",C160="",D160="",E160="",F160="",G160="",H160=""),"HATA: eksik bilgi",IF(COUNTIF(OdaListesi,A160)=0,"HATA: geçersiz oda no",IF(OR(NOT(ISNUMBER(D160)),NOT(ISNUMBER(E160))),"HATA: tarih geçersiz",IF(E160&lt;=D160,"HATA: çıkış girişten sonra olmalı",IF(OR(NOT(ISNUMBER(C160)),C160&lt;1,C160&gt;MaxKisi,C160&lt;&gt;INT(C160)),"HATA: kişi sayısı geçersiz",IF(OR(NOT(ISNUMBER(G160)),G160&lt;0),"HATA: tutar geçersiz",IF(B160&lt;&gt;TRIM(B160),"HATA: isimde baştaki/sondaki boşluk",IF(COUNTIF(KaynakAralik,H160)=0,"HATA: kaynak listede yok",IF(AND(F160&lt;&gt;"Bekleniyor",F160&lt;&gt;"Geldi",F160&lt;&gt;"İptal"),"HATA: giriş durumu geçersiz",IF(AND(F160&lt;&gt;"İptal",COUNTIFS($A$6:$A$1005,A160,$D$6:$D$1005,"&lt;"&amp;E160,$E$6:$E$1005,"&gt;"&amp;D160,$F$6:$F$1005,"&lt;&gt;İptal")&gt;1),"HATA: oda bu tarihlerde çakışıyor",IF(AND(F160="Bekleniyor",D160&lt;RaporTarihi),"HATA: giriş günü geçti, Geldi veya İptal yapın","OK"))))))))))))</f>
        <v/>
      </c>
      <c r="L160" s="25">
        <f>IF(AND(ISNUMBER(A160),F160&lt;&gt;"İptal",ISNUMBER(D160),ISNUMBER(E160),D160&lt;=RaporTarihi,E160&gt;RaporTarihi),A160,"")</f>
        <v/>
      </c>
    </row>
    <row r="161">
      <c r="A161" s="22" t="n"/>
      <c r="B161" s="22" t="n"/>
      <c r="C161" s="22" t="n"/>
      <c r="D161" s="23" t="n"/>
      <c r="E161" s="23" t="n"/>
      <c r="F161" s="22" t="n"/>
      <c r="G161" s="24" t="n"/>
      <c r="H161" s="22" t="n"/>
      <c r="I161" s="25">
        <f>IF(AND(ISNUMBER(D161),ISNUMBER(E161)),E161-D161,"")</f>
        <v/>
      </c>
      <c r="J161" s="26">
        <f>IF(AND(ISNUMBER(I161),ISNUMBER(G161)),IF(I161&gt;0,G161/I161,""),"")</f>
        <v/>
      </c>
      <c r="K161" s="25">
        <f>IF(COUNTA(A161:H161)=0,"",IF(OR(A161="",B161="",C161="",D161="",E161="",F161="",G161="",H161=""),"HATA: eksik bilgi",IF(COUNTIF(OdaListesi,A161)=0,"HATA: geçersiz oda no",IF(OR(NOT(ISNUMBER(D161)),NOT(ISNUMBER(E161))),"HATA: tarih geçersiz",IF(E161&lt;=D161,"HATA: çıkış girişten sonra olmalı",IF(OR(NOT(ISNUMBER(C161)),C161&lt;1,C161&gt;MaxKisi,C161&lt;&gt;INT(C161)),"HATA: kişi sayısı geçersiz",IF(OR(NOT(ISNUMBER(G161)),G161&lt;0),"HATA: tutar geçersiz",IF(B161&lt;&gt;TRIM(B161),"HATA: isimde baştaki/sondaki boşluk",IF(COUNTIF(KaynakAralik,H161)=0,"HATA: kaynak listede yok",IF(AND(F161&lt;&gt;"Bekleniyor",F161&lt;&gt;"Geldi",F161&lt;&gt;"İptal"),"HATA: giriş durumu geçersiz",IF(AND(F161&lt;&gt;"İptal",COUNTIFS($A$6:$A$1005,A161,$D$6:$D$1005,"&lt;"&amp;E161,$E$6:$E$1005,"&gt;"&amp;D161,$F$6:$F$1005,"&lt;&gt;İptal")&gt;1),"HATA: oda bu tarihlerde çakışıyor",IF(AND(F161="Bekleniyor",D161&lt;RaporTarihi),"HATA: giriş günü geçti, Geldi veya İptal yapın","OK"))))))))))))</f>
        <v/>
      </c>
      <c r="L161" s="25">
        <f>IF(AND(ISNUMBER(A161),F161&lt;&gt;"İptal",ISNUMBER(D161),ISNUMBER(E161),D161&lt;=RaporTarihi,E161&gt;RaporTarihi),A161,"")</f>
        <v/>
      </c>
    </row>
    <row r="162">
      <c r="A162" s="22" t="n"/>
      <c r="B162" s="22" t="n"/>
      <c r="C162" s="22" t="n"/>
      <c r="D162" s="23" t="n"/>
      <c r="E162" s="23" t="n"/>
      <c r="F162" s="22" t="n"/>
      <c r="G162" s="24" t="n"/>
      <c r="H162" s="22" t="n"/>
      <c r="I162" s="25">
        <f>IF(AND(ISNUMBER(D162),ISNUMBER(E162)),E162-D162,"")</f>
        <v/>
      </c>
      <c r="J162" s="26">
        <f>IF(AND(ISNUMBER(I162),ISNUMBER(G162)),IF(I162&gt;0,G162/I162,""),"")</f>
        <v/>
      </c>
      <c r="K162" s="25">
        <f>IF(COUNTA(A162:H162)=0,"",IF(OR(A162="",B162="",C162="",D162="",E162="",F162="",G162="",H162=""),"HATA: eksik bilgi",IF(COUNTIF(OdaListesi,A162)=0,"HATA: geçersiz oda no",IF(OR(NOT(ISNUMBER(D162)),NOT(ISNUMBER(E162))),"HATA: tarih geçersiz",IF(E162&lt;=D162,"HATA: çıkış girişten sonra olmalı",IF(OR(NOT(ISNUMBER(C162)),C162&lt;1,C162&gt;MaxKisi,C162&lt;&gt;INT(C162)),"HATA: kişi sayısı geçersiz",IF(OR(NOT(ISNUMBER(G162)),G162&lt;0),"HATA: tutar geçersiz",IF(B162&lt;&gt;TRIM(B162),"HATA: isimde baştaki/sondaki boşluk",IF(COUNTIF(KaynakAralik,H162)=0,"HATA: kaynak listede yok",IF(AND(F162&lt;&gt;"Bekleniyor",F162&lt;&gt;"Geldi",F162&lt;&gt;"İptal"),"HATA: giriş durumu geçersiz",IF(AND(F162&lt;&gt;"İptal",COUNTIFS($A$6:$A$1005,A162,$D$6:$D$1005,"&lt;"&amp;E162,$E$6:$E$1005,"&gt;"&amp;D162,$F$6:$F$1005,"&lt;&gt;İptal")&gt;1),"HATA: oda bu tarihlerde çakışıyor",IF(AND(F162="Bekleniyor",D162&lt;RaporTarihi),"HATA: giriş günü geçti, Geldi veya İptal yapın","OK"))))))))))))</f>
        <v/>
      </c>
      <c r="L162" s="25">
        <f>IF(AND(ISNUMBER(A162),F162&lt;&gt;"İptal",ISNUMBER(D162),ISNUMBER(E162),D162&lt;=RaporTarihi,E162&gt;RaporTarihi),A162,"")</f>
        <v/>
      </c>
    </row>
    <row r="163">
      <c r="A163" s="22" t="n"/>
      <c r="B163" s="22" t="n"/>
      <c r="C163" s="22" t="n"/>
      <c r="D163" s="23" t="n"/>
      <c r="E163" s="23" t="n"/>
      <c r="F163" s="22" t="n"/>
      <c r="G163" s="24" t="n"/>
      <c r="H163" s="22" t="n"/>
      <c r="I163" s="25">
        <f>IF(AND(ISNUMBER(D163),ISNUMBER(E163)),E163-D163,"")</f>
        <v/>
      </c>
      <c r="J163" s="26">
        <f>IF(AND(ISNUMBER(I163),ISNUMBER(G163)),IF(I163&gt;0,G163/I163,""),"")</f>
        <v/>
      </c>
      <c r="K163" s="25">
        <f>IF(COUNTA(A163:H163)=0,"",IF(OR(A163="",B163="",C163="",D163="",E163="",F163="",G163="",H163=""),"HATA: eksik bilgi",IF(COUNTIF(OdaListesi,A163)=0,"HATA: geçersiz oda no",IF(OR(NOT(ISNUMBER(D163)),NOT(ISNUMBER(E163))),"HATA: tarih geçersiz",IF(E163&lt;=D163,"HATA: çıkış girişten sonra olmalı",IF(OR(NOT(ISNUMBER(C163)),C163&lt;1,C163&gt;MaxKisi,C163&lt;&gt;INT(C163)),"HATA: kişi sayısı geçersiz",IF(OR(NOT(ISNUMBER(G163)),G163&lt;0),"HATA: tutar geçersiz",IF(B163&lt;&gt;TRIM(B163),"HATA: isimde baştaki/sondaki boşluk",IF(COUNTIF(KaynakAralik,H163)=0,"HATA: kaynak listede yok",IF(AND(F163&lt;&gt;"Bekleniyor",F163&lt;&gt;"Geldi",F163&lt;&gt;"İptal"),"HATA: giriş durumu geçersiz",IF(AND(F163&lt;&gt;"İptal",COUNTIFS($A$6:$A$1005,A163,$D$6:$D$1005,"&lt;"&amp;E163,$E$6:$E$1005,"&gt;"&amp;D163,$F$6:$F$1005,"&lt;&gt;İptal")&gt;1),"HATA: oda bu tarihlerde çakışıyor",IF(AND(F163="Bekleniyor",D163&lt;RaporTarihi),"HATA: giriş günü geçti, Geldi veya İptal yapın","OK"))))))))))))</f>
        <v/>
      </c>
      <c r="L163" s="25">
        <f>IF(AND(ISNUMBER(A163),F163&lt;&gt;"İptal",ISNUMBER(D163),ISNUMBER(E163),D163&lt;=RaporTarihi,E163&gt;RaporTarihi),A163,"")</f>
        <v/>
      </c>
    </row>
    <row r="164">
      <c r="A164" s="22" t="n"/>
      <c r="B164" s="22" t="n"/>
      <c r="C164" s="22" t="n"/>
      <c r="D164" s="23" t="n"/>
      <c r="E164" s="23" t="n"/>
      <c r="F164" s="22" t="n"/>
      <c r="G164" s="24" t="n"/>
      <c r="H164" s="22" t="n"/>
      <c r="I164" s="25">
        <f>IF(AND(ISNUMBER(D164),ISNUMBER(E164)),E164-D164,"")</f>
        <v/>
      </c>
      <c r="J164" s="26">
        <f>IF(AND(ISNUMBER(I164),ISNUMBER(G164)),IF(I164&gt;0,G164/I164,""),"")</f>
        <v/>
      </c>
      <c r="K164" s="25">
        <f>IF(COUNTA(A164:H164)=0,"",IF(OR(A164="",B164="",C164="",D164="",E164="",F164="",G164="",H164=""),"HATA: eksik bilgi",IF(COUNTIF(OdaListesi,A164)=0,"HATA: geçersiz oda no",IF(OR(NOT(ISNUMBER(D164)),NOT(ISNUMBER(E164))),"HATA: tarih geçersiz",IF(E164&lt;=D164,"HATA: çıkış girişten sonra olmalı",IF(OR(NOT(ISNUMBER(C164)),C164&lt;1,C164&gt;MaxKisi,C164&lt;&gt;INT(C164)),"HATA: kişi sayısı geçersiz",IF(OR(NOT(ISNUMBER(G164)),G164&lt;0),"HATA: tutar geçersiz",IF(B164&lt;&gt;TRIM(B164),"HATA: isimde baştaki/sondaki boşluk",IF(COUNTIF(KaynakAralik,H164)=0,"HATA: kaynak listede yok",IF(AND(F164&lt;&gt;"Bekleniyor",F164&lt;&gt;"Geldi",F164&lt;&gt;"İptal"),"HATA: giriş durumu geçersiz",IF(AND(F164&lt;&gt;"İptal",COUNTIFS($A$6:$A$1005,A164,$D$6:$D$1005,"&lt;"&amp;E164,$E$6:$E$1005,"&gt;"&amp;D164,$F$6:$F$1005,"&lt;&gt;İptal")&gt;1),"HATA: oda bu tarihlerde çakışıyor",IF(AND(F164="Bekleniyor",D164&lt;RaporTarihi),"HATA: giriş günü geçti, Geldi veya İptal yapın","OK"))))))))))))</f>
        <v/>
      </c>
      <c r="L164" s="25">
        <f>IF(AND(ISNUMBER(A164),F164&lt;&gt;"İptal",ISNUMBER(D164),ISNUMBER(E164),D164&lt;=RaporTarihi,E164&gt;RaporTarihi),A164,"")</f>
        <v/>
      </c>
    </row>
    <row r="165">
      <c r="A165" s="22" t="n"/>
      <c r="B165" s="22" t="n"/>
      <c r="C165" s="22" t="n"/>
      <c r="D165" s="23" t="n"/>
      <c r="E165" s="23" t="n"/>
      <c r="F165" s="22" t="n"/>
      <c r="G165" s="24" t="n"/>
      <c r="H165" s="22" t="n"/>
      <c r="I165" s="25">
        <f>IF(AND(ISNUMBER(D165),ISNUMBER(E165)),E165-D165,"")</f>
        <v/>
      </c>
      <c r="J165" s="26">
        <f>IF(AND(ISNUMBER(I165),ISNUMBER(G165)),IF(I165&gt;0,G165/I165,""),"")</f>
        <v/>
      </c>
      <c r="K165" s="25">
        <f>IF(COUNTA(A165:H165)=0,"",IF(OR(A165="",B165="",C165="",D165="",E165="",F165="",G165="",H165=""),"HATA: eksik bilgi",IF(COUNTIF(OdaListesi,A165)=0,"HATA: geçersiz oda no",IF(OR(NOT(ISNUMBER(D165)),NOT(ISNUMBER(E165))),"HATA: tarih geçersiz",IF(E165&lt;=D165,"HATA: çıkış girişten sonra olmalı",IF(OR(NOT(ISNUMBER(C165)),C165&lt;1,C165&gt;MaxKisi,C165&lt;&gt;INT(C165)),"HATA: kişi sayısı geçersiz",IF(OR(NOT(ISNUMBER(G165)),G165&lt;0),"HATA: tutar geçersiz",IF(B165&lt;&gt;TRIM(B165),"HATA: isimde baştaki/sondaki boşluk",IF(COUNTIF(KaynakAralik,H165)=0,"HATA: kaynak listede yok",IF(AND(F165&lt;&gt;"Bekleniyor",F165&lt;&gt;"Geldi",F165&lt;&gt;"İptal"),"HATA: giriş durumu geçersiz",IF(AND(F165&lt;&gt;"İptal",COUNTIFS($A$6:$A$1005,A165,$D$6:$D$1005,"&lt;"&amp;E165,$E$6:$E$1005,"&gt;"&amp;D165,$F$6:$F$1005,"&lt;&gt;İptal")&gt;1),"HATA: oda bu tarihlerde çakışıyor",IF(AND(F165="Bekleniyor",D165&lt;RaporTarihi),"HATA: giriş günü geçti, Geldi veya İptal yapın","OK"))))))))))))</f>
        <v/>
      </c>
      <c r="L165" s="25">
        <f>IF(AND(ISNUMBER(A165),F165&lt;&gt;"İptal",ISNUMBER(D165),ISNUMBER(E165),D165&lt;=RaporTarihi,E165&gt;RaporTarihi),A165,"")</f>
        <v/>
      </c>
    </row>
    <row r="166">
      <c r="A166" s="22" t="n"/>
      <c r="B166" s="22" t="n"/>
      <c r="C166" s="22" t="n"/>
      <c r="D166" s="23" t="n"/>
      <c r="E166" s="23" t="n"/>
      <c r="F166" s="22" t="n"/>
      <c r="G166" s="24" t="n"/>
      <c r="H166" s="22" t="n"/>
      <c r="I166" s="25">
        <f>IF(AND(ISNUMBER(D166),ISNUMBER(E166)),E166-D166,"")</f>
        <v/>
      </c>
      <c r="J166" s="26">
        <f>IF(AND(ISNUMBER(I166),ISNUMBER(G166)),IF(I166&gt;0,G166/I166,""),"")</f>
        <v/>
      </c>
      <c r="K166" s="25">
        <f>IF(COUNTA(A166:H166)=0,"",IF(OR(A166="",B166="",C166="",D166="",E166="",F166="",G166="",H166=""),"HATA: eksik bilgi",IF(COUNTIF(OdaListesi,A166)=0,"HATA: geçersiz oda no",IF(OR(NOT(ISNUMBER(D166)),NOT(ISNUMBER(E166))),"HATA: tarih geçersiz",IF(E166&lt;=D166,"HATA: çıkış girişten sonra olmalı",IF(OR(NOT(ISNUMBER(C166)),C166&lt;1,C166&gt;MaxKisi,C166&lt;&gt;INT(C166)),"HATA: kişi sayısı geçersiz",IF(OR(NOT(ISNUMBER(G166)),G166&lt;0),"HATA: tutar geçersiz",IF(B166&lt;&gt;TRIM(B166),"HATA: isimde baştaki/sondaki boşluk",IF(COUNTIF(KaynakAralik,H166)=0,"HATA: kaynak listede yok",IF(AND(F166&lt;&gt;"Bekleniyor",F166&lt;&gt;"Geldi",F166&lt;&gt;"İptal"),"HATA: giriş durumu geçersiz",IF(AND(F166&lt;&gt;"İptal",COUNTIFS($A$6:$A$1005,A166,$D$6:$D$1005,"&lt;"&amp;E166,$E$6:$E$1005,"&gt;"&amp;D166,$F$6:$F$1005,"&lt;&gt;İptal")&gt;1),"HATA: oda bu tarihlerde çakışıyor",IF(AND(F166="Bekleniyor",D166&lt;RaporTarihi),"HATA: giriş günü geçti, Geldi veya İptal yapın","OK"))))))))))))</f>
        <v/>
      </c>
      <c r="L166" s="25">
        <f>IF(AND(ISNUMBER(A166),F166&lt;&gt;"İptal",ISNUMBER(D166),ISNUMBER(E166),D166&lt;=RaporTarihi,E166&gt;RaporTarihi),A166,"")</f>
        <v/>
      </c>
    </row>
    <row r="167">
      <c r="A167" s="22" t="n"/>
      <c r="B167" s="22" t="n"/>
      <c r="C167" s="22" t="n"/>
      <c r="D167" s="23" t="n"/>
      <c r="E167" s="23" t="n"/>
      <c r="F167" s="22" t="n"/>
      <c r="G167" s="24" t="n"/>
      <c r="H167" s="22" t="n"/>
      <c r="I167" s="25">
        <f>IF(AND(ISNUMBER(D167),ISNUMBER(E167)),E167-D167,"")</f>
        <v/>
      </c>
      <c r="J167" s="26">
        <f>IF(AND(ISNUMBER(I167),ISNUMBER(G167)),IF(I167&gt;0,G167/I167,""),"")</f>
        <v/>
      </c>
      <c r="K167" s="25">
        <f>IF(COUNTA(A167:H167)=0,"",IF(OR(A167="",B167="",C167="",D167="",E167="",F167="",G167="",H167=""),"HATA: eksik bilgi",IF(COUNTIF(OdaListesi,A167)=0,"HATA: geçersiz oda no",IF(OR(NOT(ISNUMBER(D167)),NOT(ISNUMBER(E167))),"HATA: tarih geçersiz",IF(E167&lt;=D167,"HATA: çıkış girişten sonra olmalı",IF(OR(NOT(ISNUMBER(C167)),C167&lt;1,C167&gt;MaxKisi,C167&lt;&gt;INT(C167)),"HATA: kişi sayısı geçersiz",IF(OR(NOT(ISNUMBER(G167)),G167&lt;0),"HATA: tutar geçersiz",IF(B167&lt;&gt;TRIM(B167),"HATA: isimde baştaki/sondaki boşluk",IF(COUNTIF(KaynakAralik,H167)=0,"HATA: kaynak listede yok",IF(AND(F167&lt;&gt;"Bekleniyor",F167&lt;&gt;"Geldi",F167&lt;&gt;"İptal"),"HATA: giriş durumu geçersiz",IF(AND(F167&lt;&gt;"İptal",COUNTIFS($A$6:$A$1005,A167,$D$6:$D$1005,"&lt;"&amp;E167,$E$6:$E$1005,"&gt;"&amp;D167,$F$6:$F$1005,"&lt;&gt;İptal")&gt;1),"HATA: oda bu tarihlerde çakışıyor",IF(AND(F167="Bekleniyor",D167&lt;RaporTarihi),"HATA: giriş günü geçti, Geldi veya İptal yapın","OK"))))))))))))</f>
        <v/>
      </c>
      <c r="L167" s="25">
        <f>IF(AND(ISNUMBER(A167),F167&lt;&gt;"İptal",ISNUMBER(D167),ISNUMBER(E167),D167&lt;=RaporTarihi,E167&gt;RaporTarihi),A167,"")</f>
        <v/>
      </c>
    </row>
    <row r="168">
      <c r="A168" s="22" t="n"/>
      <c r="B168" s="22" t="n"/>
      <c r="C168" s="22" t="n"/>
      <c r="D168" s="23" t="n"/>
      <c r="E168" s="23" t="n"/>
      <c r="F168" s="22" t="n"/>
      <c r="G168" s="24" t="n"/>
      <c r="H168" s="22" t="n"/>
      <c r="I168" s="25">
        <f>IF(AND(ISNUMBER(D168),ISNUMBER(E168)),E168-D168,"")</f>
        <v/>
      </c>
      <c r="J168" s="26">
        <f>IF(AND(ISNUMBER(I168),ISNUMBER(G168)),IF(I168&gt;0,G168/I168,""),"")</f>
        <v/>
      </c>
      <c r="K168" s="25">
        <f>IF(COUNTA(A168:H168)=0,"",IF(OR(A168="",B168="",C168="",D168="",E168="",F168="",G168="",H168=""),"HATA: eksik bilgi",IF(COUNTIF(OdaListesi,A168)=0,"HATA: geçersiz oda no",IF(OR(NOT(ISNUMBER(D168)),NOT(ISNUMBER(E168))),"HATA: tarih geçersiz",IF(E168&lt;=D168,"HATA: çıkış girişten sonra olmalı",IF(OR(NOT(ISNUMBER(C168)),C168&lt;1,C168&gt;MaxKisi,C168&lt;&gt;INT(C168)),"HATA: kişi sayısı geçersiz",IF(OR(NOT(ISNUMBER(G168)),G168&lt;0),"HATA: tutar geçersiz",IF(B168&lt;&gt;TRIM(B168),"HATA: isimde baştaki/sondaki boşluk",IF(COUNTIF(KaynakAralik,H168)=0,"HATA: kaynak listede yok",IF(AND(F168&lt;&gt;"Bekleniyor",F168&lt;&gt;"Geldi",F168&lt;&gt;"İptal"),"HATA: giriş durumu geçersiz",IF(AND(F168&lt;&gt;"İptal",COUNTIFS($A$6:$A$1005,A168,$D$6:$D$1005,"&lt;"&amp;E168,$E$6:$E$1005,"&gt;"&amp;D168,$F$6:$F$1005,"&lt;&gt;İptal")&gt;1),"HATA: oda bu tarihlerde çakışıyor",IF(AND(F168="Bekleniyor",D168&lt;RaporTarihi),"HATA: giriş günü geçti, Geldi veya İptal yapın","OK"))))))))))))</f>
        <v/>
      </c>
      <c r="L168" s="25">
        <f>IF(AND(ISNUMBER(A168),F168&lt;&gt;"İptal",ISNUMBER(D168),ISNUMBER(E168),D168&lt;=RaporTarihi,E168&gt;RaporTarihi),A168,"")</f>
        <v/>
      </c>
    </row>
    <row r="169">
      <c r="A169" s="22" t="n"/>
      <c r="B169" s="22" t="n"/>
      <c r="C169" s="22" t="n"/>
      <c r="D169" s="23" t="n"/>
      <c r="E169" s="23" t="n"/>
      <c r="F169" s="22" t="n"/>
      <c r="G169" s="24" t="n"/>
      <c r="H169" s="22" t="n"/>
      <c r="I169" s="25">
        <f>IF(AND(ISNUMBER(D169),ISNUMBER(E169)),E169-D169,"")</f>
        <v/>
      </c>
      <c r="J169" s="26">
        <f>IF(AND(ISNUMBER(I169),ISNUMBER(G169)),IF(I169&gt;0,G169/I169,""),"")</f>
        <v/>
      </c>
      <c r="K169" s="25">
        <f>IF(COUNTA(A169:H169)=0,"",IF(OR(A169="",B169="",C169="",D169="",E169="",F169="",G169="",H169=""),"HATA: eksik bilgi",IF(COUNTIF(OdaListesi,A169)=0,"HATA: geçersiz oda no",IF(OR(NOT(ISNUMBER(D169)),NOT(ISNUMBER(E169))),"HATA: tarih geçersiz",IF(E169&lt;=D169,"HATA: çıkış girişten sonra olmalı",IF(OR(NOT(ISNUMBER(C169)),C169&lt;1,C169&gt;MaxKisi,C169&lt;&gt;INT(C169)),"HATA: kişi sayısı geçersiz",IF(OR(NOT(ISNUMBER(G169)),G169&lt;0),"HATA: tutar geçersiz",IF(B169&lt;&gt;TRIM(B169),"HATA: isimde baştaki/sondaki boşluk",IF(COUNTIF(KaynakAralik,H169)=0,"HATA: kaynak listede yok",IF(AND(F169&lt;&gt;"Bekleniyor",F169&lt;&gt;"Geldi",F169&lt;&gt;"İptal"),"HATA: giriş durumu geçersiz",IF(AND(F169&lt;&gt;"İptal",COUNTIFS($A$6:$A$1005,A169,$D$6:$D$1005,"&lt;"&amp;E169,$E$6:$E$1005,"&gt;"&amp;D169,$F$6:$F$1005,"&lt;&gt;İptal")&gt;1),"HATA: oda bu tarihlerde çakışıyor",IF(AND(F169="Bekleniyor",D169&lt;RaporTarihi),"HATA: giriş günü geçti, Geldi veya İptal yapın","OK"))))))))))))</f>
        <v/>
      </c>
      <c r="L169" s="25">
        <f>IF(AND(ISNUMBER(A169),F169&lt;&gt;"İptal",ISNUMBER(D169),ISNUMBER(E169),D169&lt;=RaporTarihi,E169&gt;RaporTarihi),A169,"")</f>
        <v/>
      </c>
    </row>
    <row r="170">
      <c r="A170" s="22" t="n"/>
      <c r="B170" s="22" t="n"/>
      <c r="C170" s="22" t="n"/>
      <c r="D170" s="23" t="n"/>
      <c r="E170" s="23" t="n"/>
      <c r="F170" s="22" t="n"/>
      <c r="G170" s="24" t="n"/>
      <c r="H170" s="22" t="n"/>
      <c r="I170" s="25">
        <f>IF(AND(ISNUMBER(D170),ISNUMBER(E170)),E170-D170,"")</f>
        <v/>
      </c>
      <c r="J170" s="26">
        <f>IF(AND(ISNUMBER(I170),ISNUMBER(G170)),IF(I170&gt;0,G170/I170,""),"")</f>
        <v/>
      </c>
      <c r="K170" s="25">
        <f>IF(COUNTA(A170:H170)=0,"",IF(OR(A170="",B170="",C170="",D170="",E170="",F170="",G170="",H170=""),"HATA: eksik bilgi",IF(COUNTIF(OdaListesi,A170)=0,"HATA: geçersiz oda no",IF(OR(NOT(ISNUMBER(D170)),NOT(ISNUMBER(E170))),"HATA: tarih geçersiz",IF(E170&lt;=D170,"HATA: çıkış girişten sonra olmalı",IF(OR(NOT(ISNUMBER(C170)),C170&lt;1,C170&gt;MaxKisi,C170&lt;&gt;INT(C170)),"HATA: kişi sayısı geçersiz",IF(OR(NOT(ISNUMBER(G170)),G170&lt;0),"HATA: tutar geçersiz",IF(B170&lt;&gt;TRIM(B170),"HATA: isimde baştaki/sondaki boşluk",IF(COUNTIF(KaynakAralik,H170)=0,"HATA: kaynak listede yok",IF(AND(F170&lt;&gt;"Bekleniyor",F170&lt;&gt;"Geldi",F170&lt;&gt;"İptal"),"HATA: giriş durumu geçersiz",IF(AND(F170&lt;&gt;"İptal",COUNTIFS($A$6:$A$1005,A170,$D$6:$D$1005,"&lt;"&amp;E170,$E$6:$E$1005,"&gt;"&amp;D170,$F$6:$F$1005,"&lt;&gt;İptal")&gt;1),"HATA: oda bu tarihlerde çakışıyor",IF(AND(F170="Bekleniyor",D170&lt;RaporTarihi),"HATA: giriş günü geçti, Geldi veya İptal yapın","OK"))))))))))))</f>
        <v/>
      </c>
      <c r="L170" s="25">
        <f>IF(AND(ISNUMBER(A170),F170&lt;&gt;"İptal",ISNUMBER(D170),ISNUMBER(E170),D170&lt;=RaporTarihi,E170&gt;RaporTarihi),A170,"")</f>
        <v/>
      </c>
    </row>
    <row r="171">
      <c r="A171" s="22" t="n"/>
      <c r="B171" s="22" t="n"/>
      <c r="C171" s="22" t="n"/>
      <c r="D171" s="23" t="n"/>
      <c r="E171" s="23" t="n"/>
      <c r="F171" s="22" t="n"/>
      <c r="G171" s="24" t="n"/>
      <c r="H171" s="22" t="n"/>
      <c r="I171" s="25">
        <f>IF(AND(ISNUMBER(D171),ISNUMBER(E171)),E171-D171,"")</f>
        <v/>
      </c>
      <c r="J171" s="26">
        <f>IF(AND(ISNUMBER(I171),ISNUMBER(G171)),IF(I171&gt;0,G171/I171,""),"")</f>
        <v/>
      </c>
      <c r="K171" s="25">
        <f>IF(COUNTA(A171:H171)=0,"",IF(OR(A171="",B171="",C171="",D171="",E171="",F171="",G171="",H171=""),"HATA: eksik bilgi",IF(COUNTIF(OdaListesi,A171)=0,"HATA: geçersiz oda no",IF(OR(NOT(ISNUMBER(D171)),NOT(ISNUMBER(E171))),"HATA: tarih geçersiz",IF(E171&lt;=D171,"HATA: çıkış girişten sonra olmalı",IF(OR(NOT(ISNUMBER(C171)),C171&lt;1,C171&gt;MaxKisi,C171&lt;&gt;INT(C171)),"HATA: kişi sayısı geçersiz",IF(OR(NOT(ISNUMBER(G171)),G171&lt;0),"HATA: tutar geçersiz",IF(B171&lt;&gt;TRIM(B171),"HATA: isimde baştaki/sondaki boşluk",IF(COUNTIF(KaynakAralik,H171)=0,"HATA: kaynak listede yok",IF(AND(F171&lt;&gt;"Bekleniyor",F171&lt;&gt;"Geldi",F171&lt;&gt;"İptal"),"HATA: giriş durumu geçersiz",IF(AND(F171&lt;&gt;"İptal",COUNTIFS($A$6:$A$1005,A171,$D$6:$D$1005,"&lt;"&amp;E171,$E$6:$E$1005,"&gt;"&amp;D171,$F$6:$F$1005,"&lt;&gt;İptal")&gt;1),"HATA: oda bu tarihlerde çakışıyor",IF(AND(F171="Bekleniyor",D171&lt;RaporTarihi),"HATA: giriş günü geçti, Geldi veya İptal yapın","OK"))))))))))))</f>
        <v/>
      </c>
      <c r="L171" s="25">
        <f>IF(AND(ISNUMBER(A171),F171&lt;&gt;"İptal",ISNUMBER(D171),ISNUMBER(E171),D171&lt;=RaporTarihi,E171&gt;RaporTarihi),A171,"")</f>
        <v/>
      </c>
    </row>
    <row r="172">
      <c r="A172" s="22" t="n"/>
      <c r="B172" s="22" t="n"/>
      <c r="C172" s="22" t="n"/>
      <c r="D172" s="23" t="n"/>
      <c r="E172" s="23" t="n"/>
      <c r="F172" s="22" t="n"/>
      <c r="G172" s="24" t="n"/>
      <c r="H172" s="22" t="n"/>
      <c r="I172" s="25">
        <f>IF(AND(ISNUMBER(D172),ISNUMBER(E172)),E172-D172,"")</f>
        <v/>
      </c>
      <c r="J172" s="26">
        <f>IF(AND(ISNUMBER(I172),ISNUMBER(G172)),IF(I172&gt;0,G172/I172,""),"")</f>
        <v/>
      </c>
      <c r="K172" s="25">
        <f>IF(COUNTA(A172:H172)=0,"",IF(OR(A172="",B172="",C172="",D172="",E172="",F172="",G172="",H172=""),"HATA: eksik bilgi",IF(COUNTIF(OdaListesi,A172)=0,"HATA: geçersiz oda no",IF(OR(NOT(ISNUMBER(D172)),NOT(ISNUMBER(E172))),"HATA: tarih geçersiz",IF(E172&lt;=D172,"HATA: çıkış girişten sonra olmalı",IF(OR(NOT(ISNUMBER(C172)),C172&lt;1,C172&gt;MaxKisi,C172&lt;&gt;INT(C172)),"HATA: kişi sayısı geçersiz",IF(OR(NOT(ISNUMBER(G172)),G172&lt;0),"HATA: tutar geçersiz",IF(B172&lt;&gt;TRIM(B172),"HATA: isimde baştaki/sondaki boşluk",IF(COUNTIF(KaynakAralik,H172)=0,"HATA: kaynak listede yok",IF(AND(F172&lt;&gt;"Bekleniyor",F172&lt;&gt;"Geldi",F172&lt;&gt;"İptal"),"HATA: giriş durumu geçersiz",IF(AND(F172&lt;&gt;"İptal",COUNTIFS($A$6:$A$1005,A172,$D$6:$D$1005,"&lt;"&amp;E172,$E$6:$E$1005,"&gt;"&amp;D172,$F$6:$F$1005,"&lt;&gt;İptal")&gt;1),"HATA: oda bu tarihlerde çakışıyor",IF(AND(F172="Bekleniyor",D172&lt;RaporTarihi),"HATA: giriş günü geçti, Geldi veya İptal yapın","OK"))))))))))))</f>
        <v/>
      </c>
      <c r="L172" s="25">
        <f>IF(AND(ISNUMBER(A172),F172&lt;&gt;"İptal",ISNUMBER(D172),ISNUMBER(E172),D172&lt;=RaporTarihi,E172&gt;RaporTarihi),A172,"")</f>
        <v/>
      </c>
    </row>
    <row r="173">
      <c r="A173" s="22" t="n"/>
      <c r="B173" s="22" t="n"/>
      <c r="C173" s="22" t="n"/>
      <c r="D173" s="23" t="n"/>
      <c r="E173" s="23" t="n"/>
      <c r="F173" s="22" t="n"/>
      <c r="G173" s="24" t="n"/>
      <c r="H173" s="22" t="n"/>
      <c r="I173" s="25">
        <f>IF(AND(ISNUMBER(D173),ISNUMBER(E173)),E173-D173,"")</f>
        <v/>
      </c>
      <c r="J173" s="26">
        <f>IF(AND(ISNUMBER(I173),ISNUMBER(G173)),IF(I173&gt;0,G173/I173,""),"")</f>
        <v/>
      </c>
      <c r="K173" s="25">
        <f>IF(COUNTA(A173:H173)=0,"",IF(OR(A173="",B173="",C173="",D173="",E173="",F173="",G173="",H173=""),"HATA: eksik bilgi",IF(COUNTIF(OdaListesi,A173)=0,"HATA: geçersiz oda no",IF(OR(NOT(ISNUMBER(D173)),NOT(ISNUMBER(E173))),"HATA: tarih geçersiz",IF(E173&lt;=D173,"HATA: çıkış girişten sonra olmalı",IF(OR(NOT(ISNUMBER(C173)),C173&lt;1,C173&gt;MaxKisi,C173&lt;&gt;INT(C173)),"HATA: kişi sayısı geçersiz",IF(OR(NOT(ISNUMBER(G173)),G173&lt;0),"HATA: tutar geçersiz",IF(B173&lt;&gt;TRIM(B173),"HATA: isimde baştaki/sondaki boşluk",IF(COUNTIF(KaynakAralik,H173)=0,"HATA: kaynak listede yok",IF(AND(F173&lt;&gt;"Bekleniyor",F173&lt;&gt;"Geldi",F173&lt;&gt;"İptal"),"HATA: giriş durumu geçersiz",IF(AND(F173&lt;&gt;"İptal",COUNTIFS($A$6:$A$1005,A173,$D$6:$D$1005,"&lt;"&amp;E173,$E$6:$E$1005,"&gt;"&amp;D173,$F$6:$F$1005,"&lt;&gt;İptal")&gt;1),"HATA: oda bu tarihlerde çakışıyor",IF(AND(F173="Bekleniyor",D173&lt;RaporTarihi),"HATA: giriş günü geçti, Geldi veya İptal yapın","OK"))))))))))))</f>
        <v/>
      </c>
      <c r="L173" s="25">
        <f>IF(AND(ISNUMBER(A173),F173&lt;&gt;"İptal",ISNUMBER(D173),ISNUMBER(E173),D173&lt;=RaporTarihi,E173&gt;RaporTarihi),A173,"")</f>
        <v/>
      </c>
    </row>
    <row r="174">
      <c r="A174" s="22" t="n"/>
      <c r="B174" s="22" t="n"/>
      <c r="C174" s="22" t="n"/>
      <c r="D174" s="23" t="n"/>
      <c r="E174" s="23" t="n"/>
      <c r="F174" s="22" t="n"/>
      <c r="G174" s="24" t="n"/>
      <c r="H174" s="22" t="n"/>
      <c r="I174" s="25">
        <f>IF(AND(ISNUMBER(D174),ISNUMBER(E174)),E174-D174,"")</f>
        <v/>
      </c>
      <c r="J174" s="26">
        <f>IF(AND(ISNUMBER(I174),ISNUMBER(G174)),IF(I174&gt;0,G174/I174,""),"")</f>
        <v/>
      </c>
      <c r="K174" s="25">
        <f>IF(COUNTA(A174:H174)=0,"",IF(OR(A174="",B174="",C174="",D174="",E174="",F174="",G174="",H174=""),"HATA: eksik bilgi",IF(COUNTIF(OdaListesi,A174)=0,"HATA: geçersiz oda no",IF(OR(NOT(ISNUMBER(D174)),NOT(ISNUMBER(E174))),"HATA: tarih geçersiz",IF(E174&lt;=D174,"HATA: çıkış girişten sonra olmalı",IF(OR(NOT(ISNUMBER(C174)),C174&lt;1,C174&gt;MaxKisi,C174&lt;&gt;INT(C174)),"HATA: kişi sayısı geçersiz",IF(OR(NOT(ISNUMBER(G174)),G174&lt;0),"HATA: tutar geçersiz",IF(B174&lt;&gt;TRIM(B174),"HATA: isimde baştaki/sondaki boşluk",IF(COUNTIF(KaynakAralik,H174)=0,"HATA: kaynak listede yok",IF(AND(F174&lt;&gt;"Bekleniyor",F174&lt;&gt;"Geldi",F174&lt;&gt;"İptal"),"HATA: giriş durumu geçersiz",IF(AND(F174&lt;&gt;"İptal",COUNTIFS($A$6:$A$1005,A174,$D$6:$D$1005,"&lt;"&amp;E174,$E$6:$E$1005,"&gt;"&amp;D174,$F$6:$F$1005,"&lt;&gt;İptal")&gt;1),"HATA: oda bu tarihlerde çakışıyor",IF(AND(F174="Bekleniyor",D174&lt;RaporTarihi),"HATA: giriş günü geçti, Geldi veya İptal yapın","OK"))))))))))))</f>
        <v/>
      </c>
      <c r="L174" s="25">
        <f>IF(AND(ISNUMBER(A174),F174&lt;&gt;"İptal",ISNUMBER(D174),ISNUMBER(E174),D174&lt;=RaporTarihi,E174&gt;RaporTarihi),A174,"")</f>
        <v/>
      </c>
    </row>
    <row r="175">
      <c r="A175" s="22" t="n"/>
      <c r="B175" s="22" t="n"/>
      <c r="C175" s="22" t="n"/>
      <c r="D175" s="23" t="n"/>
      <c r="E175" s="23" t="n"/>
      <c r="F175" s="22" t="n"/>
      <c r="G175" s="24" t="n"/>
      <c r="H175" s="22" t="n"/>
      <c r="I175" s="25">
        <f>IF(AND(ISNUMBER(D175),ISNUMBER(E175)),E175-D175,"")</f>
        <v/>
      </c>
      <c r="J175" s="26">
        <f>IF(AND(ISNUMBER(I175),ISNUMBER(G175)),IF(I175&gt;0,G175/I175,""),"")</f>
        <v/>
      </c>
      <c r="K175" s="25">
        <f>IF(COUNTA(A175:H175)=0,"",IF(OR(A175="",B175="",C175="",D175="",E175="",F175="",G175="",H175=""),"HATA: eksik bilgi",IF(COUNTIF(OdaListesi,A175)=0,"HATA: geçersiz oda no",IF(OR(NOT(ISNUMBER(D175)),NOT(ISNUMBER(E175))),"HATA: tarih geçersiz",IF(E175&lt;=D175,"HATA: çıkış girişten sonra olmalı",IF(OR(NOT(ISNUMBER(C175)),C175&lt;1,C175&gt;MaxKisi,C175&lt;&gt;INT(C175)),"HATA: kişi sayısı geçersiz",IF(OR(NOT(ISNUMBER(G175)),G175&lt;0),"HATA: tutar geçersiz",IF(B175&lt;&gt;TRIM(B175),"HATA: isimde baştaki/sondaki boşluk",IF(COUNTIF(KaynakAralik,H175)=0,"HATA: kaynak listede yok",IF(AND(F175&lt;&gt;"Bekleniyor",F175&lt;&gt;"Geldi",F175&lt;&gt;"İptal"),"HATA: giriş durumu geçersiz",IF(AND(F175&lt;&gt;"İptal",COUNTIFS($A$6:$A$1005,A175,$D$6:$D$1005,"&lt;"&amp;E175,$E$6:$E$1005,"&gt;"&amp;D175,$F$6:$F$1005,"&lt;&gt;İptal")&gt;1),"HATA: oda bu tarihlerde çakışıyor",IF(AND(F175="Bekleniyor",D175&lt;RaporTarihi),"HATA: giriş günü geçti, Geldi veya İptal yapın","OK"))))))))))))</f>
        <v/>
      </c>
      <c r="L175" s="25">
        <f>IF(AND(ISNUMBER(A175),F175&lt;&gt;"İptal",ISNUMBER(D175),ISNUMBER(E175),D175&lt;=RaporTarihi,E175&gt;RaporTarihi),A175,"")</f>
        <v/>
      </c>
    </row>
    <row r="176">
      <c r="A176" s="22" t="n"/>
      <c r="B176" s="22" t="n"/>
      <c r="C176" s="22" t="n"/>
      <c r="D176" s="23" t="n"/>
      <c r="E176" s="23" t="n"/>
      <c r="F176" s="22" t="n"/>
      <c r="G176" s="24" t="n"/>
      <c r="H176" s="22" t="n"/>
      <c r="I176" s="25">
        <f>IF(AND(ISNUMBER(D176),ISNUMBER(E176)),E176-D176,"")</f>
        <v/>
      </c>
      <c r="J176" s="26">
        <f>IF(AND(ISNUMBER(I176),ISNUMBER(G176)),IF(I176&gt;0,G176/I176,""),"")</f>
        <v/>
      </c>
      <c r="K176" s="25">
        <f>IF(COUNTA(A176:H176)=0,"",IF(OR(A176="",B176="",C176="",D176="",E176="",F176="",G176="",H176=""),"HATA: eksik bilgi",IF(COUNTIF(OdaListesi,A176)=0,"HATA: geçersiz oda no",IF(OR(NOT(ISNUMBER(D176)),NOT(ISNUMBER(E176))),"HATA: tarih geçersiz",IF(E176&lt;=D176,"HATA: çıkış girişten sonra olmalı",IF(OR(NOT(ISNUMBER(C176)),C176&lt;1,C176&gt;MaxKisi,C176&lt;&gt;INT(C176)),"HATA: kişi sayısı geçersiz",IF(OR(NOT(ISNUMBER(G176)),G176&lt;0),"HATA: tutar geçersiz",IF(B176&lt;&gt;TRIM(B176),"HATA: isimde baştaki/sondaki boşluk",IF(COUNTIF(KaynakAralik,H176)=0,"HATA: kaynak listede yok",IF(AND(F176&lt;&gt;"Bekleniyor",F176&lt;&gt;"Geldi",F176&lt;&gt;"İptal"),"HATA: giriş durumu geçersiz",IF(AND(F176&lt;&gt;"İptal",COUNTIFS($A$6:$A$1005,A176,$D$6:$D$1005,"&lt;"&amp;E176,$E$6:$E$1005,"&gt;"&amp;D176,$F$6:$F$1005,"&lt;&gt;İptal")&gt;1),"HATA: oda bu tarihlerde çakışıyor",IF(AND(F176="Bekleniyor",D176&lt;RaporTarihi),"HATA: giriş günü geçti, Geldi veya İptal yapın","OK"))))))))))))</f>
        <v/>
      </c>
      <c r="L176" s="25">
        <f>IF(AND(ISNUMBER(A176),F176&lt;&gt;"İptal",ISNUMBER(D176),ISNUMBER(E176),D176&lt;=RaporTarihi,E176&gt;RaporTarihi),A176,"")</f>
        <v/>
      </c>
    </row>
    <row r="177">
      <c r="A177" s="22" t="n"/>
      <c r="B177" s="22" t="n"/>
      <c r="C177" s="22" t="n"/>
      <c r="D177" s="23" t="n"/>
      <c r="E177" s="23" t="n"/>
      <c r="F177" s="22" t="n"/>
      <c r="G177" s="24" t="n"/>
      <c r="H177" s="22" t="n"/>
      <c r="I177" s="25">
        <f>IF(AND(ISNUMBER(D177),ISNUMBER(E177)),E177-D177,"")</f>
        <v/>
      </c>
      <c r="J177" s="26">
        <f>IF(AND(ISNUMBER(I177),ISNUMBER(G177)),IF(I177&gt;0,G177/I177,""),"")</f>
        <v/>
      </c>
      <c r="K177" s="25">
        <f>IF(COUNTA(A177:H177)=0,"",IF(OR(A177="",B177="",C177="",D177="",E177="",F177="",G177="",H177=""),"HATA: eksik bilgi",IF(COUNTIF(OdaListesi,A177)=0,"HATA: geçersiz oda no",IF(OR(NOT(ISNUMBER(D177)),NOT(ISNUMBER(E177))),"HATA: tarih geçersiz",IF(E177&lt;=D177,"HATA: çıkış girişten sonra olmalı",IF(OR(NOT(ISNUMBER(C177)),C177&lt;1,C177&gt;MaxKisi,C177&lt;&gt;INT(C177)),"HATA: kişi sayısı geçersiz",IF(OR(NOT(ISNUMBER(G177)),G177&lt;0),"HATA: tutar geçersiz",IF(B177&lt;&gt;TRIM(B177),"HATA: isimde baştaki/sondaki boşluk",IF(COUNTIF(KaynakAralik,H177)=0,"HATA: kaynak listede yok",IF(AND(F177&lt;&gt;"Bekleniyor",F177&lt;&gt;"Geldi",F177&lt;&gt;"İptal"),"HATA: giriş durumu geçersiz",IF(AND(F177&lt;&gt;"İptal",COUNTIFS($A$6:$A$1005,A177,$D$6:$D$1005,"&lt;"&amp;E177,$E$6:$E$1005,"&gt;"&amp;D177,$F$6:$F$1005,"&lt;&gt;İptal")&gt;1),"HATA: oda bu tarihlerde çakışıyor",IF(AND(F177="Bekleniyor",D177&lt;RaporTarihi),"HATA: giriş günü geçti, Geldi veya İptal yapın","OK"))))))))))))</f>
        <v/>
      </c>
      <c r="L177" s="25">
        <f>IF(AND(ISNUMBER(A177),F177&lt;&gt;"İptal",ISNUMBER(D177),ISNUMBER(E177),D177&lt;=RaporTarihi,E177&gt;RaporTarihi),A177,"")</f>
        <v/>
      </c>
    </row>
    <row r="178">
      <c r="A178" s="22" t="n"/>
      <c r="B178" s="22" t="n"/>
      <c r="C178" s="22" t="n"/>
      <c r="D178" s="23" t="n"/>
      <c r="E178" s="23" t="n"/>
      <c r="F178" s="22" t="n"/>
      <c r="G178" s="24" t="n"/>
      <c r="H178" s="22" t="n"/>
      <c r="I178" s="25">
        <f>IF(AND(ISNUMBER(D178),ISNUMBER(E178)),E178-D178,"")</f>
        <v/>
      </c>
      <c r="J178" s="26">
        <f>IF(AND(ISNUMBER(I178),ISNUMBER(G178)),IF(I178&gt;0,G178/I178,""),"")</f>
        <v/>
      </c>
      <c r="K178" s="25">
        <f>IF(COUNTA(A178:H178)=0,"",IF(OR(A178="",B178="",C178="",D178="",E178="",F178="",G178="",H178=""),"HATA: eksik bilgi",IF(COUNTIF(OdaListesi,A178)=0,"HATA: geçersiz oda no",IF(OR(NOT(ISNUMBER(D178)),NOT(ISNUMBER(E178))),"HATA: tarih geçersiz",IF(E178&lt;=D178,"HATA: çıkış girişten sonra olmalı",IF(OR(NOT(ISNUMBER(C178)),C178&lt;1,C178&gt;MaxKisi,C178&lt;&gt;INT(C178)),"HATA: kişi sayısı geçersiz",IF(OR(NOT(ISNUMBER(G178)),G178&lt;0),"HATA: tutar geçersiz",IF(B178&lt;&gt;TRIM(B178),"HATA: isimde baştaki/sondaki boşluk",IF(COUNTIF(KaynakAralik,H178)=0,"HATA: kaynak listede yok",IF(AND(F178&lt;&gt;"Bekleniyor",F178&lt;&gt;"Geldi",F178&lt;&gt;"İptal"),"HATA: giriş durumu geçersiz",IF(AND(F178&lt;&gt;"İptal",COUNTIFS($A$6:$A$1005,A178,$D$6:$D$1005,"&lt;"&amp;E178,$E$6:$E$1005,"&gt;"&amp;D178,$F$6:$F$1005,"&lt;&gt;İptal")&gt;1),"HATA: oda bu tarihlerde çakışıyor",IF(AND(F178="Bekleniyor",D178&lt;RaporTarihi),"HATA: giriş günü geçti, Geldi veya İptal yapın","OK"))))))))))))</f>
        <v/>
      </c>
      <c r="L178" s="25">
        <f>IF(AND(ISNUMBER(A178),F178&lt;&gt;"İptal",ISNUMBER(D178),ISNUMBER(E178),D178&lt;=RaporTarihi,E178&gt;RaporTarihi),A178,"")</f>
        <v/>
      </c>
    </row>
    <row r="179">
      <c r="A179" s="22" t="n"/>
      <c r="B179" s="22" t="n"/>
      <c r="C179" s="22" t="n"/>
      <c r="D179" s="23" t="n"/>
      <c r="E179" s="23" t="n"/>
      <c r="F179" s="22" t="n"/>
      <c r="G179" s="24" t="n"/>
      <c r="H179" s="22" t="n"/>
      <c r="I179" s="25">
        <f>IF(AND(ISNUMBER(D179),ISNUMBER(E179)),E179-D179,"")</f>
        <v/>
      </c>
      <c r="J179" s="26">
        <f>IF(AND(ISNUMBER(I179),ISNUMBER(G179)),IF(I179&gt;0,G179/I179,""),"")</f>
        <v/>
      </c>
      <c r="K179" s="25">
        <f>IF(COUNTA(A179:H179)=0,"",IF(OR(A179="",B179="",C179="",D179="",E179="",F179="",G179="",H179=""),"HATA: eksik bilgi",IF(COUNTIF(OdaListesi,A179)=0,"HATA: geçersiz oda no",IF(OR(NOT(ISNUMBER(D179)),NOT(ISNUMBER(E179))),"HATA: tarih geçersiz",IF(E179&lt;=D179,"HATA: çıkış girişten sonra olmalı",IF(OR(NOT(ISNUMBER(C179)),C179&lt;1,C179&gt;MaxKisi,C179&lt;&gt;INT(C179)),"HATA: kişi sayısı geçersiz",IF(OR(NOT(ISNUMBER(G179)),G179&lt;0),"HATA: tutar geçersiz",IF(B179&lt;&gt;TRIM(B179),"HATA: isimde baştaki/sondaki boşluk",IF(COUNTIF(KaynakAralik,H179)=0,"HATA: kaynak listede yok",IF(AND(F179&lt;&gt;"Bekleniyor",F179&lt;&gt;"Geldi",F179&lt;&gt;"İptal"),"HATA: giriş durumu geçersiz",IF(AND(F179&lt;&gt;"İptal",COUNTIFS($A$6:$A$1005,A179,$D$6:$D$1005,"&lt;"&amp;E179,$E$6:$E$1005,"&gt;"&amp;D179,$F$6:$F$1005,"&lt;&gt;İptal")&gt;1),"HATA: oda bu tarihlerde çakışıyor",IF(AND(F179="Bekleniyor",D179&lt;RaporTarihi),"HATA: giriş günü geçti, Geldi veya İptal yapın","OK"))))))))))))</f>
        <v/>
      </c>
      <c r="L179" s="25">
        <f>IF(AND(ISNUMBER(A179),F179&lt;&gt;"İptal",ISNUMBER(D179),ISNUMBER(E179),D179&lt;=RaporTarihi,E179&gt;RaporTarihi),A179,"")</f>
        <v/>
      </c>
    </row>
    <row r="180">
      <c r="A180" s="22" t="n"/>
      <c r="B180" s="22" t="n"/>
      <c r="C180" s="22" t="n"/>
      <c r="D180" s="23" t="n"/>
      <c r="E180" s="23" t="n"/>
      <c r="F180" s="22" t="n"/>
      <c r="G180" s="24" t="n"/>
      <c r="H180" s="22" t="n"/>
      <c r="I180" s="25">
        <f>IF(AND(ISNUMBER(D180),ISNUMBER(E180)),E180-D180,"")</f>
        <v/>
      </c>
      <c r="J180" s="26">
        <f>IF(AND(ISNUMBER(I180),ISNUMBER(G180)),IF(I180&gt;0,G180/I180,""),"")</f>
        <v/>
      </c>
      <c r="K180" s="25">
        <f>IF(COUNTA(A180:H180)=0,"",IF(OR(A180="",B180="",C180="",D180="",E180="",F180="",G180="",H180=""),"HATA: eksik bilgi",IF(COUNTIF(OdaListesi,A180)=0,"HATA: geçersiz oda no",IF(OR(NOT(ISNUMBER(D180)),NOT(ISNUMBER(E180))),"HATA: tarih geçersiz",IF(E180&lt;=D180,"HATA: çıkış girişten sonra olmalı",IF(OR(NOT(ISNUMBER(C180)),C180&lt;1,C180&gt;MaxKisi,C180&lt;&gt;INT(C180)),"HATA: kişi sayısı geçersiz",IF(OR(NOT(ISNUMBER(G180)),G180&lt;0),"HATA: tutar geçersiz",IF(B180&lt;&gt;TRIM(B180),"HATA: isimde baştaki/sondaki boşluk",IF(COUNTIF(KaynakAralik,H180)=0,"HATA: kaynak listede yok",IF(AND(F180&lt;&gt;"Bekleniyor",F180&lt;&gt;"Geldi",F180&lt;&gt;"İptal"),"HATA: giriş durumu geçersiz",IF(AND(F180&lt;&gt;"İptal",COUNTIFS($A$6:$A$1005,A180,$D$6:$D$1005,"&lt;"&amp;E180,$E$6:$E$1005,"&gt;"&amp;D180,$F$6:$F$1005,"&lt;&gt;İptal")&gt;1),"HATA: oda bu tarihlerde çakışıyor",IF(AND(F180="Bekleniyor",D180&lt;RaporTarihi),"HATA: giriş günü geçti, Geldi veya İptal yapın","OK"))))))))))))</f>
        <v/>
      </c>
      <c r="L180" s="25">
        <f>IF(AND(ISNUMBER(A180),F180&lt;&gt;"İptal",ISNUMBER(D180),ISNUMBER(E180),D180&lt;=RaporTarihi,E180&gt;RaporTarihi),A180,"")</f>
        <v/>
      </c>
    </row>
    <row r="181">
      <c r="A181" s="22" t="n"/>
      <c r="B181" s="22" t="n"/>
      <c r="C181" s="22" t="n"/>
      <c r="D181" s="23" t="n"/>
      <c r="E181" s="23" t="n"/>
      <c r="F181" s="22" t="n"/>
      <c r="G181" s="24" t="n"/>
      <c r="H181" s="22" t="n"/>
      <c r="I181" s="25">
        <f>IF(AND(ISNUMBER(D181),ISNUMBER(E181)),E181-D181,"")</f>
        <v/>
      </c>
      <c r="J181" s="26">
        <f>IF(AND(ISNUMBER(I181),ISNUMBER(G181)),IF(I181&gt;0,G181/I181,""),"")</f>
        <v/>
      </c>
      <c r="K181" s="25">
        <f>IF(COUNTA(A181:H181)=0,"",IF(OR(A181="",B181="",C181="",D181="",E181="",F181="",G181="",H181=""),"HATA: eksik bilgi",IF(COUNTIF(OdaListesi,A181)=0,"HATA: geçersiz oda no",IF(OR(NOT(ISNUMBER(D181)),NOT(ISNUMBER(E181))),"HATA: tarih geçersiz",IF(E181&lt;=D181,"HATA: çıkış girişten sonra olmalı",IF(OR(NOT(ISNUMBER(C181)),C181&lt;1,C181&gt;MaxKisi,C181&lt;&gt;INT(C181)),"HATA: kişi sayısı geçersiz",IF(OR(NOT(ISNUMBER(G181)),G181&lt;0),"HATA: tutar geçersiz",IF(B181&lt;&gt;TRIM(B181),"HATA: isimde baştaki/sondaki boşluk",IF(COUNTIF(KaynakAralik,H181)=0,"HATA: kaynak listede yok",IF(AND(F181&lt;&gt;"Bekleniyor",F181&lt;&gt;"Geldi",F181&lt;&gt;"İptal"),"HATA: giriş durumu geçersiz",IF(AND(F181&lt;&gt;"İptal",COUNTIFS($A$6:$A$1005,A181,$D$6:$D$1005,"&lt;"&amp;E181,$E$6:$E$1005,"&gt;"&amp;D181,$F$6:$F$1005,"&lt;&gt;İptal")&gt;1),"HATA: oda bu tarihlerde çakışıyor",IF(AND(F181="Bekleniyor",D181&lt;RaporTarihi),"HATA: giriş günü geçti, Geldi veya İptal yapın","OK"))))))))))))</f>
        <v/>
      </c>
      <c r="L181" s="25">
        <f>IF(AND(ISNUMBER(A181),F181&lt;&gt;"İptal",ISNUMBER(D181),ISNUMBER(E181),D181&lt;=RaporTarihi,E181&gt;RaporTarihi),A181,"")</f>
        <v/>
      </c>
    </row>
    <row r="182">
      <c r="A182" s="22" t="n"/>
      <c r="B182" s="22" t="n"/>
      <c r="C182" s="22" t="n"/>
      <c r="D182" s="23" t="n"/>
      <c r="E182" s="23" t="n"/>
      <c r="F182" s="22" t="n"/>
      <c r="G182" s="24" t="n"/>
      <c r="H182" s="22" t="n"/>
      <c r="I182" s="25">
        <f>IF(AND(ISNUMBER(D182),ISNUMBER(E182)),E182-D182,"")</f>
        <v/>
      </c>
      <c r="J182" s="26">
        <f>IF(AND(ISNUMBER(I182),ISNUMBER(G182)),IF(I182&gt;0,G182/I182,""),"")</f>
        <v/>
      </c>
      <c r="K182" s="25">
        <f>IF(COUNTA(A182:H182)=0,"",IF(OR(A182="",B182="",C182="",D182="",E182="",F182="",G182="",H182=""),"HATA: eksik bilgi",IF(COUNTIF(OdaListesi,A182)=0,"HATA: geçersiz oda no",IF(OR(NOT(ISNUMBER(D182)),NOT(ISNUMBER(E182))),"HATA: tarih geçersiz",IF(E182&lt;=D182,"HATA: çıkış girişten sonra olmalı",IF(OR(NOT(ISNUMBER(C182)),C182&lt;1,C182&gt;MaxKisi,C182&lt;&gt;INT(C182)),"HATA: kişi sayısı geçersiz",IF(OR(NOT(ISNUMBER(G182)),G182&lt;0),"HATA: tutar geçersiz",IF(B182&lt;&gt;TRIM(B182),"HATA: isimde baştaki/sondaki boşluk",IF(COUNTIF(KaynakAralik,H182)=0,"HATA: kaynak listede yok",IF(AND(F182&lt;&gt;"Bekleniyor",F182&lt;&gt;"Geldi",F182&lt;&gt;"İptal"),"HATA: giriş durumu geçersiz",IF(AND(F182&lt;&gt;"İptal",COUNTIFS($A$6:$A$1005,A182,$D$6:$D$1005,"&lt;"&amp;E182,$E$6:$E$1005,"&gt;"&amp;D182,$F$6:$F$1005,"&lt;&gt;İptal")&gt;1),"HATA: oda bu tarihlerde çakışıyor",IF(AND(F182="Bekleniyor",D182&lt;RaporTarihi),"HATA: giriş günü geçti, Geldi veya İptal yapın","OK"))))))))))))</f>
        <v/>
      </c>
      <c r="L182" s="25">
        <f>IF(AND(ISNUMBER(A182),F182&lt;&gt;"İptal",ISNUMBER(D182),ISNUMBER(E182),D182&lt;=RaporTarihi,E182&gt;RaporTarihi),A182,"")</f>
        <v/>
      </c>
    </row>
    <row r="183">
      <c r="A183" s="22" t="n"/>
      <c r="B183" s="22" t="n"/>
      <c r="C183" s="22" t="n"/>
      <c r="D183" s="23" t="n"/>
      <c r="E183" s="23" t="n"/>
      <c r="F183" s="22" t="n"/>
      <c r="G183" s="24" t="n"/>
      <c r="H183" s="22" t="n"/>
      <c r="I183" s="25">
        <f>IF(AND(ISNUMBER(D183),ISNUMBER(E183)),E183-D183,"")</f>
        <v/>
      </c>
      <c r="J183" s="26">
        <f>IF(AND(ISNUMBER(I183),ISNUMBER(G183)),IF(I183&gt;0,G183/I183,""),"")</f>
        <v/>
      </c>
      <c r="K183" s="25">
        <f>IF(COUNTA(A183:H183)=0,"",IF(OR(A183="",B183="",C183="",D183="",E183="",F183="",G183="",H183=""),"HATA: eksik bilgi",IF(COUNTIF(OdaListesi,A183)=0,"HATA: geçersiz oda no",IF(OR(NOT(ISNUMBER(D183)),NOT(ISNUMBER(E183))),"HATA: tarih geçersiz",IF(E183&lt;=D183,"HATA: çıkış girişten sonra olmalı",IF(OR(NOT(ISNUMBER(C183)),C183&lt;1,C183&gt;MaxKisi,C183&lt;&gt;INT(C183)),"HATA: kişi sayısı geçersiz",IF(OR(NOT(ISNUMBER(G183)),G183&lt;0),"HATA: tutar geçersiz",IF(B183&lt;&gt;TRIM(B183),"HATA: isimde baştaki/sondaki boşluk",IF(COUNTIF(KaynakAralik,H183)=0,"HATA: kaynak listede yok",IF(AND(F183&lt;&gt;"Bekleniyor",F183&lt;&gt;"Geldi",F183&lt;&gt;"İptal"),"HATA: giriş durumu geçersiz",IF(AND(F183&lt;&gt;"İptal",COUNTIFS($A$6:$A$1005,A183,$D$6:$D$1005,"&lt;"&amp;E183,$E$6:$E$1005,"&gt;"&amp;D183,$F$6:$F$1005,"&lt;&gt;İptal")&gt;1),"HATA: oda bu tarihlerde çakışıyor",IF(AND(F183="Bekleniyor",D183&lt;RaporTarihi),"HATA: giriş günü geçti, Geldi veya İptal yapın","OK"))))))))))))</f>
        <v/>
      </c>
      <c r="L183" s="25">
        <f>IF(AND(ISNUMBER(A183),F183&lt;&gt;"İptal",ISNUMBER(D183),ISNUMBER(E183),D183&lt;=RaporTarihi,E183&gt;RaporTarihi),A183,"")</f>
        <v/>
      </c>
    </row>
    <row r="184">
      <c r="A184" s="22" t="n"/>
      <c r="B184" s="22" t="n"/>
      <c r="C184" s="22" t="n"/>
      <c r="D184" s="23" t="n"/>
      <c r="E184" s="23" t="n"/>
      <c r="F184" s="22" t="n"/>
      <c r="G184" s="24" t="n"/>
      <c r="H184" s="22" t="n"/>
      <c r="I184" s="25">
        <f>IF(AND(ISNUMBER(D184),ISNUMBER(E184)),E184-D184,"")</f>
        <v/>
      </c>
      <c r="J184" s="26">
        <f>IF(AND(ISNUMBER(I184),ISNUMBER(G184)),IF(I184&gt;0,G184/I184,""),"")</f>
        <v/>
      </c>
      <c r="K184" s="25">
        <f>IF(COUNTA(A184:H184)=0,"",IF(OR(A184="",B184="",C184="",D184="",E184="",F184="",G184="",H184=""),"HATA: eksik bilgi",IF(COUNTIF(OdaListesi,A184)=0,"HATA: geçersiz oda no",IF(OR(NOT(ISNUMBER(D184)),NOT(ISNUMBER(E184))),"HATA: tarih geçersiz",IF(E184&lt;=D184,"HATA: çıkış girişten sonra olmalı",IF(OR(NOT(ISNUMBER(C184)),C184&lt;1,C184&gt;MaxKisi,C184&lt;&gt;INT(C184)),"HATA: kişi sayısı geçersiz",IF(OR(NOT(ISNUMBER(G184)),G184&lt;0),"HATA: tutar geçersiz",IF(B184&lt;&gt;TRIM(B184),"HATA: isimde baştaki/sondaki boşluk",IF(COUNTIF(KaynakAralik,H184)=0,"HATA: kaynak listede yok",IF(AND(F184&lt;&gt;"Bekleniyor",F184&lt;&gt;"Geldi",F184&lt;&gt;"İptal"),"HATA: giriş durumu geçersiz",IF(AND(F184&lt;&gt;"İptal",COUNTIFS($A$6:$A$1005,A184,$D$6:$D$1005,"&lt;"&amp;E184,$E$6:$E$1005,"&gt;"&amp;D184,$F$6:$F$1005,"&lt;&gt;İptal")&gt;1),"HATA: oda bu tarihlerde çakışıyor",IF(AND(F184="Bekleniyor",D184&lt;RaporTarihi),"HATA: giriş günü geçti, Geldi veya İptal yapın","OK"))))))))))))</f>
        <v/>
      </c>
      <c r="L184" s="25">
        <f>IF(AND(ISNUMBER(A184),F184&lt;&gt;"İptal",ISNUMBER(D184),ISNUMBER(E184),D184&lt;=RaporTarihi,E184&gt;RaporTarihi),A184,"")</f>
        <v/>
      </c>
    </row>
    <row r="185">
      <c r="A185" s="22" t="n"/>
      <c r="B185" s="22" t="n"/>
      <c r="C185" s="22" t="n"/>
      <c r="D185" s="23" t="n"/>
      <c r="E185" s="23" t="n"/>
      <c r="F185" s="22" t="n"/>
      <c r="G185" s="24" t="n"/>
      <c r="H185" s="22" t="n"/>
      <c r="I185" s="25">
        <f>IF(AND(ISNUMBER(D185),ISNUMBER(E185)),E185-D185,"")</f>
        <v/>
      </c>
      <c r="J185" s="26">
        <f>IF(AND(ISNUMBER(I185),ISNUMBER(G185)),IF(I185&gt;0,G185/I185,""),"")</f>
        <v/>
      </c>
      <c r="K185" s="25">
        <f>IF(COUNTA(A185:H185)=0,"",IF(OR(A185="",B185="",C185="",D185="",E185="",F185="",G185="",H185=""),"HATA: eksik bilgi",IF(COUNTIF(OdaListesi,A185)=0,"HATA: geçersiz oda no",IF(OR(NOT(ISNUMBER(D185)),NOT(ISNUMBER(E185))),"HATA: tarih geçersiz",IF(E185&lt;=D185,"HATA: çıkış girişten sonra olmalı",IF(OR(NOT(ISNUMBER(C185)),C185&lt;1,C185&gt;MaxKisi,C185&lt;&gt;INT(C185)),"HATA: kişi sayısı geçersiz",IF(OR(NOT(ISNUMBER(G185)),G185&lt;0),"HATA: tutar geçersiz",IF(B185&lt;&gt;TRIM(B185),"HATA: isimde baştaki/sondaki boşluk",IF(COUNTIF(KaynakAralik,H185)=0,"HATA: kaynak listede yok",IF(AND(F185&lt;&gt;"Bekleniyor",F185&lt;&gt;"Geldi",F185&lt;&gt;"İptal"),"HATA: giriş durumu geçersiz",IF(AND(F185&lt;&gt;"İptal",COUNTIFS($A$6:$A$1005,A185,$D$6:$D$1005,"&lt;"&amp;E185,$E$6:$E$1005,"&gt;"&amp;D185,$F$6:$F$1005,"&lt;&gt;İptal")&gt;1),"HATA: oda bu tarihlerde çakışıyor",IF(AND(F185="Bekleniyor",D185&lt;RaporTarihi),"HATA: giriş günü geçti, Geldi veya İptal yapın","OK"))))))))))))</f>
        <v/>
      </c>
      <c r="L185" s="25">
        <f>IF(AND(ISNUMBER(A185),F185&lt;&gt;"İptal",ISNUMBER(D185),ISNUMBER(E185),D185&lt;=RaporTarihi,E185&gt;RaporTarihi),A185,"")</f>
        <v/>
      </c>
    </row>
    <row r="186">
      <c r="A186" s="22" t="n"/>
      <c r="B186" s="22" t="n"/>
      <c r="C186" s="22" t="n"/>
      <c r="D186" s="23" t="n"/>
      <c r="E186" s="23" t="n"/>
      <c r="F186" s="22" t="n"/>
      <c r="G186" s="24" t="n"/>
      <c r="H186" s="22" t="n"/>
      <c r="I186" s="25">
        <f>IF(AND(ISNUMBER(D186),ISNUMBER(E186)),E186-D186,"")</f>
        <v/>
      </c>
      <c r="J186" s="26">
        <f>IF(AND(ISNUMBER(I186),ISNUMBER(G186)),IF(I186&gt;0,G186/I186,""),"")</f>
        <v/>
      </c>
      <c r="K186" s="25">
        <f>IF(COUNTA(A186:H186)=0,"",IF(OR(A186="",B186="",C186="",D186="",E186="",F186="",G186="",H186=""),"HATA: eksik bilgi",IF(COUNTIF(OdaListesi,A186)=0,"HATA: geçersiz oda no",IF(OR(NOT(ISNUMBER(D186)),NOT(ISNUMBER(E186))),"HATA: tarih geçersiz",IF(E186&lt;=D186,"HATA: çıkış girişten sonra olmalı",IF(OR(NOT(ISNUMBER(C186)),C186&lt;1,C186&gt;MaxKisi,C186&lt;&gt;INT(C186)),"HATA: kişi sayısı geçersiz",IF(OR(NOT(ISNUMBER(G186)),G186&lt;0),"HATA: tutar geçersiz",IF(B186&lt;&gt;TRIM(B186),"HATA: isimde baştaki/sondaki boşluk",IF(COUNTIF(KaynakAralik,H186)=0,"HATA: kaynak listede yok",IF(AND(F186&lt;&gt;"Bekleniyor",F186&lt;&gt;"Geldi",F186&lt;&gt;"İptal"),"HATA: giriş durumu geçersiz",IF(AND(F186&lt;&gt;"İptal",COUNTIFS($A$6:$A$1005,A186,$D$6:$D$1005,"&lt;"&amp;E186,$E$6:$E$1005,"&gt;"&amp;D186,$F$6:$F$1005,"&lt;&gt;İptal")&gt;1),"HATA: oda bu tarihlerde çakışıyor",IF(AND(F186="Bekleniyor",D186&lt;RaporTarihi),"HATA: giriş günü geçti, Geldi veya İptal yapın","OK"))))))))))))</f>
        <v/>
      </c>
      <c r="L186" s="25">
        <f>IF(AND(ISNUMBER(A186),F186&lt;&gt;"İptal",ISNUMBER(D186),ISNUMBER(E186),D186&lt;=RaporTarihi,E186&gt;RaporTarihi),A186,"")</f>
        <v/>
      </c>
    </row>
    <row r="187">
      <c r="A187" s="22" t="n"/>
      <c r="B187" s="22" t="n"/>
      <c r="C187" s="22" t="n"/>
      <c r="D187" s="23" t="n"/>
      <c r="E187" s="23" t="n"/>
      <c r="F187" s="22" t="n"/>
      <c r="G187" s="24" t="n"/>
      <c r="H187" s="22" t="n"/>
      <c r="I187" s="25">
        <f>IF(AND(ISNUMBER(D187),ISNUMBER(E187)),E187-D187,"")</f>
        <v/>
      </c>
      <c r="J187" s="26">
        <f>IF(AND(ISNUMBER(I187),ISNUMBER(G187)),IF(I187&gt;0,G187/I187,""),"")</f>
        <v/>
      </c>
      <c r="K187" s="25">
        <f>IF(COUNTA(A187:H187)=0,"",IF(OR(A187="",B187="",C187="",D187="",E187="",F187="",G187="",H187=""),"HATA: eksik bilgi",IF(COUNTIF(OdaListesi,A187)=0,"HATA: geçersiz oda no",IF(OR(NOT(ISNUMBER(D187)),NOT(ISNUMBER(E187))),"HATA: tarih geçersiz",IF(E187&lt;=D187,"HATA: çıkış girişten sonra olmalı",IF(OR(NOT(ISNUMBER(C187)),C187&lt;1,C187&gt;MaxKisi,C187&lt;&gt;INT(C187)),"HATA: kişi sayısı geçersiz",IF(OR(NOT(ISNUMBER(G187)),G187&lt;0),"HATA: tutar geçersiz",IF(B187&lt;&gt;TRIM(B187),"HATA: isimde baştaki/sondaki boşluk",IF(COUNTIF(KaynakAralik,H187)=0,"HATA: kaynak listede yok",IF(AND(F187&lt;&gt;"Bekleniyor",F187&lt;&gt;"Geldi",F187&lt;&gt;"İptal"),"HATA: giriş durumu geçersiz",IF(AND(F187&lt;&gt;"İptal",COUNTIFS($A$6:$A$1005,A187,$D$6:$D$1005,"&lt;"&amp;E187,$E$6:$E$1005,"&gt;"&amp;D187,$F$6:$F$1005,"&lt;&gt;İptal")&gt;1),"HATA: oda bu tarihlerde çakışıyor",IF(AND(F187="Bekleniyor",D187&lt;RaporTarihi),"HATA: giriş günü geçti, Geldi veya İptal yapın","OK"))))))))))))</f>
        <v/>
      </c>
      <c r="L187" s="25">
        <f>IF(AND(ISNUMBER(A187),F187&lt;&gt;"İptal",ISNUMBER(D187),ISNUMBER(E187),D187&lt;=RaporTarihi,E187&gt;RaporTarihi),A187,"")</f>
        <v/>
      </c>
    </row>
    <row r="188">
      <c r="A188" s="22" t="n"/>
      <c r="B188" s="22" t="n"/>
      <c r="C188" s="22" t="n"/>
      <c r="D188" s="23" t="n"/>
      <c r="E188" s="23" t="n"/>
      <c r="F188" s="22" t="n"/>
      <c r="G188" s="24" t="n"/>
      <c r="H188" s="22" t="n"/>
      <c r="I188" s="25">
        <f>IF(AND(ISNUMBER(D188),ISNUMBER(E188)),E188-D188,"")</f>
        <v/>
      </c>
      <c r="J188" s="26">
        <f>IF(AND(ISNUMBER(I188),ISNUMBER(G188)),IF(I188&gt;0,G188/I188,""),"")</f>
        <v/>
      </c>
      <c r="K188" s="25">
        <f>IF(COUNTA(A188:H188)=0,"",IF(OR(A188="",B188="",C188="",D188="",E188="",F188="",G188="",H188=""),"HATA: eksik bilgi",IF(COUNTIF(OdaListesi,A188)=0,"HATA: geçersiz oda no",IF(OR(NOT(ISNUMBER(D188)),NOT(ISNUMBER(E188))),"HATA: tarih geçersiz",IF(E188&lt;=D188,"HATA: çıkış girişten sonra olmalı",IF(OR(NOT(ISNUMBER(C188)),C188&lt;1,C188&gt;MaxKisi,C188&lt;&gt;INT(C188)),"HATA: kişi sayısı geçersiz",IF(OR(NOT(ISNUMBER(G188)),G188&lt;0),"HATA: tutar geçersiz",IF(B188&lt;&gt;TRIM(B188),"HATA: isimde baştaki/sondaki boşluk",IF(COUNTIF(KaynakAralik,H188)=0,"HATA: kaynak listede yok",IF(AND(F188&lt;&gt;"Bekleniyor",F188&lt;&gt;"Geldi",F188&lt;&gt;"İptal"),"HATA: giriş durumu geçersiz",IF(AND(F188&lt;&gt;"İptal",COUNTIFS($A$6:$A$1005,A188,$D$6:$D$1005,"&lt;"&amp;E188,$E$6:$E$1005,"&gt;"&amp;D188,$F$6:$F$1005,"&lt;&gt;İptal")&gt;1),"HATA: oda bu tarihlerde çakışıyor",IF(AND(F188="Bekleniyor",D188&lt;RaporTarihi),"HATA: giriş günü geçti, Geldi veya İptal yapın","OK"))))))))))))</f>
        <v/>
      </c>
      <c r="L188" s="25">
        <f>IF(AND(ISNUMBER(A188),F188&lt;&gt;"İptal",ISNUMBER(D188),ISNUMBER(E188),D188&lt;=RaporTarihi,E188&gt;RaporTarihi),A188,"")</f>
        <v/>
      </c>
    </row>
    <row r="189">
      <c r="A189" s="22" t="n"/>
      <c r="B189" s="22" t="n"/>
      <c r="C189" s="22" t="n"/>
      <c r="D189" s="23" t="n"/>
      <c r="E189" s="23" t="n"/>
      <c r="F189" s="22" t="n"/>
      <c r="G189" s="24" t="n"/>
      <c r="H189" s="22" t="n"/>
      <c r="I189" s="25">
        <f>IF(AND(ISNUMBER(D189),ISNUMBER(E189)),E189-D189,"")</f>
        <v/>
      </c>
      <c r="J189" s="26">
        <f>IF(AND(ISNUMBER(I189),ISNUMBER(G189)),IF(I189&gt;0,G189/I189,""),"")</f>
        <v/>
      </c>
      <c r="K189" s="25">
        <f>IF(COUNTA(A189:H189)=0,"",IF(OR(A189="",B189="",C189="",D189="",E189="",F189="",G189="",H189=""),"HATA: eksik bilgi",IF(COUNTIF(OdaListesi,A189)=0,"HATA: geçersiz oda no",IF(OR(NOT(ISNUMBER(D189)),NOT(ISNUMBER(E189))),"HATA: tarih geçersiz",IF(E189&lt;=D189,"HATA: çıkış girişten sonra olmalı",IF(OR(NOT(ISNUMBER(C189)),C189&lt;1,C189&gt;MaxKisi,C189&lt;&gt;INT(C189)),"HATA: kişi sayısı geçersiz",IF(OR(NOT(ISNUMBER(G189)),G189&lt;0),"HATA: tutar geçersiz",IF(B189&lt;&gt;TRIM(B189),"HATA: isimde baştaki/sondaki boşluk",IF(COUNTIF(KaynakAralik,H189)=0,"HATA: kaynak listede yok",IF(AND(F189&lt;&gt;"Bekleniyor",F189&lt;&gt;"Geldi",F189&lt;&gt;"İptal"),"HATA: giriş durumu geçersiz",IF(AND(F189&lt;&gt;"İptal",COUNTIFS($A$6:$A$1005,A189,$D$6:$D$1005,"&lt;"&amp;E189,$E$6:$E$1005,"&gt;"&amp;D189,$F$6:$F$1005,"&lt;&gt;İptal")&gt;1),"HATA: oda bu tarihlerde çakışıyor",IF(AND(F189="Bekleniyor",D189&lt;RaporTarihi),"HATA: giriş günü geçti, Geldi veya İptal yapın","OK"))))))))))))</f>
        <v/>
      </c>
      <c r="L189" s="25">
        <f>IF(AND(ISNUMBER(A189),F189&lt;&gt;"İptal",ISNUMBER(D189),ISNUMBER(E189),D189&lt;=RaporTarihi,E189&gt;RaporTarihi),A189,"")</f>
        <v/>
      </c>
    </row>
    <row r="190">
      <c r="A190" s="22" t="n"/>
      <c r="B190" s="22" t="n"/>
      <c r="C190" s="22" t="n"/>
      <c r="D190" s="23" t="n"/>
      <c r="E190" s="23" t="n"/>
      <c r="F190" s="22" t="n"/>
      <c r="G190" s="24" t="n"/>
      <c r="H190" s="22" t="n"/>
      <c r="I190" s="25">
        <f>IF(AND(ISNUMBER(D190),ISNUMBER(E190)),E190-D190,"")</f>
        <v/>
      </c>
      <c r="J190" s="26">
        <f>IF(AND(ISNUMBER(I190),ISNUMBER(G190)),IF(I190&gt;0,G190/I190,""),"")</f>
        <v/>
      </c>
      <c r="K190" s="25">
        <f>IF(COUNTA(A190:H190)=0,"",IF(OR(A190="",B190="",C190="",D190="",E190="",F190="",G190="",H190=""),"HATA: eksik bilgi",IF(COUNTIF(OdaListesi,A190)=0,"HATA: geçersiz oda no",IF(OR(NOT(ISNUMBER(D190)),NOT(ISNUMBER(E190))),"HATA: tarih geçersiz",IF(E190&lt;=D190,"HATA: çıkış girişten sonra olmalı",IF(OR(NOT(ISNUMBER(C190)),C190&lt;1,C190&gt;MaxKisi,C190&lt;&gt;INT(C190)),"HATA: kişi sayısı geçersiz",IF(OR(NOT(ISNUMBER(G190)),G190&lt;0),"HATA: tutar geçersiz",IF(B190&lt;&gt;TRIM(B190),"HATA: isimde baştaki/sondaki boşluk",IF(COUNTIF(KaynakAralik,H190)=0,"HATA: kaynak listede yok",IF(AND(F190&lt;&gt;"Bekleniyor",F190&lt;&gt;"Geldi",F190&lt;&gt;"İptal"),"HATA: giriş durumu geçersiz",IF(AND(F190&lt;&gt;"İptal",COUNTIFS($A$6:$A$1005,A190,$D$6:$D$1005,"&lt;"&amp;E190,$E$6:$E$1005,"&gt;"&amp;D190,$F$6:$F$1005,"&lt;&gt;İptal")&gt;1),"HATA: oda bu tarihlerde çakışıyor",IF(AND(F190="Bekleniyor",D190&lt;RaporTarihi),"HATA: giriş günü geçti, Geldi veya İptal yapın","OK"))))))))))))</f>
        <v/>
      </c>
      <c r="L190" s="25">
        <f>IF(AND(ISNUMBER(A190),F190&lt;&gt;"İptal",ISNUMBER(D190),ISNUMBER(E190),D190&lt;=RaporTarihi,E190&gt;RaporTarihi),A190,"")</f>
        <v/>
      </c>
    </row>
    <row r="191">
      <c r="A191" s="22" t="n"/>
      <c r="B191" s="22" t="n"/>
      <c r="C191" s="22" t="n"/>
      <c r="D191" s="23" t="n"/>
      <c r="E191" s="23" t="n"/>
      <c r="F191" s="22" t="n"/>
      <c r="G191" s="24" t="n"/>
      <c r="H191" s="22" t="n"/>
      <c r="I191" s="25">
        <f>IF(AND(ISNUMBER(D191),ISNUMBER(E191)),E191-D191,"")</f>
        <v/>
      </c>
      <c r="J191" s="26">
        <f>IF(AND(ISNUMBER(I191),ISNUMBER(G191)),IF(I191&gt;0,G191/I191,""),"")</f>
        <v/>
      </c>
      <c r="K191" s="25">
        <f>IF(COUNTA(A191:H191)=0,"",IF(OR(A191="",B191="",C191="",D191="",E191="",F191="",G191="",H191=""),"HATA: eksik bilgi",IF(COUNTIF(OdaListesi,A191)=0,"HATA: geçersiz oda no",IF(OR(NOT(ISNUMBER(D191)),NOT(ISNUMBER(E191))),"HATA: tarih geçersiz",IF(E191&lt;=D191,"HATA: çıkış girişten sonra olmalı",IF(OR(NOT(ISNUMBER(C191)),C191&lt;1,C191&gt;MaxKisi,C191&lt;&gt;INT(C191)),"HATA: kişi sayısı geçersiz",IF(OR(NOT(ISNUMBER(G191)),G191&lt;0),"HATA: tutar geçersiz",IF(B191&lt;&gt;TRIM(B191),"HATA: isimde baştaki/sondaki boşluk",IF(COUNTIF(KaynakAralik,H191)=0,"HATA: kaynak listede yok",IF(AND(F191&lt;&gt;"Bekleniyor",F191&lt;&gt;"Geldi",F191&lt;&gt;"İptal"),"HATA: giriş durumu geçersiz",IF(AND(F191&lt;&gt;"İptal",COUNTIFS($A$6:$A$1005,A191,$D$6:$D$1005,"&lt;"&amp;E191,$E$6:$E$1005,"&gt;"&amp;D191,$F$6:$F$1005,"&lt;&gt;İptal")&gt;1),"HATA: oda bu tarihlerde çakışıyor",IF(AND(F191="Bekleniyor",D191&lt;RaporTarihi),"HATA: giriş günü geçti, Geldi veya İptal yapın","OK"))))))))))))</f>
        <v/>
      </c>
      <c r="L191" s="25">
        <f>IF(AND(ISNUMBER(A191),F191&lt;&gt;"İptal",ISNUMBER(D191),ISNUMBER(E191),D191&lt;=RaporTarihi,E191&gt;RaporTarihi),A191,"")</f>
        <v/>
      </c>
    </row>
    <row r="192">
      <c r="A192" s="22" t="n"/>
      <c r="B192" s="22" t="n"/>
      <c r="C192" s="22" t="n"/>
      <c r="D192" s="23" t="n"/>
      <c r="E192" s="23" t="n"/>
      <c r="F192" s="22" t="n"/>
      <c r="G192" s="24" t="n"/>
      <c r="H192" s="22" t="n"/>
      <c r="I192" s="25">
        <f>IF(AND(ISNUMBER(D192),ISNUMBER(E192)),E192-D192,"")</f>
        <v/>
      </c>
      <c r="J192" s="26">
        <f>IF(AND(ISNUMBER(I192),ISNUMBER(G192)),IF(I192&gt;0,G192/I192,""),"")</f>
        <v/>
      </c>
      <c r="K192" s="25">
        <f>IF(COUNTA(A192:H192)=0,"",IF(OR(A192="",B192="",C192="",D192="",E192="",F192="",G192="",H192=""),"HATA: eksik bilgi",IF(COUNTIF(OdaListesi,A192)=0,"HATA: geçersiz oda no",IF(OR(NOT(ISNUMBER(D192)),NOT(ISNUMBER(E192))),"HATA: tarih geçersiz",IF(E192&lt;=D192,"HATA: çıkış girişten sonra olmalı",IF(OR(NOT(ISNUMBER(C192)),C192&lt;1,C192&gt;MaxKisi,C192&lt;&gt;INT(C192)),"HATA: kişi sayısı geçersiz",IF(OR(NOT(ISNUMBER(G192)),G192&lt;0),"HATA: tutar geçersiz",IF(B192&lt;&gt;TRIM(B192),"HATA: isimde baştaki/sondaki boşluk",IF(COUNTIF(KaynakAralik,H192)=0,"HATA: kaynak listede yok",IF(AND(F192&lt;&gt;"Bekleniyor",F192&lt;&gt;"Geldi",F192&lt;&gt;"İptal"),"HATA: giriş durumu geçersiz",IF(AND(F192&lt;&gt;"İptal",COUNTIFS($A$6:$A$1005,A192,$D$6:$D$1005,"&lt;"&amp;E192,$E$6:$E$1005,"&gt;"&amp;D192,$F$6:$F$1005,"&lt;&gt;İptal")&gt;1),"HATA: oda bu tarihlerde çakışıyor",IF(AND(F192="Bekleniyor",D192&lt;RaporTarihi),"HATA: giriş günü geçti, Geldi veya İptal yapın","OK"))))))))))))</f>
        <v/>
      </c>
      <c r="L192" s="25">
        <f>IF(AND(ISNUMBER(A192),F192&lt;&gt;"İptal",ISNUMBER(D192),ISNUMBER(E192),D192&lt;=RaporTarihi,E192&gt;RaporTarihi),A192,"")</f>
        <v/>
      </c>
    </row>
    <row r="193">
      <c r="A193" s="22" t="n"/>
      <c r="B193" s="22" t="n"/>
      <c r="C193" s="22" t="n"/>
      <c r="D193" s="23" t="n"/>
      <c r="E193" s="23" t="n"/>
      <c r="F193" s="22" t="n"/>
      <c r="G193" s="24" t="n"/>
      <c r="H193" s="22" t="n"/>
      <c r="I193" s="25">
        <f>IF(AND(ISNUMBER(D193),ISNUMBER(E193)),E193-D193,"")</f>
        <v/>
      </c>
      <c r="J193" s="26">
        <f>IF(AND(ISNUMBER(I193),ISNUMBER(G193)),IF(I193&gt;0,G193/I193,""),"")</f>
        <v/>
      </c>
      <c r="K193" s="25">
        <f>IF(COUNTA(A193:H193)=0,"",IF(OR(A193="",B193="",C193="",D193="",E193="",F193="",G193="",H193=""),"HATA: eksik bilgi",IF(COUNTIF(OdaListesi,A193)=0,"HATA: geçersiz oda no",IF(OR(NOT(ISNUMBER(D193)),NOT(ISNUMBER(E193))),"HATA: tarih geçersiz",IF(E193&lt;=D193,"HATA: çıkış girişten sonra olmalı",IF(OR(NOT(ISNUMBER(C193)),C193&lt;1,C193&gt;MaxKisi,C193&lt;&gt;INT(C193)),"HATA: kişi sayısı geçersiz",IF(OR(NOT(ISNUMBER(G193)),G193&lt;0),"HATA: tutar geçersiz",IF(B193&lt;&gt;TRIM(B193),"HATA: isimde baştaki/sondaki boşluk",IF(COUNTIF(KaynakAralik,H193)=0,"HATA: kaynak listede yok",IF(AND(F193&lt;&gt;"Bekleniyor",F193&lt;&gt;"Geldi",F193&lt;&gt;"İptal"),"HATA: giriş durumu geçersiz",IF(AND(F193&lt;&gt;"İptal",COUNTIFS($A$6:$A$1005,A193,$D$6:$D$1005,"&lt;"&amp;E193,$E$6:$E$1005,"&gt;"&amp;D193,$F$6:$F$1005,"&lt;&gt;İptal")&gt;1),"HATA: oda bu tarihlerde çakışıyor",IF(AND(F193="Bekleniyor",D193&lt;RaporTarihi),"HATA: giriş günü geçti, Geldi veya İptal yapın","OK"))))))))))))</f>
        <v/>
      </c>
      <c r="L193" s="25">
        <f>IF(AND(ISNUMBER(A193),F193&lt;&gt;"İptal",ISNUMBER(D193),ISNUMBER(E193),D193&lt;=RaporTarihi,E193&gt;RaporTarihi),A193,"")</f>
        <v/>
      </c>
    </row>
    <row r="194">
      <c r="A194" s="22" t="n"/>
      <c r="B194" s="22" t="n"/>
      <c r="C194" s="22" t="n"/>
      <c r="D194" s="23" t="n"/>
      <c r="E194" s="23" t="n"/>
      <c r="F194" s="22" t="n"/>
      <c r="G194" s="24" t="n"/>
      <c r="H194" s="22" t="n"/>
      <c r="I194" s="25">
        <f>IF(AND(ISNUMBER(D194),ISNUMBER(E194)),E194-D194,"")</f>
        <v/>
      </c>
      <c r="J194" s="26">
        <f>IF(AND(ISNUMBER(I194),ISNUMBER(G194)),IF(I194&gt;0,G194/I194,""),"")</f>
        <v/>
      </c>
      <c r="K194" s="25">
        <f>IF(COUNTA(A194:H194)=0,"",IF(OR(A194="",B194="",C194="",D194="",E194="",F194="",G194="",H194=""),"HATA: eksik bilgi",IF(COUNTIF(OdaListesi,A194)=0,"HATA: geçersiz oda no",IF(OR(NOT(ISNUMBER(D194)),NOT(ISNUMBER(E194))),"HATA: tarih geçersiz",IF(E194&lt;=D194,"HATA: çıkış girişten sonra olmalı",IF(OR(NOT(ISNUMBER(C194)),C194&lt;1,C194&gt;MaxKisi,C194&lt;&gt;INT(C194)),"HATA: kişi sayısı geçersiz",IF(OR(NOT(ISNUMBER(G194)),G194&lt;0),"HATA: tutar geçersiz",IF(B194&lt;&gt;TRIM(B194),"HATA: isimde baştaki/sondaki boşluk",IF(COUNTIF(KaynakAralik,H194)=0,"HATA: kaynak listede yok",IF(AND(F194&lt;&gt;"Bekleniyor",F194&lt;&gt;"Geldi",F194&lt;&gt;"İptal"),"HATA: giriş durumu geçersiz",IF(AND(F194&lt;&gt;"İptal",COUNTIFS($A$6:$A$1005,A194,$D$6:$D$1005,"&lt;"&amp;E194,$E$6:$E$1005,"&gt;"&amp;D194,$F$6:$F$1005,"&lt;&gt;İptal")&gt;1),"HATA: oda bu tarihlerde çakışıyor",IF(AND(F194="Bekleniyor",D194&lt;RaporTarihi),"HATA: giriş günü geçti, Geldi veya İptal yapın","OK"))))))))))))</f>
        <v/>
      </c>
      <c r="L194" s="25">
        <f>IF(AND(ISNUMBER(A194),F194&lt;&gt;"İptal",ISNUMBER(D194),ISNUMBER(E194),D194&lt;=RaporTarihi,E194&gt;RaporTarihi),A194,"")</f>
        <v/>
      </c>
    </row>
    <row r="195">
      <c r="A195" s="22" t="n"/>
      <c r="B195" s="22" t="n"/>
      <c r="C195" s="22" t="n"/>
      <c r="D195" s="23" t="n"/>
      <c r="E195" s="23" t="n"/>
      <c r="F195" s="22" t="n"/>
      <c r="G195" s="24" t="n"/>
      <c r="H195" s="22" t="n"/>
      <c r="I195" s="25">
        <f>IF(AND(ISNUMBER(D195),ISNUMBER(E195)),E195-D195,"")</f>
        <v/>
      </c>
      <c r="J195" s="26">
        <f>IF(AND(ISNUMBER(I195),ISNUMBER(G195)),IF(I195&gt;0,G195/I195,""),"")</f>
        <v/>
      </c>
      <c r="K195" s="25">
        <f>IF(COUNTA(A195:H195)=0,"",IF(OR(A195="",B195="",C195="",D195="",E195="",F195="",G195="",H195=""),"HATA: eksik bilgi",IF(COUNTIF(OdaListesi,A195)=0,"HATA: geçersiz oda no",IF(OR(NOT(ISNUMBER(D195)),NOT(ISNUMBER(E195))),"HATA: tarih geçersiz",IF(E195&lt;=D195,"HATA: çıkış girişten sonra olmalı",IF(OR(NOT(ISNUMBER(C195)),C195&lt;1,C195&gt;MaxKisi,C195&lt;&gt;INT(C195)),"HATA: kişi sayısı geçersiz",IF(OR(NOT(ISNUMBER(G195)),G195&lt;0),"HATA: tutar geçersiz",IF(B195&lt;&gt;TRIM(B195),"HATA: isimde baştaki/sondaki boşluk",IF(COUNTIF(KaynakAralik,H195)=0,"HATA: kaynak listede yok",IF(AND(F195&lt;&gt;"Bekleniyor",F195&lt;&gt;"Geldi",F195&lt;&gt;"İptal"),"HATA: giriş durumu geçersiz",IF(AND(F195&lt;&gt;"İptal",COUNTIFS($A$6:$A$1005,A195,$D$6:$D$1005,"&lt;"&amp;E195,$E$6:$E$1005,"&gt;"&amp;D195,$F$6:$F$1005,"&lt;&gt;İptal")&gt;1),"HATA: oda bu tarihlerde çakışıyor",IF(AND(F195="Bekleniyor",D195&lt;RaporTarihi),"HATA: giriş günü geçti, Geldi veya İptal yapın","OK"))))))))))))</f>
        <v/>
      </c>
      <c r="L195" s="25">
        <f>IF(AND(ISNUMBER(A195),F195&lt;&gt;"İptal",ISNUMBER(D195),ISNUMBER(E195),D195&lt;=RaporTarihi,E195&gt;RaporTarihi),A195,"")</f>
        <v/>
      </c>
    </row>
    <row r="196">
      <c r="A196" s="22" t="n"/>
      <c r="B196" s="22" t="n"/>
      <c r="C196" s="22" t="n"/>
      <c r="D196" s="23" t="n"/>
      <c r="E196" s="23" t="n"/>
      <c r="F196" s="22" t="n"/>
      <c r="G196" s="24" t="n"/>
      <c r="H196" s="22" t="n"/>
      <c r="I196" s="25">
        <f>IF(AND(ISNUMBER(D196),ISNUMBER(E196)),E196-D196,"")</f>
        <v/>
      </c>
      <c r="J196" s="26">
        <f>IF(AND(ISNUMBER(I196),ISNUMBER(G196)),IF(I196&gt;0,G196/I196,""),"")</f>
        <v/>
      </c>
      <c r="K196" s="25">
        <f>IF(COUNTA(A196:H196)=0,"",IF(OR(A196="",B196="",C196="",D196="",E196="",F196="",G196="",H196=""),"HATA: eksik bilgi",IF(COUNTIF(OdaListesi,A196)=0,"HATA: geçersiz oda no",IF(OR(NOT(ISNUMBER(D196)),NOT(ISNUMBER(E196))),"HATA: tarih geçersiz",IF(E196&lt;=D196,"HATA: çıkış girişten sonra olmalı",IF(OR(NOT(ISNUMBER(C196)),C196&lt;1,C196&gt;MaxKisi,C196&lt;&gt;INT(C196)),"HATA: kişi sayısı geçersiz",IF(OR(NOT(ISNUMBER(G196)),G196&lt;0),"HATA: tutar geçersiz",IF(B196&lt;&gt;TRIM(B196),"HATA: isimde baştaki/sondaki boşluk",IF(COUNTIF(KaynakAralik,H196)=0,"HATA: kaynak listede yok",IF(AND(F196&lt;&gt;"Bekleniyor",F196&lt;&gt;"Geldi",F196&lt;&gt;"İptal"),"HATA: giriş durumu geçersiz",IF(AND(F196&lt;&gt;"İptal",COUNTIFS($A$6:$A$1005,A196,$D$6:$D$1005,"&lt;"&amp;E196,$E$6:$E$1005,"&gt;"&amp;D196,$F$6:$F$1005,"&lt;&gt;İptal")&gt;1),"HATA: oda bu tarihlerde çakışıyor",IF(AND(F196="Bekleniyor",D196&lt;RaporTarihi),"HATA: giriş günü geçti, Geldi veya İptal yapın","OK"))))))))))))</f>
        <v/>
      </c>
      <c r="L196" s="25">
        <f>IF(AND(ISNUMBER(A196),F196&lt;&gt;"İptal",ISNUMBER(D196),ISNUMBER(E196),D196&lt;=RaporTarihi,E196&gt;RaporTarihi),A196,"")</f>
        <v/>
      </c>
    </row>
    <row r="197">
      <c r="A197" s="22" t="n"/>
      <c r="B197" s="22" t="n"/>
      <c r="C197" s="22" t="n"/>
      <c r="D197" s="23" t="n"/>
      <c r="E197" s="23" t="n"/>
      <c r="F197" s="22" t="n"/>
      <c r="G197" s="24" t="n"/>
      <c r="H197" s="22" t="n"/>
      <c r="I197" s="25">
        <f>IF(AND(ISNUMBER(D197),ISNUMBER(E197)),E197-D197,"")</f>
        <v/>
      </c>
      <c r="J197" s="26">
        <f>IF(AND(ISNUMBER(I197),ISNUMBER(G197)),IF(I197&gt;0,G197/I197,""),"")</f>
        <v/>
      </c>
      <c r="K197" s="25">
        <f>IF(COUNTA(A197:H197)=0,"",IF(OR(A197="",B197="",C197="",D197="",E197="",F197="",G197="",H197=""),"HATA: eksik bilgi",IF(COUNTIF(OdaListesi,A197)=0,"HATA: geçersiz oda no",IF(OR(NOT(ISNUMBER(D197)),NOT(ISNUMBER(E197))),"HATA: tarih geçersiz",IF(E197&lt;=D197,"HATA: çıkış girişten sonra olmalı",IF(OR(NOT(ISNUMBER(C197)),C197&lt;1,C197&gt;MaxKisi,C197&lt;&gt;INT(C197)),"HATA: kişi sayısı geçersiz",IF(OR(NOT(ISNUMBER(G197)),G197&lt;0),"HATA: tutar geçersiz",IF(B197&lt;&gt;TRIM(B197),"HATA: isimde baştaki/sondaki boşluk",IF(COUNTIF(KaynakAralik,H197)=0,"HATA: kaynak listede yok",IF(AND(F197&lt;&gt;"Bekleniyor",F197&lt;&gt;"Geldi",F197&lt;&gt;"İptal"),"HATA: giriş durumu geçersiz",IF(AND(F197&lt;&gt;"İptal",COUNTIFS($A$6:$A$1005,A197,$D$6:$D$1005,"&lt;"&amp;E197,$E$6:$E$1005,"&gt;"&amp;D197,$F$6:$F$1005,"&lt;&gt;İptal")&gt;1),"HATA: oda bu tarihlerde çakışıyor",IF(AND(F197="Bekleniyor",D197&lt;RaporTarihi),"HATA: giriş günü geçti, Geldi veya İptal yapın","OK"))))))))))))</f>
        <v/>
      </c>
      <c r="L197" s="25">
        <f>IF(AND(ISNUMBER(A197),F197&lt;&gt;"İptal",ISNUMBER(D197),ISNUMBER(E197),D197&lt;=RaporTarihi,E197&gt;RaporTarihi),A197,"")</f>
        <v/>
      </c>
    </row>
    <row r="198">
      <c r="A198" s="22" t="n"/>
      <c r="B198" s="22" t="n"/>
      <c r="C198" s="22" t="n"/>
      <c r="D198" s="23" t="n"/>
      <c r="E198" s="23" t="n"/>
      <c r="F198" s="22" t="n"/>
      <c r="G198" s="24" t="n"/>
      <c r="H198" s="22" t="n"/>
      <c r="I198" s="25">
        <f>IF(AND(ISNUMBER(D198),ISNUMBER(E198)),E198-D198,"")</f>
        <v/>
      </c>
      <c r="J198" s="26">
        <f>IF(AND(ISNUMBER(I198),ISNUMBER(G198)),IF(I198&gt;0,G198/I198,""),"")</f>
        <v/>
      </c>
      <c r="K198" s="25">
        <f>IF(COUNTA(A198:H198)=0,"",IF(OR(A198="",B198="",C198="",D198="",E198="",F198="",G198="",H198=""),"HATA: eksik bilgi",IF(COUNTIF(OdaListesi,A198)=0,"HATA: geçersiz oda no",IF(OR(NOT(ISNUMBER(D198)),NOT(ISNUMBER(E198))),"HATA: tarih geçersiz",IF(E198&lt;=D198,"HATA: çıkış girişten sonra olmalı",IF(OR(NOT(ISNUMBER(C198)),C198&lt;1,C198&gt;MaxKisi,C198&lt;&gt;INT(C198)),"HATA: kişi sayısı geçersiz",IF(OR(NOT(ISNUMBER(G198)),G198&lt;0),"HATA: tutar geçersiz",IF(B198&lt;&gt;TRIM(B198),"HATA: isimde baştaki/sondaki boşluk",IF(COUNTIF(KaynakAralik,H198)=0,"HATA: kaynak listede yok",IF(AND(F198&lt;&gt;"Bekleniyor",F198&lt;&gt;"Geldi",F198&lt;&gt;"İptal"),"HATA: giriş durumu geçersiz",IF(AND(F198&lt;&gt;"İptal",COUNTIFS($A$6:$A$1005,A198,$D$6:$D$1005,"&lt;"&amp;E198,$E$6:$E$1005,"&gt;"&amp;D198,$F$6:$F$1005,"&lt;&gt;İptal")&gt;1),"HATA: oda bu tarihlerde çakışıyor",IF(AND(F198="Bekleniyor",D198&lt;RaporTarihi),"HATA: giriş günü geçti, Geldi veya İptal yapın","OK"))))))))))))</f>
        <v/>
      </c>
      <c r="L198" s="25">
        <f>IF(AND(ISNUMBER(A198),F198&lt;&gt;"İptal",ISNUMBER(D198),ISNUMBER(E198),D198&lt;=RaporTarihi,E198&gt;RaporTarihi),A198,"")</f>
        <v/>
      </c>
    </row>
    <row r="199">
      <c r="A199" s="22" t="n"/>
      <c r="B199" s="22" t="n"/>
      <c r="C199" s="22" t="n"/>
      <c r="D199" s="23" t="n"/>
      <c r="E199" s="23" t="n"/>
      <c r="F199" s="22" t="n"/>
      <c r="G199" s="24" t="n"/>
      <c r="H199" s="22" t="n"/>
      <c r="I199" s="25">
        <f>IF(AND(ISNUMBER(D199),ISNUMBER(E199)),E199-D199,"")</f>
        <v/>
      </c>
      <c r="J199" s="26">
        <f>IF(AND(ISNUMBER(I199),ISNUMBER(G199)),IF(I199&gt;0,G199/I199,""),"")</f>
        <v/>
      </c>
      <c r="K199" s="25">
        <f>IF(COUNTA(A199:H199)=0,"",IF(OR(A199="",B199="",C199="",D199="",E199="",F199="",G199="",H199=""),"HATA: eksik bilgi",IF(COUNTIF(OdaListesi,A199)=0,"HATA: geçersiz oda no",IF(OR(NOT(ISNUMBER(D199)),NOT(ISNUMBER(E199))),"HATA: tarih geçersiz",IF(E199&lt;=D199,"HATA: çıkış girişten sonra olmalı",IF(OR(NOT(ISNUMBER(C199)),C199&lt;1,C199&gt;MaxKisi,C199&lt;&gt;INT(C199)),"HATA: kişi sayısı geçersiz",IF(OR(NOT(ISNUMBER(G199)),G199&lt;0),"HATA: tutar geçersiz",IF(B199&lt;&gt;TRIM(B199),"HATA: isimde baştaki/sondaki boşluk",IF(COUNTIF(KaynakAralik,H199)=0,"HATA: kaynak listede yok",IF(AND(F199&lt;&gt;"Bekleniyor",F199&lt;&gt;"Geldi",F199&lt;&gt;"İptal"),"HATA: giriş durumu geçersiz",IF(AND(F199&lt;&gt;"İptal",COUNTIFS($A$6:$A$1005,A199,$D$6:$D$1005,"&lt;"&amp;E199,$E$6:$E$1005,"&gt;"&amp;D199,$F$6:$F$1005,"&lt;&gt;İptal")&gt;1),"HATA: oda bu tarihlerde çakışıyor",IF(AND(F199="Bekleniyor",D199&lt;RaporTarihi),"HATA: giriş günü geçti, Geldi veya İptal yapın","OK"))))))))))))</f>
        <v/>
      </c>
      <c r="L199" s="25">
        <f>IF(AND(ISNUMBER(A199),F199&lt;&gt;"İptal",ISNUMBER(D199),ISNUMBER(E199),D199&lt;=RaporTarihi,E199&gt;RaporTarihi),A199,"")</f>
        <v/>
      </c>
    </row>
    <row r="200">
      <c r="A200" s="22" t="n"/>
      <c r="B200" s="22" t="n"/>
      <c r="C200" s="22" t="n"/>
      <c r="D200" s="23" t="n"/>
      <c r="E200" s="23" t="n"/>
      <c r="F200" s="22" t="n"/>
      <c r="G200" s="24" t="n"/>
      <c r="H200" s="22" t="n"/>
      <c r="I200" s="25">
        <f>IF(AND(ISNUMBER(D200),ISNUMBER(E200)),E200-D200,"")</f>
        <v/>
      </c>
      <c r="J200" s="26">
        <f>IF(AND(ISNUMBER(I200),ISNUMBER(G200)),IF(I200&gt;0,G200/I200,""),"")</f>
        <v/>
      </c>
      <c r="K200" s="25">
        <f>IF(COUNTA(A200:H200)=0,"",IF(OR(A200="",B200="",C200="",D200="",E200="",F200="",G200="",H200=""),"HATA: eksik bilgi",IF(COUNTIF(OdaListesi,A200)=0,"HATA: geçersiz oda no",IF(OR(NOT(ISNUMBER(D200)),NOT(ISNUMBER(E200))),"HATA: tarih geçersiz",IF(E200&lt;=D200,"HATA: çıkış girişten sonra olmalı",IF(OR(NOT(ISNUMBER(C200)),C200&lt;1,C200&gt;MaxKisi,C200&lt;&gt;INT(C200)),"HATA: kişi sayısı geçersiz",IF(OR(NOT(ISNUMBER(G200)),G200&lt;0),"HATA: tutar geçersiz",IF(B200&lt;&gt;TRIM(B200),"HATA: isimde baştaki/sondaki boşluk",IF(COUNTIF(KaynakAralik,H200)=0,"HATA: kaynak listede yok",IF(AND(F200&lt;&gt;"Bekleniyor",F200&lt;&gt;"Geldi",F200&lt;&gt;"İptal"),"HATA: giriş durumu geçersiz",IF(AND(F200&lt;&gt;"İptal",COUNTIFS($A$6:$A$1005,A200,$D$6:$D$1005,"&lt;"&amp;E200,$E$6:$E$1005,"&gt;"&amp;D200,$F$6:$F$1005,"&lt;&gt;İptal")&gt;1),"HATA: oda bu tarihlerde çakışıyor",IF(AND(F200="Bekleniyor",D200&lt;RaporTarihi),"HATA: giriş günü geçti, Geldi veya İptal yapın","OK"))))))))))))</f>
        <v/>
      </c>
      <c r="L200" s="25">
        <f>IF(AND(ISNUMBER(A200),F200&lt;&gt;"İptal",ISNUMBER(D200),ISNUMBER(E200),D200&lt;=RaporTarihi,E200&gt;RaporTarihi),A200,"")</f>
        <v/>
      </c>
    </row>
    <row r="201">
      <c r="A201" s="22" t="n"/>
      <c r="B201" s="22" t="n"/>
      <c r="C201" s="22" t="n"/>
      <c r="D201" s="23" t="n"/>
      <c r="E201" s="23" t="n"/>
      <c r="F201" s="22" t="n"/>
      <c r="G201" s="24" t="n"/>
      <c r="H201" s="22" t="n"/>
      <c r="I201" s="25">
        <f>IF(AND(ISNUMBER(D201),ISNUMBER(E201)),E201-D201,"")</f>
        <v/>
      </c>
      <c r="J201" s="26">
        <f>IF(AND(ISNUMBER(I201),ISNUMBER(G201)),IF(I201&gt;0,G201/I201,""),"")</f>
        <v/>
      </c>
      <c r="K201" s="25">
        <f>IF(COUNTA(A201:H201)=0,"",IF(OR(A201="",B201="",C201="",D201="",E201="",F201="",G201="",H201=""),"HATA: eksik bilgi",IF(COUNTIF(OdaListesi,A201)=0,"HATA: geçersiz oda no",IF(OR(NOT(ISNUMBER(D201)),NOT(ISNUMBER(E201))),"HATA: tarih geçersiz",IF(E201&lt;=D201,"HATA: çıkış girişten sonra olmalı",IF(OR(NOT(ISNUMBER(C201)),C201&lt;1,C201&gt;MaxKisi,C201&lt;&gt;INT(C201)),"HATA: kişi sayısı geçersiz",IF(OR(NOT(ISNUMBER(G201)),G201&lt;0),"HATA: tutar geçersiz",IF(B201&lt;&gt;TRIM(B201),"HATA: isimde baştaki/sondaki boşluk",IF(COUNTIF(KaynakAralik,H201)=0,"HATA: kaynak listede yok",IF(AND(F201&lt;&gt;"Bekleniyor",F201&lt;&gt;"Geldi",F201&lt;&gt;"İptal"),"HATA: giriş durumu geçersiz",IF(AND(F201&lt;&gt;"İptal",COUNTIFS($A$6:$A$1005,A201,$D$6:$D$1005,"&lt;"&amp;E201,$E$6:$E$1005,"&gt;"&amp;D201,$F$6:$F$1005,"&lt;&gt;İptal")&gt;1),"HATA: oda bu tarihlerde çakışıyor",IF(AND(F201="Bekleniyor",D201&lt;RaporTarihi),"HATA: giriş günü geçti, Geldi veya İptal yapın","OK"))))))))))))</f>
        <v/>
      </c>
      <c r="L201" s="25">
        <f>IF(AND(ISNUMBER(A201),F201&lt;&gt;"İptal",ISNUMBER(D201),ISNUMBER(E201),D201&lt;=RaporTarihi,E201&gt;RaporTarihi),A201,"")</f>
        <v/>
      </c>
    </row>
    <row r="202">
      <c r="A202" s="22" t="n"/>
      <c r="B202" s="22" t="n"/>
      <c r="C202" s="22" t="n"/>
      <c r="D202" s="23" t="n"/>
      <c r="E202" s="23" t="n"/>
      <c r="F202" s="22" t="n"/>
      <c r="G202" s="24" t="n"/>
      <c r="H202" s="22" t="n"/>
      <c r="I202" s="25">
        <f>IF(AND(ISNUMBER(D202),ISNUMBER(E202)),E202-D202,"")</f>
        <v/>
      </c>
      <c r="J202" s="26">
        <f>IF(AND(ISNUMBER(I202),ISNUMBER(G202)),IF(I202&gt;0,G202/I202,""),"")</f>
        <v/>
      </c>
      <c r="K202" s="25">
        <f>IF(COUNTA(A202:H202)=0,"",IF(OR(A202="",B202="",C202="",D202="",E202="",F202="",G202="",H202=""),"HATA: eksik bilgi",IF(COUNTIF(OdaListesi,A202)=0,"HATA: geçersiz oda no",IF(OR(NOT(ISNUMBER(D202)),NOT(ISNUMBER(E202))),"HATA: tarih geçersiz",IF(E202&lt;=D202,"HATA: çıkış girişten sonra olmalı",IF(OR(NOT(ISNUMBER(C202)),C202&lt;1,C202&gt;MaxKisi,C202&lt;&gt;INT(C202)),"HATA: kişi sayısı geçersiz",IF(OR(NOT(ISNUMBER(G202)),G202&lt;0),"HATA: tutar geçersiz",IF(B202&lt;&gt;TRIM(B202),"HATA: isimde baştaki/sondaki boşluk",IF(COUNTIF(KaynakAralik,H202)=0,"HATA: kaynak listede yok",IF(AND(F202&lt;&gt;"Bekleniyor",F202&lt;&gt;"Geldi",F202&lt;&gt;"İptal"),"HATA: giriş durumu geçersiz",IF(AND(F202&lt;&gt;"İptal",COUNTIFS($A$6:$A$1005,A202,$D$6:$D$1005,"&lt;"&amp;E202,$E$6:$E$1005,"&gt;"&amp;D202,$F$6:$F$1005,"&lt;&gt;İptal")&gt;1),"HATA: oda bu tarihlerde çakışıyor",IF(AND(F202="Bekleniyor",D202&lt;RaporTarihi),"HATA: giriş günü geçti, Geldi veya İptal yapın","OK"))))))))))))</f>
        <v/>
      </c>
      <c r="L202" s="25">
        <f>IF(AND(ISNUMBER(A202),F202&lt;&gt;"İptal",ISNUMBER(D202),ISNUMBER(E202),D202&lt;=RaporTarihi,E202&gt;RaporTarihi),A202,"")</f>
        <v/>
      </c>
    </row>
    <row r="203">
      <c r="A203" s="22" t="n"/>
      <c r="B203" s="22" t="n"/>
      <c r="C203" s="22" t="n"/>
      <c r="D203" s="23" t="n"/>
      <c r="E203" s="23" t="n"/>
      <c r="F203" s="22" t="n"/>
      <c r="G203" s="24" t="n"/>
      <c r="H203" s="22" t="n"/>
      <c r="I203" s="25">
        <f>IF(AND(ISNUMBER(D203),ISNUMBER(E203)),E203-D203,"")</f>
        <v/>
      </c>
      <c r="J203" s="26">
        <f>IF(AND(ISNUMBER(I203),ISNUMBER(G203)),IF(I203&gt;0,G203/I203,""),"")</f>
        <v/>
      </c>
      <c r="K203" s="25">
        <f>IF(COUNTA(A203:H203)=0,"",IF(OR(A203="",B203="",C203="",D203="",E203="",F203="",G203="",H203=""),"HATA: eksik bilgi",IF(COUNTIF(OdaListesi,A203)=0,"HATA: geçersiz oda no",IF(OR(NOT(ISNUMBER(D203)),NOT(ISNUMBER(E203))),"HATA: tarih geçersiz",IF(E203&lt;=D203,"HATA: çıkış girişten sonra olmalı",IF(OR(NOT(ISNUMBER(C203)),C203&lt;1,C203&gt;MaxKisi,C203&lt;&gt;INT(C203)),"HATA: kişi sayısı geçersiz",IF(OR(NOT(ISNUMBER(G203)),G203&lt;0),"HATA: tutar geçersiz",IF(B203&lt;&gt;TRIM(B203),"HATA: isimde baştaki/sondaki boşluk",IF(COUNTIF(KaynakAralik,H203)=0,"HATA: kaynak listede yok",IF(AND(F203&lt;&gt;"Bekleniyor",F203&lt;&gt;"Geldi",F203&lt;&gt;"İptal"),"HATA: giriş durumu geçersiz",IF(AND(F203&lt;&gt;"İptal",COUNTIFS($A$6:$A$1005,A203,$D$6:$D$1005,"&lt;"&amp;E203,$E$6:$E$1005,"&gt;"&amp;D203,$F$6:$F$1005,"&lt;&gt;İptal")&gt;1),"HATA: oda bu tarihlerde çakışıyor",IF(AND(F203="Bekleniyor",D203&lt;RaporTarihi),"HATA: giriş günü geçti, Geldi veya İptal yapın","OK"))))))))))))</f>
        <v/>
      </c>
      <c r="L203" s="25">
        <f>IF(AND(ISNUMBER(A203),F203&lt;&gt;"İptal",ISNUMBER(D203),ISNUMBER(E203),D203&lt;=RaporTarihi,E203&gt;RaporTarihi),A203,"")</f>
        <v/>
      </c>
    </row>
    <row r="204">
      <c r="A204" s="22" t="n"/>
      <c r="B204" s="22" t="n"/>
      <c r="C204" s="22" t="n"/>
      <c r="D204" s="23" t="n"/>
      <c r="E204" s="23" t="n"/>
      <c r="F204" s="22" t="n"/>
      <c r="G204" s="24" t="n"/>
      <c r="H204" s="22" t="n"/>
      <c r="I204" s="25">
        <f>IF(AND(ISNUMBER(D204),ISNUMBER(E204)),E204-D204,"")</f>
        <v/>
      </c>
      <c r="J204" s="26">
        <f>IF(AND(ISNUMBER(I204),ISNUMBER(G204)),IF(I204&gt;0,G204/I204,""),"")</f>
        <v/>
      </c>
      <c r="K204" s="25">
        <f>IF(COUNTA(A204:H204)=0,"",IF(OR(A204="",B204="",C204="",D204="",E204="",F204="",G204="",H204=""),"HATA: eksik bilgi",IF(COUNTIF(OdaListesi,A204)=0,"HATA: geçersiz oda no",IF(OR(NOT(ISNUMBER(D204)),NOT(ISNUMBER(E204))),"HATA: tarih geçersiz",IF(E204&lt;=D204,"HATA: çıkış girişten sonra olmalı",IF(OR(NOT(ISNUMBER(C204)),C204&lt;1,C204&gt;MaxKisi,C204&lt;&gt;INT(C204)),"HATA: kişi sayısı geçersiz",IF(OR(NOT(ISNUMBER(G204)),G204&lt;0),"HATA: tutar geçersiz",IF(B204&lt;&gt;TRIM(B204),"HATA: isimde baştaki/sondaki boşluk",IF(COUNTIF(KaynakAralik,H204)=0,"HATA: kaynak listede yok",IF(AND(F204&lt;&gt;"Bekleniyor",F204&lt;&gt;"Geldi",F204&lt;&gt;"İptal"),"HATA: giriş durumu geçersiz",IF(AND(F204&lt;&gt;"İptal",COUNTIFS($A$6:$A$1005,A204,$D$6:$D$1005,"&lt;"&amp;E204,$E$6:$E$1005,"&gt;"&amp;D204,$F$6:$F$1005,"&lt;&gt;İptal")&gt;1),"HATA: oda bu tarihlerde çakışıyor",IF(AND(F204="Bekleniyor",D204&lt;RaporTarihi),"HATA: giriş günü geçti, Geldi veya İptal yapın","OK"))))))))))))</f>
        <v/>
      </c>
      <c r="L204" s="25">
        <f>IF(AND(ISNUMBER(A204),F204&lt;&gt;"İptal",ISNUMBER(D204),ISNUMBER(E204),D204&lt;=RaporTarihi,E204&gt;RaporTarihi),A204,"")</f>
        <v/>
      </c>
    </row>
    <row r="205">
      <c r="A205" s="22" t="n"/>
      <c r="B205" s="22" t="n"/>
      <c r="C205" s="22" t="n"/>
      <c r="D205" s="23" t="n"/>
      <c r="E205" s="23" t="n"/>
      <c r="F205" s="22" t="n"/>
      <c r="G205" s="24" t="n"/>
      <c r="H205" s="22" t="n"/>
      <c r="I205" s="25">
        <f>IF(AND(ISNUMBER(D205),ISNUMBER(E205)),E205-D205,"")</f>
        <v/>
      </c>
      <c r="J205" s="26">
        <f>IF(AND(ISNUMBER(I205),ISNUMBER(G205)),IF(I205&gt;0,G205/I205,""),"")</f>
        <v/>
      </c>
      <c r="K205" s="25">
        <f>IF(COUNTA(A205:H205)=0,"",IF(OR(A205="",B205="",C205="",D205="",E205="",F205="",G205="",H205=""),"HATA: eksik bilgi",IF(COUNTIF(OdaListesi,A205)=0,"HATA: geçersiz oda no",IF(OR(NOT(ISNUMBER(D205)),NOT(ISNUMBER(E205))),"HATA: tarih geçersiz",IF(E205&lt;=D205,"HATA: çıkış girişten sonra olmalı",IF(OR(NOT(ISNUMBER(C205)),C205&lt;1,C205&gt;MaxKisi,C205&lt;&gt;INT(C205)),"HATA: kişi sayısı geçersiz",IF(OR(NOT(ISNUMBER(G205)),G205&lt;0),"HATA: tutar geçersiz",IF(B205&lt;&gt;TRIM(B205),"HATA: isimde baştaki/sondaki boşluk",IF(COUNTIF(KaynakAralik,H205)=0,"HATA: kaynak listede yok",IF(AND(F205&lt;&gt;"Bekleniyor",F205&lt;&gt;"Geldi",F205&lt;&gt;"İptal"),"HATA: giriş durumu geçersiz",IF(AND(F205&lt;&gt;"İptal",COUNTIFS($A$6:$A$1005,A205,$D$6:$D$1005,"&lt;"&amp;E205,$E$6:$E$1005,"&gt;"&amp;D205,$F$6:$F$1005,"&lt;&gt;İptal")&gt;1),"HATA: oda bu tarihlerde çakışıyor",IF(AND(F205="Bekleniyor",D205&lt;RaporTarihi),"HATA: giriş günü geçti, Geldi veya İptal yapın","OK"))))))))))))</f>
        <v/>
      </c>
      <c r="L205" s="25">
        <f>IF(AND(ISNUMBER(A205),F205&lt;&gt;"İptal",ISNUMBER(D205),ISNUMBER(E205),D205&lt;=RaporTarihi,E205&gt;RaporTarihi),A205,"")</f>
        <v/>
      </c>
    </row>
    <row r="206">
      <c r="A206" s="22" t="n"/>
      <c r="B206" s="22" t="n"/>
      <c r="C206" s="22" t="n"/>
      <c r="D206" s="23" t="n"/>
      <c r="E206" s="23" t="n"/>
      <c r="F206" s="22" t="n"/>
      <c r="G206" s="24" t="n"/>
      <c r="H206" s="22" t="n"/>
      <c r="I206" s="25">
        <f>IF(AND(ISNUMBER(D206),ISNUMBER(E206)),E206-D206,"")</f>
        <v/>
      </c>
      <c r="J206" s="26">
        <f>IF(AND(ISNUMBER(I206),ISNUMBER(G206)),IF(I206&gt;0,G206/I206,""),"")</f>
        <v/>
      </c>
      <c r="K206" s="25">
        <f>IF(COUNTA(A206:H206)=0,"",IF(OR(A206="",B206="",C206="",D206="",E206="",F206="",G206="",H206=""),"HATA: eksik bilgi",IF(COUNTIF(OdaListesi,A206)=0,"HATA: geçersiz oda no",IF(OR(NOT(ISNUMBER(D206)),NOT(ISNUMBER(E206))),"HATA: tarih geçersiz",IF(E206&lt;=D206,"HATA: çıkış girişten sonra olmalı",IF(OR(NOT(ISNUMBER(C206)),C206&lt;1,C206&gt;MaxKisi,C206&lt;&gt;INT(C206)),"HATA: kişi sayısı geçersiz",IF(OR(NOT(ISNUMBER(G206)),G206&lt;0),"HATA: tutar geçersiz",IF(B206&lt;&gt;TRIM(B206),"HATA: isimde baştaki/sondaki boşluk",IF(COUNTIF(KaynakAralik,H206)=0,"HATA: kaynak listede yok",IF(AND(F206&lt;&gt;"Bekleniyor",F206&lt;&gt;"Geldi",F206&lt;&gt;"İptal"),"HATA: giriş durumu geçersiz",IF(AND(F206&lt;&gt;"İptal",COUNTIFS($A$6:$A$1005,A206,$D$6:$D$1005,"&lt;"&amp;E206,$E$6:$E$1005,"&gt;"&amp;D206,$F$6:$F$1005,"&lt;&gt;İptal")&gt;1),"HATA: oda bu tarihlerde çakışıyor",IF(AND(F206="Bekleniyor",D206&lt;RaporTarihi),"HATA: giriş günü geçti, Geldi veya İptal yapın","OK"))))))))))))</f>
        <v/>
      </c>
      <c r="L206" s="25">
        <f>IF(AND(ISNUMBER(A206),F206&lt;&gt;"İptal",ISNUMBER(D206),ISNUMBER(E206),D206&lt;=RaporTarihi,E206&gt;RaporTarihi),A206,"")</f>
        <v/>
      </c>
    </row>
    <row r="207">
      <c r="A207" s="22" t="n"/>
      <c r="B207" s="22" t="n"/>
      <c r="C207" s="22" t="n"/>
      <c r="D207" s="23" t="n"/>
      <c r="E207" s="23" t="n"/>
      <c r="F207" s="22" t="n"/>
      <c r="G207" s="24" t="n"/>
      <c r="H207" s="22" t="n"/>
      <c r="I207" s="25">
        <f>IF(AND(ISNUMBER(D207),ISNUMBER(E207)),E207-D207,"")</f>
        <v/>
      </c>
      <c r="J207" s="26">
        <f>IF(AND(ISNUMBER(I207),ISNUMBER(G207)),IF(I207&gt;0,G207/I207,""),"")</f>
        <v/>
      </c>
      <c r="K207" s="25">
        <f>IF(COUNTA(A207:H207)=0,"",IF(OR(A207="",B207="",C207="",D207="",E207="",F207="",G207="",H207=""),"HATA: eksik bilgi",IF(COUNTIF(OdaListesi,A207)=0,"HATA: geçersiz oda no",IF(OR(NOT(ISNUMBER(D207)),NOT(ISNUMBER(E207))),"HATA: tarih geçersiz",IF(E207&lt;=D207,"HATA: çıkış girişten sonra olmalı",IF(OR(NOT(ISNUMBER(C207)),C207&lt;1,C207&gt;MaxKisi,C207&lt;&gt;INT(C207)),"HATA: kişi sayısı geçersiz",IF(OR(NOT(ISNUMBER(G207)),G207&lt;0),"HATA: tutar geçersiz",IF(B207&lt;&gt;TRIM(B207),"HATA: isimde baştaki/sondaki boşluk",IF(COUNTIF(KaynakAralik,H207)=0,"HATA: kaynak listede yok",IF(AND(F207&lt;&gt;"Bekleniyor",F207&lt;&gt;"Geldi",F207&lt;&gt;"İptal"),"HATA: giriş durumu geçersiz",IF(AND(F207&lt;&gt;"İptal",COUNTIFS($A$6:$A$1005,A207,$D$6:$D$1005,"&lt;"&amp;E207,$E$6:$E$1005,"&gt;"&amp;D207,$F$6:$F$1005,"&lt;&gt;İptal")&gt;1),"HATA: oda bu tarihlerde çakışıyor",IF(AND(F207="Bekleniyor",D207&lt;RaporTarihi),"HATA: giriş günü geçti, Geldi veya İptal yapın","OK"))))))))))))</f>
        <v/>
      </c>
      <c r="L207" s="25">
        <f>IF(AND(ISNUMBER(A207),F207&lt;&gt;"İptal",ISNUMBER(D207),ISNUMBER(E207),D207&lt;=RaporTarihi,E207&gt;RaporTarihi),A207,"")</f>
        <v/>
      </c>
    </row>
    <row r="208">
      <c r="A208" s="22" t="n"/>
      <c r="B208" s="22" t="n"/>
      <c r="C208" s="22" t="n"/>
      <c r="D208" s="23" t="n"/>
      <c r="E208" s="23" t="n"/>
      <c r="F208" s="22" t="n"/>
      <c r="G208" s="24" t="n"/>
      <c r="H208" s="22" t="n"/>
      <c r="I208" s="25">
        <f>IF(AND(ISNUMBER(D208),ISNUMBER(E208)),E208-D208,"")</f>
        <v/>
      </c>
      <c r="J208" s="26">
        <f>IF(AND(ISNUMBER(I208),ISNUMBER(G208)),IF(I208&gt;0,G208/I208,""),"")</f>
        <v/>
      </c>
      <c r="K208" s="25">
        <f>IF(COUNTA(A208:H208)=0,"",IF(OR(A208="",B208="",C208="",D208="",E208="",F208="",G208="",H208=""),"HATA: eksik bilgi",IF(COUNTIF(OdaListesi,A208)=0,"HATA: geçersiz oda no",IF(OR(NOT(ISNUMBER(D208)),NOT(ISNUMBER(E208))),"HATA: tarih geçersiz",IF(E208&lt;=D208,"HATA: çıkış girişten sonra olmalı",IF(OR(NOT(ISNUMBER(C208)),C208&lt;1,C208&gt;MaxKisi,C208&lt;&gt;INT(C208)),"HATA: kişi sayısı geçersiz",IF(OR(NOT(ISNUMBER(G208)),G208&lt;0),"HATA: tutar geçersiz",IF(B208&lt;&gt;TRIM(B208),"HATA: isimde baştaki/sondaki boşluk",IF(COUNTIF(KaynakAralik,H208)=0,"HATA: kaynak listede yok",IF(AND(F208&lt;&gt;"Bekleniyor",F208&lt;&gt;"Geldi",F208&lt;&gt;"İptal"),"HATA: giriş durumu geçersiz",IF(AND(F208&lt;&gt;"İptal",COUNTIFS($A$6:$A$1005,A208,$D$6:$D$1005,"&lt;"&amp;E208,$E$6:$E$1005,"&gt;"&amp;D208,$F$6:$F$1005,"&lt;&gt;İptal")&gt;1),"HATA: oda bu tarihlerde çakışıyor",IF(AND(F208="Bekleniyor",D208&lt;RaporTarihi),"HATA: giriş günü geçti, Geldi veya İptal yapın","OK"))))))))))))</f>
        <v/>
      </c>
      <c r="L208" s="25">
        <f>IF(AND(ISNUMBER(A208),F208&lt;&gt;"İptal",ISNUMBER(D208),ISNUMBER(E208),D208&lt;=RaporTarihi,E208&gt;RaporTarihi),A208,"")</f>
        <v/>
      </c>
    </row>
    <row r="209">
      <c r="A209" s="22" t="n"/>
      <c r="B209" s="22" t="n"/>
      <c r="C209" s="22" t="n"/>
      <c r="D209" s="23" t="n"/>
      <c r="E209" s="23" t="n"/>
      <c r="F209" s="22" t="n"/>
      <c r="G209" s="24" t="n"/>
      <c r="H209" s="22" t="n"/>
      <c r="I209" s="25">
        <f>IF(AND(ISNUMBER(D209),ISNUMBER(E209)),E209-D209,"")</f>
        <v/>
      </c>
      <c r="J209" s="26">
        <f>IF(AND(ISNUMBER(I209),ISNUMBER(G209)),IF(I209&gt;0,G209/I209,""),"")</f>
        <v/>
      </c>
      <c r="K209" s="25">
        <f>IF(COUNTA(A209:H209)=0,"",IF(OR(A209="",B209="",C209="",D209="",E209="",F209="",G209="",H209=""),"HATA: eksik bilgi",IF(COUNTIF(OdaListesi,A209)=0,"HATA: geçersiz oda no",IF(OR(NOT(ISNUMBER(D209)),NOT(ISNUMBER(E209))),"HATA: tarih geçersiz",IF(E209&lt;=D209,"HATA: çıkış girişten sonra olmalı",IF(OR(NOT(ISNUMBER(C209)),C209&lt;1,C209&gt;MaxKisi,C209&lt;&gt;INT(C209)),"HATA: kişi sayısı geçersiz",IF(OR(NOT(ISNUMBER(G209)),G209&lt;0),"HATA: tutar geçersiz",IF(B209&lt;&gt;TRIM(B209),"HATA: isimde baştaki/sondaki boşluk",IF(COUNTIF(KaynakAralik,H209)=0,"HATA: kaynak listede yok",IF(AND(F209&lt;&gt;"Bekleniyor",F209&lt;&gt;"Geldi",F209&lt;&gt;"İptal"),"HATA: giriş durumu geçersiz",IF(AND(F209&lt;&gt;"İptal",COUNTIFS($A$6:$A$1005,A209,$D$6:$D$1005,"&lt;"&amp;E209,$E$6:$E$1005,"&gt;"&amp;D209,$F$6:$F$1005,"&lt;&gt;İptal")&gt;1),"HATA: oda bu tarihlerde çakışıyor",IF(AND(F209="Bekleniyor",D209&lt;RaporTarihi),"HATA: giriş günü geçti, Geldi veya İptal yapın","OK"))))))))))))</f>
        <v/>
      </c>
      <c r="L209" s="25">
        <f>IF(AND(ISNUMBER(A209),F209&lt;&gt;"İptal",ISNUMBER(D209),ISNUMBER(E209),D209&lt;=RaporTarihi,E209&gt;RaporTarihi),A209,"")</f>
        <v/>
      </c>
    </row>
    <row r="210">
      <c r="A210" s="22" t="n"/>
      <c r="B210" s="22" t="n"/>
      <c r="C210" s="22" t="n"/>
      <c r="D210" s="23" t="n"/>
      <c r="E210" s="23" t="n"/>
      <c r="F210" s="22" t="n"/>
      <c r="G210" s="24" t="n"/>
      <c r="H210" s="22" t="n"/>
      <c r="I210" s="25">
        <f>IF(AND(ISNUMBER(D210),ISNUMBER(E210)),E210-D210,"")</f>
        <v/>
      </c>
      <c r="J210" s="26">
        <f>IF(AND(ISNUMBER(I210),ISNUMBER(G210)),IF(I210&gt;0,G210/I210,""),"")</f>
        <v/>
      </c>
      <c r="K210" s="25">
        <f>IF(COUNTA(A210:H210)=0,"",IF(OR(A210="",B210="",C210="",D210="",E210="",F210="",G210="",H210=""),"HATA: eksik bilgi",IF(COUNTIF(OdaListesi,A210)=0,"HATA: geçersiz oda no",IF(OR(NOT(ISNUMBER(D210)),NOT(ISNUMBER(E210))),"HATA: tarih geçersiz",IF(E210&lt;=D210,"HATA: çıkış girişten sonra olmalı",IF(OR(NOT(ISNUMBER(C210)),C210&lt;1,C210&gt;MaxKisi,C210&lt;&gt;INT(C210)),"HATA: kişi sayısı geçersiz",IF(OR(NOT(ISNUMBER(G210)),G210&lt;0),"HATA: tutar geçersiz",IF(B210&lt;&gt;TRIM(B210),"HATA: isimde baştaki/sondaki boşluk",IF(COUNTIF(KaynakAralik,H210)=0,"HATA: kaynak listede yok",IF(AND(F210&lt;&gt;"Bekleniyor",F210&lt;&gt;"Geldi",F210&lt;&gt;"İptal"),"HATA: giriş durumu geçersiz",IF(AND(F210&lt;&gt;"İptal",COUNTIFS($A$6:$A$1005,A210,$D$6:$D$1005,"&lt;"&amp;E210,$E$6:$E$1005,"&gt;"&amp;D210,$F$6:$F$1005,"&lt;&gt;İptal")&gt;1),"HATA: oda bu tarihlerde çakışıyor",IF(AND(F210="Bekleniyor",D210&lt;RaporTarihi),"HATA: giriş günü geçti, Geldi veya İptal yapın","OK"))))))))))))</f>
        <v/>
      </c>
      <c r="L210" s="25">
        <f>IF(AND(ISNUMBER(A210),F210&lt;&gt;"İptal",ISNUMBER(D210),ISNUMBER(E210),D210&lt;=RaporTarihi,E210&gt;RaporTarihi),A210,"")</f>
        <v/>
      </c>
    </row>
    <row r="211">
      <c r="A211" s="22" t="n"/>
      <c r="B211" s="22" t="n"/>
      <c r="C211" s="22" t="n"/>
      <c r="D211" s="23" t="n"/>
      <c r="E211" s="23" t="n"/>
      <c r="F211" s="22" t="n"/>
      <c r="G211" s="24" t="n"/>
      <c r="H211" s="22" t="n"/>
      <c r="I211" s="25">
        <f>IF(AND(ISNUMBER(D211),ISNUMBER(E211)),E211-D211,"")</f>
        <v/>
      </c>
      <c r="J211" s="26">
        <f>IF(AND(ISNUMBER(I211),ISNUMBER(G211)),IF(I211&gt;0,G211/I211,""),"")</f>
        <v/>
      </c>
      <c r="K211" s="25">
        <f>IF(COUNTA(A211:H211)=0,"",IF(OR(A211="",B211="",C211="",D211="",E211="",F211="",G211="",H211=""),"HATA: eksik bilgi",IF(COUNTIF(OdaListesi,A211)=0,"HATA: geçersiz oda no",IF(OR(NOT(ISNUMBER(D211)),NOT(ISNUMBER(E211))),"HATA: tarih geçersiz",IF(E211&lt;=D211,"HATA: çıkış girişten sonra olmalı",IF(OR(NOT(ISNUMBER(C211)),C211&lt;1,C211&gt;MaxKisi,C211&lt;&gt;INT(C211)),"HATA: kişi sayısı geçersiz",IF(OR(NOT(ISNUMBER(G211)),G211&lt;0),"HATA: tutar geçersiz",IF(B211&lt;&gt;TRIM(B211),"HATA: isimde baştaki/sondaki boşluk",IF(COUNTIF(KaynakAralik,H211)=0,"HATA: kaynak listede yok",IF(AND(F211&lt;&gt;"Bekleniyor",F211&lt;&gt;"Geldi",F211&lt;&gt;"İptal"),"HATA: giriş durumu geçersiz",IF(AND(F211&lt;&gt;"İptal",COUNTIFS($A$6:$A$1005,A211,$D$6:$D$1005,"&lt;"&amp;E211,$E$6:$E$1005,"&gt;"&amp;D211,$F$6:$F$1005,"&lt;&gt;İptal")&gt;1),"HATA: oda bu tarihlerde çakışıyor",IF(AND(F211="Bekleniyor",D211&lt;RaporTarihi),"HATA: giriş günü geçti, Geldi veya İptal yapın","OK"))))))))))))</f>
        <v/>
      </c>
      <c r="L211" s="25">
        <f>IF(AND(ISNUMBER(A211),F211&lt;&gt;"İptal",ISNUMBER(D211),ISNUMBER(E211),D211&lt;=RaporTarihi,E211&gt;RaporTarihi),A211,"")</f>
        <v/>
      </c>
    </row>
    <row r="212">
      <c r="A212" s="22" t="n"/>
      <c r="B212" s="22" t="n"/>
      <c r="C212" s="22" t="n"/>
      <c r="D212" s="23" t="n"/>
      <c r="E212" s="23" t="n"/>
      <c r="F212" s="22" t="n"/>
      <c r="G212" s="24" t="n"/>
      <c r="H212" s="22" t="n"/>
      <c r="I212" s="25">
        <f>IF(AND(ISNUMBER(D212),ISNUMBER(E212)),E212-D212,"")</f>
        <v/>
      </c>
      <c r="J212" s="26">
        <f>IF(AND(ISNUMBER(I212),ISNUMBER(G212)),IF(I212&gt;0,G212/I212,""),"")</f>
        <v/>
      </c>
      <c r="K212" s="25">
        <f>IF(COUNTA(A212:H212)=0,"",IF(OR(A212="",B212="",C212="",D212="",E212="",F212="",G212="",H212=""),"HATA: eksik bilgi",IF(COUNTIF(OdaListesi,A212)=0,"HATA: geçersiz oda no",IF(OR(NOT(ISNUMBER(D212)),NOT(ISNUMBER(E212))),"HATA: tarih geçersiz",IF(E212&lt;=D212,"HATA: çıkış girişten sonra olmalı",IF(OR(NOT(ISNUMBER(C212)),C212&lt;1,C212&gt;MaxKisi,C212&lt;&gt;INT(C212)),"HATA: kişi sayısı geçersiz",IF(OR(NOT(ISNUMBER(G212)),G212&lt;0),"HATA: tutar geçersiz",IF(B212&lt;&gt;TRIM(B212),"HATA: isimde baştaki/sondaki boşluk",IF(COUNTIF(KaynakAralik,H212)=0,"HATA: kaynak listede yok",IF(AND(F212&lt;&gt;"Bekleniyor",F212&lt;&gt;"Geldi",F212&lt;&gt;"İptal"),"HATA: giriş durumu geçersiz",IF(AND(F212&lt;&gt;"İptal",COUNTIFS($A$6:$A$1005,A212,$D$6:$D$1005,"&lt;"&amp;E212,$E$6:$E$1005,"&gt;"&amp;D212,$F$6:$F$1005,"&lt;&gt;İptal")&gt;1),"HATA: oda bu tarihlerde çakışıyor",IF(AND(F212="Bekleniyor",D212&lt;RaporTarihi),"HATA: giriş günü geçti, Geldi veya İptal yapın","OK"))))))))))))</f>
        <v/>
      </c>
      <c r="L212" s="25">
        <f>IF(AND(ISNUMBER(A212),F212&lt;&gt;"İptal",ISNUMBER(D212),ISNUMBER(E212),D212&lt;=RaporTarihi,E212&gt;RaporTarihi),A212,"")</f>
        <v/>
      </c>
    </row>
    <row r="213">
      <c r="A213" s="22" t="n"/>
      <c r="B213" s="22" t="n"/>
      <c r="C213" s="22" t="n"/>
      <c r="D213" s="23" t="n"/>
      <c r="E213" s="23" t="n"/>
      <c r="F213" s="22" t="n"/>
      <c r="G213" s="24" t="n"/>
      <c r="H213" s="22" t="n"/>
      <c r="I213" s="25">
        <f>IF(AND(ISNUMBER(D213),ISNUMBER(E213)),E213-D213,"")</f>
        <v/>
      </c>
      <c r="J213" s="26">
        <f>IF(AND(ISNUMBER(I213),ISNUMBER(G213)),IF(I213&gt;0,G213/I213,""),"")</f>
        <v/>
      </c>
      <c r="K213" s="25">
        <f>IF(COUNTA(A213:H213)=0,"",IF(OR(A213="",B213="",C213="",D213="",E213="",F213="",G213="",H213=""),"HATA: eksik bilgi",IF(COUNTIF(OdaListesi,A213)=0,"HATA: geçersiz oda no",IF(OR(NOT(ISNUMBER(D213)),NOT(ISNUMBER(E213))),"HATA: tarih geçersiz",IF(E213&lt;=D213,"HATA: çıkış girişten sonra olmalı",IF(OR(NOT(ISNUMBER(C213)),C213&lt;1,C213&gt;MaxKisi,C213&lt;&gt;INT(C213)),"HATA: kişi sayısı geçersiz",IF(OR(NOT(ISNUMBER(G213)),G213&lt;0),"HATA: tutar geçersiz",IF(B213&lt;&gt;TRIM(B213),"HATA: isimde baştaki/sondaki boşluk",IF(COUNTIF(KaynakAralik,H213)=0,"HATA: kaynak listede yok",IF(AND(F213&lt;&gt;"Bekleniyor",F213&lt;&gt;"Geldi",F213&lt;&gt;"İptal"),"HATA: giriş durumu geçersiz",IF(AND(F213&lt;&gt;"İptal",COUNTIFS($A$6:$A$1005,A213,$D$6:$D$1005,"&lt;"&amp;E213,$E$6:$E$1005,"&gt;"&amp;D213,$F$6:$F$1005,"&lt;&gt;İptal")&gt;1),"HATA: oda bu tarihlerde çakışıyor",IF(AND(F213="Bekleniyor",D213&lt;RaporTarihi),"HATA: giriş günü geçti, Geldi veya İptal yapın","OK"))))))))))))</f>
        <v/>
      </c>
      <c r="L213" s="25">
        <f>IF(AND(ISNUMBER(A213),F213&lt;&gt;"İptal",ISNUMBER(D213),ISNUMBER(E213),D213&lt;=RaporTarihi,E213&gt;RaporTarihi),A213,"")</f>
        <v/>
      </c>
    </row>
    <row r="214">
      <c r="A214" s="22" t="n"/>
      <c r="B214" s="22" t="n"/>
      <c r="C214" s="22" t="n"/>
      <c r="D214" s="23" t="n"/>
      <c r="E214" s="23" t="n"/>
      <c r="F214" s="22" t="n"/>
      <c r="G214" s="24" t="n"/>
      <c r="H214" s="22" t="n"/>
      <c r="I214" s="25">
        <f>IF(AND(ISNUMBER(D214),ISNUMBER(E214)),E214-D214,"")</f>
        <v/>
      </c>
      <c r="J214" s="26">
        <f>IF(AND(ISNUMBER(I214),ISNUMBER(G214)),IF(I214&gt;0,G214/I214,""),"")</f>
        <v/>
      </c>
      <c r="K214" s="25">
        <f>IF(COUNTA(A214:H214)=0,"",IF(OR(A214="",B214="",C214="",D214="",E214="",F214="",G214="",H214=""),"HATA: eksik bilgi",IF(COUNTIF(OdaListesi,A214)=0,"HATA: geçersiz oda no",IF(OR(NOT(ISNUMBER(D214)),NOT(ISNUMBER(E214))),"HATA: tarih geçersiz",IF(E214&lt;=D214,"HATA: çıkış girişten sonra olmalı",IF(OR(NOT(ISNUMBER(C214)),C214&lt;1,C214&gt;MaxKisi,C214&lt;&gt;INT(C214)),"HATA: kişi sayısı geçersiz",IF(OR(NOT(ISNUMBER(G214)),G214&lt;0),"HATA: tutar geçersiz",IF(B214&lt;&gt;TRIM(B214),"HATA: isimde baştaki/sondaki boşluk",IF(COUNTIF(KaynakAralik,H214)=0,"HATA: kaynak listede yok",IF(AND(F214&lt;&gt;"Bekleniyor",F214&lt;&gt;"Geldi",F214&lt;&gt;"İptal"),"HATA: giriş durumu geçersiz",IF(AND(F214&lt;&gt;"İptal",COUNTIFS($A$6:$A$1005,A214,$D$6:$D$1005,"&lt;"&amp;E214,$E$6:$E$1005,"&gt;"&amp;D214,$F$6:$F$1005,"&lt;&gt;İptal")&gt;1),"HATA: oda bu tarihlerde çakışıyor",IF(AND(F214="Bekleniyor",D214&lt;RaporTarihi),"HATA: giriş günü geçti, Geldi veya İptal yapın","OK"))))))))))))</f>
        <v/>
      </c>
      <c r="L214" s="25">
        <f>IF(AND(ISNUMBER(A214),F214&lt;&gt;"İptal",ISNUMBER(D214),ISNUMBER(E214),D214&lt;=RaporTarihi,E214&gt;RaporTarihi),A214,"")</f>
        <v/>
      </c>
    </row>
    <row r="215">
      <c r="A215" s="22" t="n"/>
      <c r="B215" s="22" t="n"/>
      <c r="C215" s="22" t="n"/>
      <c r="D215" s="23" t="n"/>
      <c r="E215" s="23" t="n"/>
      <c r="F215" s="22" t="n"/>
      <c r="G215" s="24" t="n"/>
      <c r="H215" s="22" t="n"/>
      <c r="I215" s="25">
        <f>IF(AND(ISNUMBER(D215),ISNUMBER(E215)),E215-D215,"")</f>
        <v/>
      </c>
      <c r="J215" s="26">
        <f>IF(AND(ISNUMBER(I215),ISNUMBER(G215)),IF(I215&gt;0,G215/I215,""),"")</f>
        <v/>
      </c>
      <c r="K215" s="25">
        <f>IF(COUNTA(A215:H215)=0,"",IF(OR(A215="",B215="",C215="",D215="",E215="",F215="",G215="",H215=""),"HATA: eksik bilgi",IF(COUNTIF(OdaListesi,A215)=0,"HATA: geçersiz oda no",IF(OR(NOT(ISNUMBER(D215)),NOT(ISNUMBER(E215))),"HATA: tarih geçersiz",IF(E215&lt;=D215,"HATA: çıkış girişten sonra olmalı",IF(OR(NOT(ISNUMBER(C215)),C215&lt;1,C215&gt;MaxKisi,C215&lt;&gt;INT(C215)),"HATA: kişi sayısı geçersiz",IF(OR(NOT(ISNUMBER(G215)),G215&lt;0),"HATA: tutar geçersiz",IF(B215&lt;&gt;TRIM(B215),"HATA: isimde baştaki/sondaki boşluk",IF(COUNTIF(KaynakAralik,H215)=0,"HATA: kaynak listede yok",IF(AND(F215&lt;&gt;"Bekleniyor",F215&lt;&gt;"Geldi",F215&lt;&gt;"İptal"),"HATA: giriş durumu geçersiz",IF(AND(F215&lt;&gt;"İptal",COUNTIFS($A$6:$A$1005,A215,$D$6:$D$1005,"&lt;"&amp;E215,$E$6:$E$1005,"&gt;"&amp;D215,$F$6:$F$1005,"&lt;&gt;İptal")&gt;1),"HATA: oda bu tarihlerde çakışıyor",IF(AND(F215="Bekleniyor",D215&lt;RaporTarihi),"HATA: giriş günü geçti, Geldi veya İptal yapın","OK"))))))))))))</f>
        <v/>
      </c>
      <c r="L215" s="25">
        <f>IF(AND(ISNUMBER(A215),F215&lt;&gt;"İptal",ISNUMBER(D215),ISNUMBER(E215),D215&lt;=RaporTarihi,E215&gt;RaporTarihi),A215,"")</f>
        <v/>
      </c>
    </row>
    <row r="216">
      <c r="A216" s="22" t="n"/>
      <c r="B216" s="22" t="n"/>
      <c r="C216" s="22" t="n"/>
      <c r="D216" s="23" t="n"/>
      <c r="E216" s="23" t="n"/>
      <c r="F216" s="22" t="n"/>
      <c r="G216" s="24" t="n"/>
      <c r="H216" s="22" t="n"/>
      <c r="I216" s="25">
        <f>IF(AND(ISNUMBER(D216),ISNUMBER(E216)),E216-D216,"")</f>
        <v/>
      </c>
      <c r="J216" s="26">
        <f>IF(AND(ISNUMBER(I216),ISNUMBER(G216)),IF(I216&gt;0,G216/I216,""),"")</f>
        <v/>
      </c>
      <c r="K216" s="25">
        <f>IF(COUNTA(A216:H216)=0,"",IF(OR(A216="",B216="",C216="",D216="",E216="",F216="",G216="",H216=""),"HATA: eksik bilgi",IF(COUNTIF(OdaListesi,A216)=0,"HATA: geçersiz oda no",IF(OR(NOT(ISNUMBER(D216)),NOT(ISNUMBER(E216))),"HATA: tarih geçersiz",IF(E216&lt;=D216,"HATA: çıkış girişten sonra olmalı",IF(OR(NOT(ISNUMBER(C216)),C216&lt;1,C216&gt;MaxKisi,C216&lt;&gt;INT(C216)),"HATA: kişi sayısı geçersiz",IF(OR(NOT(ISNUMBER(G216)),G216&lt;0),"HATA: tutar geçersiz",IF(B216&lt;&gt;TRIM(B216),"HATA: isimde baştaki/sondaki boşluk",IF(COUNTIF(KaynakAralik,H216)=0,"HATA: kaynak listede yok",IF(AND(F216&lt;&gt;"Bekleniyor",F216&lt;&gt;"Geldi",F216&lt;&gt;"İptal"),"HATA: giriş durumu geçersiz",IF(AND(F216&lt;&gt;"İptal",COUNTIFS($A$6:$A$1005,A216,$D$6:$D$1005,"&lt;"&amp;E216,$E$6:$E$1005,"&gt;"&amp;D216,$F$6:$F$1005,"&lt;&gt;İptal")&gt;1),"HATA: oda bu tarihlerde çakışıyor",IF(AND(F216="Bekleniyor",D216&lt;RaporTarihi),"HATA: giriş günü geçti, Geldi veya İptal yapın","OK"))))))))))))</f>
        <v/>
      </c>
      <c r="L216" s="25">
        <f>IF(AND(ISNUMBER(A216),F216&lt;&gt;"İptal",ISNUMBER(D216),ISNUMBER(E216),D216&lt;=RaporTarihi,E216&gt;RaporTarihi),A216,"")</f>
        <v/>
      </c>
    </row>
    <row r="217">
      <c r="A217" s="22" t="n"/>
      <c r="B217" s="22" t="n"/>
      <c r="C217" s="22" t="n"/>
      <c r="D217" s="23" t="n"/>
      <c r="E217" s="23" t="n"/>
      <c r="F217" s="22" t="n"/>
      <c r="G217" s="24" t="n"/>
      <c r="H217" s="22" t="n"/>
      <c r="I217" s="25">
        <f>IF(AND(ISNUMBER(D217),ISNUMBER(E217)),E217-D217,"")</f>
        <v/>
      </c>
      <c r="J217" s="26">
        <f>IF(AND(ISNUMBER(I217),ISNUMBER(G217)),IF(I217&gt;0,G217/I217,""),"")</f>
        <v/>
      </c>
      <c r="K217" s="25">
        <f>IF(COUNTA(A217:H217)=0,"",IF(OR(A217="",B217="",C217="",D217="",E217="",F217="",G217="",H217=""),"HATA: eksik bilgi",IF(COUNTIF(OdaListesi,A217)=0,"HATA: geçersiz oda no",IF(OR(NOT(ISNUMBER(D217)),NOT(ISNUMBER(E217))),"HATA: tarih geçersiz",IF(E217&lt;=D217,"HATA: çıkış girişten sonra olmalı",IF(OR(NOT(ISNUMBER(C217)),C217&lt;1,C217&gt;MaxKisi,C217&lt;&gt;INT(C217)),"HATA: kişi sayısı geçersiz",IF(OR(NOT(ISNUMBER(G217)),G217&lt;0),"HATA: tutar geçersiz",IF(B217&lt;&gt;TRIM(B217),"HATA: isimde baştaki/sondaki boşluk",IF(COUNTIF(KaynakAralik,H217)=0,"HATA: kaynak listede yok",IF(AND(F217&lt;&gt;"Bekleniyor",F217&lt;&gt;"Geldi",F217&lt;&gt;"İptal"),"HATA: giriş durumu geçersiz",IF(AND(F217&lt;&gt;"İptal",COUNTIFS($A$6:$A$1005,A217,$D$6:$D$1005,"&lt;"&amp;E217,$E$6:$E$1005,"&gt;"&amp;D217,$F$6:$F$1005,"&lt;&gt;İptal")&gt;1),"HATA: oda bu tarihlerde çakışıyor",IF(AND(F217="Bekleniyor",D217&lt;RaporTarihi),"HATA: giriş günü geçti, Geldi veya İptal yapın","OK"))))))))))))</f>
        <v/>
      </c>
      <c r="L217" s="25">
        <f>IF(AND(ISNUMBER(A217),F217&lt;&gt;"İptal",ISNUMBER(D217),ISNUMBER(E217),D217&lt;=RaporTarihi,E217&gt;RaporTarihi),A217,"")</f>
        <v/>
      </c>
    </row>
    <row r="218">
      <c r="A218" s="22" t="n"/>
      <c r="B218" s="22" t="n"/>
      <c r="C218" s="22" t="n"/>
      <c r="D218" s="23" t="n"/>
      <c r="E218" s="23" t="n"/>
      <c r="F218" s="22" t="n"/>
      <c r="G218" s="24" t="n"/>
      <c r="H218" s="22" t="n"/>
      <c r="I218" s="25">
        <f>IF(AND(ISNUMBER(D218),ISNUMBER(E218)),E218-D218,"")</f>
        <v/>
      </c>
      <c r="J218" s="26">
        <f>IF(AND(ISNUMBER(I218),ISNUMBER(G218)),IF(I218&gt;0,G218/I218,""),"")</f>
        <v/>
      </c>
      <c r="K218" s="25">
        <f>IF(COUNTA(A218:H218)=0,"",IF(OR(A218="",B218="",C218="",D218="",E218="",F218="",G218="",H218=""),"HATA: eksik bilgi",IF(COUNTIF(OdaListesi,A218)=0,"HATA: geçersiz oda no",IF(OR(NOT(ISNUMBER(D218)),NOT(ISNUMBER(E218))),"HATA: tarih geçersiz",IF(E218&lt;=D218,"HATA: çıkış girişten sonra olmalı",IF(OR(NOT(ISNUMBER(C218)),C218&lt;1,C218&gt;MaxKisi,C218&lt;&gt;INT(C218)),"HATA: kişi sayısı geçersiz",IF(OR(NOT(ISNUMBER(G218)),G218&lt;0),"HATA: tutar geçersiz",IF(B218&lt;&gt;TRIM(B218),"HATA: isimde baştaki/sondaki boşluk",IF(COUNTIF(KaynakAralik,H218)=0,"HATA: kaynak listede yok",IF(AND(F218&lt;&gt;"Bekleniyor",F218&lt;&gt;"Geldi",F218&lt;&gt;"İptal"),"HATA: giriş durumu geçersiz",IF(AND(F218&lt;&gt;"İptal",COUNTIFS($A$6:$A$1005,A218,$D$6:$D$1005,"&lt;"&amp;E218,$E$6:$E$1005,"&gt;"&amp;D218,$F$6:$F$1005,"&lt;&gt;İptal")&gt;1),"HATA: oda bu tarihlerde çakışıyor",IF(AND(F218="Bekleniyor",D218&lt;RaporTarihi),"HATA: giriş günü geçti, Geldi veya İptal yapın","OK"))))))))))))</f>
        <v/>
      </c>
      <c r="L218" s="25">
        <f>IF(AND(ISNUMBER(A218),F218&lt;&gt;"İptal",ISNUMBER(D218),ISNUMBER(E218),D218&lt;=RaporTarihi,E218&gt;RaporTarihi),A218,"")</f>
        <v/>
      </c>
    </row>
    <row r="219">
      <c r="A219" s="22" t="n"/>
      <c r="B219" s="22" t="n"/>
      <c r="C219" s="22" t="n"/>
      <c r="D219" s="23" t="n"/>
      <c r="E219" s="23" t="n"/>
      <c r="F219" s="22" t="n"/>
      <c r="G219" s="24" t="n"/>
      <c r="H219" s="22" t="n"/>
      <c r="I219" s="25">
        <f>IF(AND(ISNUMBER(D219),ISNUMBER(E219)),E219-D219,"")</f>
        <v/>
      </c>
      <c r="J219" s="26">
        <f>IF(AND(ISNUMBER(I219),ISNUMBER(G219)),IF(I219&gt;0,G219/I219,""),"")</f>
        <v/>
      </c>
      <c r="K219" s="25">
        <f>IF(COUNTA(A219:H219)=0,"",IF(OR(A219="",B219="",C219="",D219="",E219="",F219="",G219="",H219=""),"HATA: eksik bilgi",IF(COUNTIF(OdaListesi,A219)=0,"HATA: geçersiz oda no",IF(OR(NOT(ISNUMBER(D219)),NOT(ISNUMBER(E219))),"HATA: tarih geçersiz",IF(E219&lt;=D219,"HATA: çıkış girişten sonra olmalı",IF(OR(NOT(ISNUMBER(C219)),C219&lt;1,C219&gt;MaxKisi,C219&lt;&gt;INT(C219)),"HATA: kişi sayısı geçersiz",IF(OR(NOT(ISNUMBER(G219)),G219&lt;0),"HATA: tutar geçersiz",IF(B219&lt;&gt;TRIM(B219),"HATA: isimde baştaki/sondaki boşluk",IF(COUNTIF(KaynakAralik,H219)=0,"HATA: kaynak listede yok",IF(AND(F219&lt;&gt;"Bekleniyor",F219&lt;&gt;"Geldi",F219&lt;&gt;"İptal"),"HATA: giriş durumu geçersiz",IF(AND(F219&lt;&gt;"İptal",COUNTIFS($A$6:$A$1005,A219,$D$6:$D$1005,"&lt;"&amp;E219,$E$6:$E$1005,"&gt;"&amp;D219,$F$6:$F$1005,"&lt;&gt;İptal")&gt;1),"HATA: oda bu tarihlerde çakışıyor",IF(AND(F219="Bekleniyor",D219&lt;RaporTarihi),"HATA: giriş günü geçti, Geldi veya İptal yapın","OK"))))))))))))</f>
        <v/>
      </c>
      <c r="L219" s="25">
        <f>IF(AND(ISNUMBER(A219),F219&lt;&gt;"İptal",ISNUMBER(D219),ISNUMBER(E219),D219&lt;=RaporTarihi,E219&gt;RaporTarihi),A219,"")</f>
        <v/>
      </c>
    </row>
    <row r="220">
      <c r="A220" s="22" t="n"/>
      <c r="B220" s="22" t="n"/>
      <c r="C220" s="22" t="n"/>
      <c r="D220" s="23" t="n"/>
      <c r="E220" s="23" t="n"/>
      <c r="F220" s="22" t="n"/>
      <c r="G220" s="24" t="n"/>
      <c r="H220" s="22" t="n"/>
      <c r="I220" s="25">
        <f>IF(AND(ISNUMBER(D220),ISNUMBER(E220)),E220-D220,"")</f>
        <v/>
      </c>
      <c r="J220" s="26">
        <f>IF(AND(ISNUMBER(I220),ISNUMBER(G220)),IF(I220&gt;0,G220/I220,""),"")</f>
        <v/>
      </c>
      <c r="K220" s="25">
        <f>IF(COUNTA(A220:H220)=0,"",IF(OR(A220="",B220="",C220="",D220="",E220="",F220="",G220="",H220=""),"HATA: eksik bilgi",IF(COUNTIF(OdaListesi,A220)=0,"HATA: geçersiz oda no",IF(OR(NOT(ISNUMBER(D220)),NOT(ISNUMBER(E220))),"HATA: tarih geçersiz",IF(E220&lt;=D220,"HATA: çıkış girişten sonra olmalı",IF(OR(NOT(ISNUMBER(C220)),C220&lt;1,C220&gt;MaxKisi,C220&lt;&gt;INT(C220)),"HATA: kişi sayısı geçersiz",IF(OR(NOT(ISNUMBER(G220)),G220&lt;0),"HATA: tutar geçersiz",IF(B220&lt;&gt;TRIM(B220),"HATA: isimde baştaki/sondaki boşluk",IF(COUNTIF(KaynakAralik,H220)=0,"HATA: kaynak listede yok",IF(AND(F220&lt;&gt;"Bekleniyor",F220&lt;&gt;"Geldi",F220&lt;&gt;"İptal"),"HATA: giriş durumu geçersiz",IF(AND(F220&lt;&gt;"İptal",COUNTIFS($A$6:$A$1005,A220,$D$6:$D$1005,"&lt;"&amp;E220,$E$6:$E$1005,"&gt;"&amp;D220,$F$6:$F$1005,"&lt;&gt;İptal")&gt;1),"HATA: oda bu tarihlerde çakışıyor",IF(AND(F220="Bekleniyor",D220&lt;RaporTarihi),"HATA: giriş günü geçti, Geldi veya İptal yapın","OK"))))))))))))</f>
        <v/>
      </c>
      <c r="L220" s="25">
        <f>IF(AND(ISNUMBER(A220),F220&lt;&gt;"İptal",ISNUMBER(D220),ISNUMBER(E220),D220&lt;=RaporTarihi,E220&gt;RaporTarihi),A220,"")</f>
        <v/>
      </c>
    </row>
    <row r="221">
      <c r="A221" s="22" t="n"/>
      <c r="B221" s="22" t="n"/>
      <c r="C221" s="22" t="n"/>
      <c r="D221" s="23" t="n"/>
      <c r="E221" s="23" t="n"/>
      <c r="F221" s="22" t="n"/>
      <c r="G221" s="24" t="n"/>
      <c r="H221" s="22" t="n"/>
      <c r="I221" s="25">
        <f>IF(AND(ISNUMBER(D221),ISNUMBER(E221)),E221-D221,"")</f>
        <v/>
      </c>
      <c r="J221" s="26">
        <f>IF(AND(ISNUMBER(I221),ISNUMBER(G221)),IF(I221&gt;0,G221/I221,""),"")</f>
        <v/>
      </c>
      <c r="K221" s="25">
        <f>IF(COUNTA(A221:H221)=0,"",IF(OR(A221="",B221="",C221="",D221="",E221="",F221="",G221="",H221=""),"HATA: eksik bilgi",IF(COUNTIF(OdaListesi,A221)=0,"HATA: geçersiz oda no",IF(OR(NOT(ISNUMBER(D221)),NOT(ISNUMBER(E221))),"HATA: tarih geçersiz",IF(E221&lt;=D221,"HATA: çıkış girişten sonra olmalı",IF(OR(NOT(ISNUMBER(C221)),C221&lt;1,C221&gt;MaxKisi,C221&lt;&gt;INT(C221)),"HATA: kişi sayısı geçersiz",IF(OR(NOT(ISNUMBER(G221)),G221&lt;0),"HATA: tutar geçersiz",IF(B221&lt;&gt;TRIM(B221),"HATA: isimde baştaki/sondaki boşluk",IF(COUNTIF(KaynakAralik,H221)=0,"HATA: kaynak listede yok",IF(AND(F221&lt;&gt;"Bekleniyor",F221&lt;&gt;"Geldi",F221&lt;&gt;"İptal"),"HATA: giriş durumu geçersiz",IF(AND(F221&lt;&gt;"İptal",COUNTIFS($A$6:$A$1005,A221,$D$6:$D$1005,"&lt;"&amp;E221,$E$6:$E$1005,"&gt;"&amp;D221,$F$6:$F$1005,"&lt;&gt;İptal")&gt;1),"HATA: oda bu tarihlerde çakışıyor",IF(AND(F221="Bekleniyor",D221&lt;RaporTarihi),"HATA: giriş günü geçti, Geldi veya İptal yapın","OK"))))))))))))</f>
        <v/>
      </c>
      <c r="L221" s="25">
        <f>IF(AND(ISNUMBER(A221),F221&lt;&gt;"İptal",ISNUMBER(D221),ISNUMBER(E221),D221&lt;=RaporTarihi,E221&gt;RaporTarihi),A221,"")</f>
        <v/>
      </c>
    </row>
    <row r="222">
      <c r="A222" s="22" t="n"/>
      <c r="B222" s="22" t="n"/>
      <c r="C222" s="22" t="n"/>
      <c r="D222" s="23" t="n"/>
      <c r="E222" s="23" t="n"/>
      <c r="F222" s="22" t="n"/>
      <c r="G222" s="24" t="n"/>
      <c r="H222" s="22" t="n"/>
      <c r="I222" s="25">
        <f>IF(AND(ISNUMBER(D222),ISNUMBER(E222)),E222-D222,"")</f>
        <v/>
      </c>
      <c r="J222" s="26">
        <f>IF(AND(ISNUMBER(I222),ISNUMBER(G222)),IF(I222&gt;0,G222/I222,""),"")</f>
        <v/>
      </c>
      <c r="K222" s="25">
        <f>IF(COUNTA(A222:H222)=0,"",IF(OR(A222="",B222="",C222="",D222="",E222="",F222="",G222="",H222=""),"HATA: eksik bilgi",IF(COUNTIF(OdaListesi,A222)=0,"HATA: geçersiz oda no",IF(OR(NOT(ISNUMBER(D222)),NOT(ISNUMBER(E222))),"HATA: tarih geçersiz",IF(E222&lt;=D222,"HATA: çıkış girişten sonra olmalı",IF(OR(NOT(ISNUMBER(C222)),C222&lt;1,C222&gt;MaxKisi,C222&lt;&gt;INT(C222)),"HATA: kişi sayısı geçersiz",IF(OR(NOT(ISNUMBER(G222)),G222&lt;0),"HATA: tutar geçersiz",IF(B222&lt;&gt;TRIM(B222),"HATA: isimde baştaki/sondaki boşluk",IF(COUNTIF(KaynakAralik,H222)=0,"HATA: kaynak listede yok",IF(AND(F222&lt;&gt;"Bekleniyor",F222&lt;&gt;"Geldi",F222&lt;&gt;"İptal"),"HATA: giriş durumu geçersiz",IF(AND(F222&lt;&gt;"İptal",COUNTIFS($A$6:$A$1005,A222,$D$6:$D$1005,"&lt;"&amp;E222,$E$6:$E$1005,"&gt;"&amp;D222,$F$6:$F$1005,"&lt;&gt;İptal")&gt;1),"HATA: oda bu tarihlerde çakışıyor",IF(AND(F222="Bekleniyor",D222&lt;RaporTarihi),"HATA: giriş günü geçti, Geldi veya İptal yapın","OK"))))))))))))</f>
        <v/>
      </c>
      <c r="L222" s="25">
        <f>IF(AND(ISNUMBER(A222),F222&lt;&gt;"İptal",ISNUMBER(D222),ISNUMBER(E222),D222&lt;=RaporTarihi,E222&gt;RaporTarihi),A222,"")</f>
        <v/>
      </c>
    </row>
    <row r="223">
      <c r="A223" s="22" t="n"/>
      <c r="B223" s="22" t="n"/>
      <c r="C223" s="22" t="n"/>
      <c r="D223" s="23" t="n"/>
      <c r="E223" s="23" t="n"/>
      <c r="F223" s="22" t="n"/>
      <c r="G223" s="24" t="n"/>
      <c r="H223" s="22" t="n"/>
      <c r="I223" s="25">
        <f>IF(AND(ISNUMBER(D223),ISNUMBER(E223)),E223-D223,"")</f>
        <v/>
      </c>
      <c r="J223" s="26">
        <f>IF(AND(ISNUMBER(I223),ISNUMBER(G223)),IF(I223&gt;0,G223/I223,""),"")</f>
        <v/>
      </c>
      <c r="K223" s="25">
        <f>IF(COUNTA(A223:H223)=0,"",IF(OR(A223="",B223="",C223="",D223="",E223="",F223="",G223="",H223=""),"HATA: eksik bilgi",IF(COUNTIF(OdaListesi,A223)=0,"HATA: geçersiz oda no",IF(OR(NOT(ISNUMBER(D223)),NOT(ISNUMBER(E223))),"HATA: tarih geçersiz",IF(E223&lt;=D223,"HATA: çıkış girişten sonra olmalı",IF(OR(NOT(ISNUMBER(C223)),C223&lt;1,C223&gt;MaxKisi,C223&lt;&gt;INT(C223)),"HATA: kişi sayısı geçersiz",IF(OR(NOT(ISNUMBER(G223)),G223&lt;0),"HATA: tutar geçersiz",IF(B223&lt;&gt;TRIM(B223),"HATA: isimde baştaki/sondaki boşluk",IF(COUNTIF(KaynakAralik,H223)=0,"HATA: kaynak listede yok",IF(AND(F223&lt;&gt;"Bekleniyor",F223&lt;&gt;"Geldi",F223&lt;&gt;"İptal"),"HATA: giriş durumu geçersiz",IF(AND(F223&lt;&gt;"İptal",COUNTIFS($A$6:$A$1005,A223,$D$6:$D$1005,"&lt;"&amp;E223,$E$6:$E$1005,"&gt;"&amp;D223,$F$6:$F$1005,"&lt;&gt;İptal")&gt;1),"HATA: oda bu tarihlerde çakışıyor",IF(AND(F223="Bekleniyor",D223&lt;RaporTarihi),"HATA: giriş günü geçti, Geldi veya İptal yapın","OK"))))))))))))</f>
        <v/>
      </c>
      <c r="L223" s="25">
        <f>IF(AND(ISNUMBER(A223),F223&lt;&gt;"İptal",ISNUMBER(D223),ISNUMBER(E223),D223&lt;=RaporTarihi,E223&gt;RaporTarihi),A223,"")</f>
        <v/>
      </c>
    </row>
    <row r="224">
      <c r="A224" s="22" t="n"/>
      <c r="B224" s="22" t="n"/>
      <c r="C224" s="22" t="n"/>
      <c r="D224" s="23" t="n"/>
      <c r="E224" s="23" t="n"/>
      <c r="F224" s="22" t="n"/>
      <c r="G224" s="24" t="n"/>
      <c r="H224" s="22" t="n"/>
      <c r="I224" s="25">
        <f>IF(AND(ISNUMBER(D224),ISNUMBER(E224)),E224-D224,"")</f>
        <v/>
      </c>
      <c r="J224" s="26">
        <f>IF(AND(ISNUMBER(I224),ISNUMBER(G224)),IF(I224&gt;0,G224/I224,""),"")</f>
        <v/>
      </c>
      <c r="K224" s="25">
        <f>IF(COUNTA(A224:H224)=0,"",IF(OR(A224="",B224="",C224="",D224="",E224="",F224="",G224="",H224=""),"HATA: eksik bilgi",IF(COUNTIF(OdaListesi,A224)=0,"HATA: geçersiz oda no",IF(OR(NOT(ISNUMBER(D224)),NOT(ISNUMBER(E224))),"HATA: tarih geçersiz",IF(E224&lt;=D224,"HATA: çıkış girişten sonra olmalı",IF(OR(NOT(ISNUMBER(C224)),C224&lt;1,C224&gt;MaxKisi,C224&lt;&gt;INT(C224)),"HATA: kişi sayısı geçersiz",IF(OR(NOT(ISNUMBER(G224)),G224&lt;0),"HATA: tutar geçersiz",IF(B224&lt;&gt;TRIM(B224),"HATA: isimde baştaki/sondaki boşluk",IF(COUNTIF(KaynakAralik,H224)=0,"HATA: kaynak listede yok",IF(AND(F224&lt;&gt;"Bekleniyor",F224&lt;&gt;"Geldi",F224&lt;&gt;"İptal"),"HATA: giriş durumu geçersiz",IF(AND(F224&lt;&gt;"İptal",COUNTIFS($A$6:$A$1005,A224,$D$6:$D$1005,"&lt;"&amp;E224,$E$6:$E$1005,"&gt;"&amp;D224,$F$6:$F$1005,"&lt;&gt;İptal")&gt;1),"HATA: oda bu tarihlerde çakışıyor",IF(AND(F224="Bekleniyor",D224&lt;RaporTarihi),"HATA: giriş günü geçti, Geldi veya İptal yapın","OK"))))))))))))</f>
        <v/>
      </c>
      <c r="L224" s="25">
        <f>IF(AND(ISNUMBER(A224),F224&lt;&gt;"İptal",ISNUMBER(D224),ISNUMBER(E224),D224&lt;=RaporTarihi,E224&gt;RaporTarihi),A224,"")</f>
        <v/>
      </c>
    </row>
    <row r="225">
      <c r="A225" s="22" t="n"/>
      <c r="B225" s="22" t="n"/>
      <c r="C225" s="22" t="n"/>
      <c r="D225" s="23" t="n"/>
      <c r="E225" s="23" t="n"/>
      <c r="F225" s="22" t="n"/>
      <c r="G225" s="24" t="n"/>
      <c r="H225" s="22" t="n"/>
      <c r="I225" s="25">
        <f>IF(AND(ISNUMBER(D225),ISNUMBER(E225)),E225-D225,"")</f>
        <v/>
      </c>
      <c r="J225" s="26">
        <f>IF(AND(ISNUMBER(I225),ISNUMBER(G225)),IF(I225&gt;0,G225/I225,""),"")</f>
        <v/>
      </c>
      <c r="K225" s="25">
        <f>IF(COUNTA(A225:H225)=0,"",IF(OR(A225="",B225="",C225="",D225="",E225="",F225="",G225="",H225=""),"HATA: eksik bilgi",IF(COUNTIF(OdaListesi,A225)=0,"HATA: geçersiz oda no",IF(OR(NOT(ISNUMBER(D225)),NOT(ISNUMBER(E225))),"HATA: tarih geçersiz",IF(E225&lt;=D225,"HATA: çıkış girişten sonra olmalı",IF(OR(NOT(ISNUMBER(C225)),C225&lt;1,C225&gt;MaxKisi,C225&lt;&gt;INT(C225)),"HATA: kişi sayısı geçersiz",IF(OR(NOT(ISNUMBER(G225)),G225&lt;0),"HATA: tutar geçersiz",IF(B225&lt;&gt;TRIM(B225),"HATA: isimde baştaki/sondaki boşluk",IF(COUNTIF(KaynakAralik,H225)=0,"HATA: kaynak listede yok",IF(AND(F225&lt;&gt;"Bekleniyor",F225&lt;&gt;"Geldi",F225&lt;&gt;"İptal"),"HATA: giriş durumu geçersiz",IF(AND(F225&lt;&gt;"İptal",COUNTIFS($A$6:$A$1005,A225,$D$6:$D$1005,"&lt;"&amp;E225,$E$6:$E$1005,"&gt;"&amp;D225,$F$6:$F$1005,"&lt;&gt;İptal")&gt;1),"HATA: oda bu tarihlerde çakışıyor",IF(AND(F225="Bekleniyor",D225&lt;RaporTarihi),"HATA: giriş günü geçti, Geldi veya İptal yapın","OK"))))))))))))</f>
        <v/>
      </c>
      <c r="L225" s="25">
        <f>IF(AND(ISNUMBER(A225),F225&lt;&gt;"İptal",ISNUMBER(D225),ISNUMBER(E225),D225&lt;=RaporTarihi,E225&gt;RaporTarihi),A225,"")</f>
        <v/>
      </c>
    </row>
    <row r="226">
      <c r="A226" s="22" t="n"/>
      <c r="B226" s="22" t="n"/>
      <c r="C226" s="22" t="n"/>
      <c r="D226" s="23" t="n"/>
      <c r="E226" s="23" t="n"/>
      <c r="F226" s="22" t="n"/>
      <c r="G226" s="24" t="n"/>
      <c r="H226" s="22" t="n"/>
      <c r="I226" s="25">
        <f>IF(AND(ISNUMBER(D226),ISNUMBER(E226)),E226-D226,"")</f>
        <v/>
      </c>
      <c r="J226" s="26">
        <f>IF(AND(ISNUMBER(I226),ISNUMBER(G226)),IF(I226&gt;0,G226/I226,""),"")</f>
        <v/>
      </c>
      <c r="K226" s="25">
        <f>IF(COUNTA(A226:H226)=0,"",IF(OR(A226="",B226="",C226="",D226="",E226="",F226="",G226="",H226=""),"HATA: eksik bilgi",IF(COUNTIF(OdaListesi,A226)=0,"HATA: geçersiz oda no",IF(OR(NOT(ISNUMBER(D226)),NOT(ISNUMBER(E226))),"HATA: tarih geçersiz",IF(E226&lt;=D226,"HATA: çıkış girişten sonra olmalı",IF(OR(NOT(ISNUMBER(C226)),C226&lt;1,C226&gt;MaxKisi,C226&lt;&gt;INT(C226)),"HATA: kişi sayısı geçersiz",IF(OR(NOT(ISNUMBER(G226)),G226&lt;0),"HATA: tutar geçersiz",IF(B226&lt;&gt;TRIM(B226),"HATA: isimde baştaki/sondaki boşluk",IF(COUNTIF(KaynakAralik,H226)=0,"HATA: kaynak listede yok",IF(AND(F226&lt;&gt;"Bekleniyor",F226&lt;&gt;"Geldi",F226&lt;&gt;"İptal"),"HATA: giriş durumu geçersiz",IF(AND(F226&lt;&gt;"İptal",COUNTIFS($A$6:$A$1005,A226,$D$6:$D$1005,"&lt;"&amp;E226,$E$6:$E$1005,"&gt;"&amp;D226,$F$6:$F$1005,"&lt;&gt;İptal")&gt;1),"HATA: oda bu tarihlerde çakışıyor",IF(AND(F226="Bekleniyor",D226&lt;RaporTarihi),"HATA: giriş günü geçti, Geldi veya İptal yapın","OK"))))))))))))</f>
        <v/>
      </c>
      <c r="L226" s="25">
        <f>IF(AND(ISNUMBER(A226),F226&lt;&gt;"İptal",ISNUMBER(D226),ISNUMBER(E226),D226&lt;=RaporTarihi,E226&gt;RaporTarihi),A226,"")</f>
        <v/>
      </c>
    </row>
    <row r="227">
      <c r="A227" s="22" t="n"/>
      <c r="B227" s="22" t="n"/>
      <c r="C227" s="22" t="n"/>
      <c r="D227" s="23" t="n"/>
      <c r="E227" s="23" t="n"/>
      <c r="F227" s="22" t="n"/>
      <c r="G227" s="24" t="n"/>
      <c r="H227" s="22" t="n"/>
      <c r="I227" s="25">
        <f>IF(AND(ISNUMBER(D227),ISNUMBER(E227)),E227-D227,"")</f>
        <v/>
      </c>
      <c r="J227" s="26">
        <f>IF(AND(ISNUMBER(I227),ISNUMBER(G227)),IF(I227&gt;0,G227/I227,""),"")</f>
        <v/>
      </c>
      <c r="K227" s="25">
        <f>IF(COUNTA(A227:H227)=0,"",IF(OR(A227="",B227="",C227="",D227="",E227="",F227="",G227="",H227=""),"HATA: eksik bilgi",IF(COUNTIF(OdaListesi,A227)=0,"HATA: geçersiz oda no",IF(OR(NOT(ISNUMBER(D227)),NOT(ISNUMBER(E227))),"HATA: tarih geçersiz",IF(E227&lt;=D227,"HATA: çıkış girişten sonra olmalı",IF(OR(NOT(ISNUMBER(C227)),C227&lt;1,C227&gt;MaxKisi,C227&lt;&gt;INT(C227)),"HATA: kişi sayısı geçersiz",IF(OR(NOT(ISNUMBER(G227)),G227&lt;0),"HATA: tutar geçersiz",IF(B227&lt;&gt;TRIM(B227),"HATA: isimde baştaki/sondaki boşluk",IF(COUNTIF(KaynakAralik,H227)=0,"HATA: kaynak listede yok",IF(AND(F227&lt;&gt;"Bekleniyor",F227&lt;&gt;"Geldi",F227&lt;&gt;"İptal"),"HATA: giriş durumu geçersiz",IF(AND(F227&lt;&gt;"İptal",COUNTIFS($A$6:$A$1005,A227,$D$6:$D$1005,"&lt;"&amp;E227,$E$6:$E$1005,"&gt;"&amp;D227,$F$6:$F$1005,"&lt;&gt;İptal")&gt;1),"HATA: oda bu tarihlerde çakışıyor",IF(AND(F227="Bekleniyor",D227&lt;RaporTarihi),"HATA: giriş günü geçti, Geldi veya İptal yapın","OK"))))))))))))</f>
        <v/>
      </c>
      <c r="L227" s="25">
        <f>IF(AND(ISNUMBER(A227),F227&lt;&gt;"İptal",ISNUMBER(D227),ISNUMBER(E227),D227&lt;=RaporTarihi,E227&gt;RaporTarihi),A227,"")</f>
        <v/>
      </c>
    </row>
    <row r="228">
      <c r="A228" s="22" t="n"/>
      <c r="B228" s="22" t="n"/>
      <c r="C228" s="22" t="n"/>
      <c r="D228" s="23" t="n"/>
      <c r="E228" s="23" t="n"/>
      <c r="F228" s="22" t="n"/>
      <c r="G228" s="24" t="n"/>
      <c r="H228" s="22" t="n"/>
      <c r="I228" s="25">
        <f>IF(AND(ISNUMBER(D228),ISNUMBER(E228)),E228-D228,"")</f>
        <v/>
      </c>
      <c r="J228" s="26">
        <f>IF(AND(ISNUMBER(I228),ISNUMBER(G228)),IF(I228&gt;0,G228/I228,""),"")</f>
        <v/>
      </c>
      <c r="K228" s="25">
        <f>IF(COUNTA(A228:H228)=0,"",IF(OR(A228="",B228="",C228="",D228="",E228="",F228="",G228="",H228=""),"HATA: eksik bilgi",IF(COUNTIF(OdaListesi,A228)=0,"HATA: geçersiz oda no",IF(OR(NOT(ISNUMBER(D228)),NOT(ISNUMBER(E228))),"HATA: tarih geçersiz",IF(E228&lt;=D228,"HATA: çıkış girişten sonra olmalı",IF(OR(NOT(ISNUMBER(C228)),C228&lt;1,C228&gt;MaxKisi,C228&lt;&gt;INT(C228)),"HATA: kişi sayısı geçersiz",IF(OR(NOT(ISNUMBER(G228)),G228&lt;0),"HATA: tutar geçersiz",IF(B228&lt;&gt;TRIM(B228),"HATA: isimde baştaki/sondaki boşluk",IF(COUNTIF(KaynakAralik,H228)=0,"HATA: kaynak listede yok",IF(AND(F228&lt;&gt;"Bekleniyor",F228&lt;&gt;"Geldi",F228&lt;&gt;"İptal"),"HATA: giriş durumu geçersiz",IF(AND(F228&lt;&gt;"İptal",COUNTIFS($A$6:$A$1005,A228,$D$6:$D$1005,"&lt;"&amp;E228,$E$6:$E$1005,"&gt;"&amp;D228,$F$6:$F$1005,"&lt;&gt;İptal")&gt;1),"HATA: oda bu tarihlerde çakışıyor",IF(AND(F228="Bekleniyor",D228&lt;RaporTarihi),"HATA: giriş günü geçti, Geldi veya İptal yapın","OK"))))))))))))</f>
        <v/>
      </c>
      <c r="L228" s="25">
        <f>IF(AND(ISNUMBER(A228),F228&lt;&gt;"İptal",ISNUMBER(D228),ISNUMBER(E228),D228&lt;=RaporTarihi,E228&gt;RaporTarihi),A228,"")</f>
        <v/>
      </c>
    </row>
    <row r="229">
      <c r="A229" s="22" t="n"/>
      <c r="B229" s="22" t="n"/>
      <c r="C229" s="22" t="n"/>
      <c r="D229" s="23" t="n"/>
      <c r="E229" s="23" t="n"/>
      <c r="F229" s="22" t="n"/>
      <c r="G229" s="24" t="n"/>
      <c r="H229" s="22" t="n"/>
      <c r="I229" s="25">
        <f>IF(AND(ISNUMBER(D229),ISNUMBER(E229)),E229-D229,"")</f>
        <v/>
      </c>
      <c r="J229" s="26">
        <f>IF(AND(ISNUMBER(I229),ISNUMBER(G229)),IF(I229&gt;0,G229/I229,""),"")</f>
        <v/>
      </c>
      <c r="K229" s="25">
        <f>IF(COUNTA(A229:H229)=0,"",IF(OR(A229="",B229="",C229="",D229="",E229="",F229="",G229="",H229=""),"HATA: eksik bilgi",IF(COUNTIF(OdaListesi,A229)=0,"HATA: geçersiz oda no",IF(OR(NOT(ISNUMBER(D229)),NOT(ISNUMBER(E229))),"HATA: tarih geçersiz",IF(E229&lt;=D229,"HATA: çıkış girişten sonra olmalı",IF(OR(NOT(ISNUMBER(C229)),C229&lt;1,C229&gt;MaxKisi,C229&lt;&gt;INT(C229)),"HATA: kişi sayısı geçersiz",IF(OR(NOT(ISNUMBER(G229)),G229&lt;0),"HATA: tutar geçersiz",IF(B229&lt;&gt;TRIM(B229),"HATA: isimde baştaki/sondaki boşluk",IF(COUNTIF(KaynakAralik,H229)=0,"HATA: kaynak listede yok",IF(AND(F229&lt;&gt;"Bekleniyor",F229&lt;&gt;"Geldi",F229&lt;&gt;"İptal"),"HATA: giriş durumu geçersiz",IF(AND(F229&lt;&gt;"İptal",COUNTIFS($A$6:$A$1005,A229,$D$6:$D$1005,"&lt;"&amp;E229,$E$6:$E$1005,"&gt;"&amp;D229,$F$6:$F$1005,"&lt;&gt;İptal")&gt;1),"HATA: oda bu tarihlerde çakışıyor",IF(AND(F229="Bekleniyor",D229&lt;RaporTarihi),"HATA: giriş günü geçti, Geldi veya İptal yapın","OK"))))))))))))</f>
        <v/>
      </c>
      <c r="L229" s="25">
        <f>IF(AND(ISNUMBER(A229),F229&lt;&gt;"İptal",ISNUMBER(D229),ISNUMBER(E229),D229&lt;=RaporTarihi,E229&gt;RaporTarihi),A229,"")</f>
        <v/>
      </c>
    </row>
    <row r="230">
      <c r="A230" s="22" t="n"/>
      <c r="B230" s="22" t="n"/>
      <c r="C230" s="22" t="n"/>
      <c r="D230" s="23" t="n"/>
      <c r="E230" s="23" t="n"/>
      <c r="F230" s="22" t="n"/>
      <c r="G230" s="24" t="n"/>
      <c r="H230" s="22" t="n"/>
      <c r="I230" s="25">
        <f>IF(AND(ISNUMBER(D230),ISNUMBER(E230)),E230-D230,"")</f>
        <v/>
      </c>
      <c r="J230" s="26">
        <f>IF(AND(ISNUMBER(I230),ISNUMBER(G230)),IF(I230&gt;0,G230/I230,""),"")</f>
        <v/>
      </c>
      <c r="K230" s="25">
        <f>IF(COUNTA(A230:H230)=0,"",IF(OR(A230="",B230="",C230="",D230="",E230="",F230="",G230="",H230=""),"HATA: eksik bilgi",IF(COUNTIF(OdaListesi,A230)=0,"HATA: geçersiz oda no",IF(OR(NOT(ISNUMBER(D230)),NOT(ISNUMBER(E230))),"HATA: tarih geçersiz",IF(E230&lt;=D230,"HATA: çıkış girişten sonra olmalı",IF(OR(NOT(ISNUMBER(C230)),C230&lt;1,C230&gt;MaxKisi,C230&lt;&gt;INT(C230)),"HATA: kişi sayısı geçersiz",IF(OR(NOT(ISNUMBER(G230)),G230&lt;0),"HATA: tutar geçersiz",IF(B230&lt;&gt;TRIM(B230),"HATA: isimde baştaki/sondaki boşluk",IF(COUNTIF(KaynakAralik,H230)=0,"HATA: kaynak listede yok",IF(AND(F230&lt;&gt;"Bekleniyor",F230&lt;&gt;"Geldi",F230&lt;&gt;"İptal"),"HATA: giriş durumu geçersiz",IF(AND(F230&lt;&gt;"İptal",COUNTIFS($A$6:$A$1005,A230,$D$6:$D$1005,"&lt;"&amp;E230,$E$6:$E$1005,"&gt;"&amp;D230,$F$6:$F$1005,"&lt;&gt;İptal")&gt;1),"HATA: oda bu tarihlerde çakışıyor",IF(AND(F230="Bekleniyor",D230&lt;RaporTarihi),"HATA: giriş günü geçti, Geldi veya İptal yapın","OK"))))))))))))</f>
        <v/>
      </c>
      <c r="L230" s="25">
        <f>IF(AND(ISNUMBER(A230),F230&lt;&gt;"İptal",ISNUMBER(D230),ISNUMBER(E230),D230&lt;=RaporTarihi,E230&gt;RaporTarihi),A230,"")</f>
        <v/>
      </c>
    </row>
    <row r="231">
      <c r="A231" s="22" t="n"/>
      <c r="B231" s="22" t="n"/>
      <c r="C231" s="22" t="n"/>
      <c r="D231" s="23" t="n"/>
      <c r="E231" s="23" t="n"/>
      <c r="F231" s="22" t="n"/>
      <c r="G231" s="24" t="n"/>
      <c r="H231" s="22" t="n"/>
      <c r="I231" s="25">
        <f>IF(AND(ISNUMBER(D231),ISNUMBER(E231)),E231-D231,"")</f>
        <v/>
      </c>
      <c r="J231" s="26">
        <f>IF(AND(ISNUMBER(I231),ISNUMBER(G231)),IF(I231&gt;0,G231/I231,""),"")</f>
        <v/>
      </c>
      <c r="K231" s="25">
        <f>IF(COUNTA(A231:H231)=0,"",IF(OR(A231="",B231="",C231="",D231="",E231="",F231="",G231="",H231=""),"HATA: eksik bilgi",IF(COUNTIF(OdaListesi,A231)=0,"HATA: geçersiz oda no",IF(OR(NOT(ISNUMBER(D231)),NOT(ISNUMBER(E231))),"HATA: tarih geçersiz",IF(E231&lt;=D231,"HATA: çıkış girişten sonra olmalı",IF(OR(NOT(ISNUMBER(C231)),C231&lt;1,C231&gt;MaxKisi,C231&lt;&gt;INT(C231)),"HATA: kişi sayısı geçersiz",IF(OR(NOT(ISNUMBER(G231)),G231&lt;0),"HATA: tutar geçersiz",IF(B231&lt;&gt;TRIM(B231),"HATA: isimde baştaki/sondaki boşluk",IF(COUNTIF(KaynakAralik,H231)=0,"HATA: kaynak listede yok",IF(AND(F231&lt;&gt;"Bekleniyor",F231&lt;&gt;"Geldi",F231&lt;&gt;"İptal"),"HATA: giriş durumu geçersiz",IF(AND(F231&lt;&gt;"İptal",COUNTIFS($A$6:$A$1005,A231,$D$6:$D$1005,"&lt;"&amp;E231,$E$6:$E$1005,"&gt;"&amp;D231,$F$6:$F$1005,"&lt;&gt;İptal")&gt;1),"HATA: oda bu tarihlerde çakışıyor",IF(AND(F231="Bekleniyor",D231&lt;RaporTarihi),"HATA: giriş günü geçti, Geldi veya İptal yapın","OK"))))))))))))</f>
        <v/>
      </c>
      <c r="L231" s="25">
        <f>IF(AND(ISNUMBER(A231),F231&lt;&gt;"İptal",ISNUMBER(D231),ISNUMBER(E231),D231&lt;=RaporTarihi,E231&gt;RaporTarihi),A231,"")</f>
        <v/>
      </c>
    </row>
    <row r="232">
      <c r="A232" s="22" t="n"/>
      <c r="B232" s="22" t="n"/>
      <c r="C232" s="22" t="n"/>
      <c r="D232" s="23" t="n"/>
      <c r="E232" s="23" t="n"/>
      <c r="F232" s="22" t="n"/>
      <c r="G232" s="24" t="n"/>
      <c r="H232" s="22" t="n"/>
      <c r="I232" s="25">
        <f>IF(AND(ISNUMBER(D232),ISNUMBER(E232)),E232-D232,"")</f>
        <v/>
      </c>
      <c r="J232" s="26">
        <f>IF(AND(ISNUMBER(I232),ISNUMBER(G232)),IF(I232&gt;0,G232/I232,""),"")</f>
        <v/>
      </c>
      <c r="K232" s="25">
        <f>IF(COUNTA(A232:H232)=0,"",IF(OR(A232="",B232="",C232="",D232="",E232="",F232="",G232="",H232=""),"HATA: eksik bilgi",IF(COUNTIF(OdaListesi,A232)=0,"HATA: geçersiz oda no",IF(OR(NOT(ISNUMBER(D232)),NOT(ISNUMBER(E232))),"HATA: tarih geçersiz",IF(E232&lt;=D232,"HATA: çıkış girişten sonra olmalı",IF(OR(NOT(ISNUMBER(C232)),C232&lt;1,C232&gt;MaxKisi,C232&lt;&gt;INT(C232)),"HATA: kişi sayısı geçersiz",IF(OR(NOT(ISNUMBER(G232)),G232&lt;0),"HATA: tutar geçersiz",IF(B232&lt;&gt;TRIM(B232),"HATA: isimde baştaki/sondaki boşluk",IF(COUNTIF(KaynakAralik,H232)=0,"HATA: kaynak listede yok",IF(AND(F232&lt;&gt;"Bekleniyor",F232&lt;&gt;"Geldi",F232&lt;&gt;"İptal"),"HATA: giriş durumu geçersiz",IF(AND(F232&lt;&gt;"İptal",COUNTIFS($A$6:$A$1005,A232,$D$6:$D$1005,"&lt;"&amp;E232,$E$6:$E$1005,"&gt;"&amp;D232,$F$6:$F$1005,"&lt;&gt;İptal")&gt;1),"HATA: oda bu tarihlerde çakışıyor",IF(AND(F232="Bekleniyor",D232&lt;RaporTarihi),"HATA: giriş günü geçti, Geldi veya İptal yapın","OK"))))))))))))</f>
        <v/>
      </c>
      <c r="L232" s="25">
        <f>IF(AND(ISNUMBER(A232),F232&lt;&gt;"İptal",ISNUMBER(D232),ISNUMBER(E232),D232&lt;=RaporTarihi,E232&gt;RaporTarihi),A232,"")</f>
        <v/>
      </c>
    </row>
    <row r="233">
      <c r="A233" s="22" t="n"/>
      <c r="B233" s="22" t="n"/>
      <c r="C233" s="22" t="n"/>
      <c r="D233" s="23" t="n"/>
      <c r="E233" s="23" t="n"/>
      <c r="F233" s="22" t="n"/>
      <c r="G233" s="24" t="n"/>
      <c r="H233" s="22" t="n"/>
      <c r="I233" s="25">
        <f>IF(AND(ISNUMBER(D233),ISNUMBER(E233)),E233-D233,"")</f>
        <v/>
      </c>
      <c r="J233" s="26">
        <f>IF(AND(ISNUMBER(I233),ISNUMBER(G233)),IF(I233&gt;0,G233/I233,""),"")</f>
        <v/>
      </c>
      <c r="K233" s="25">
        <f>IF(COUNTA(A233:H233)=0,"",IF(OR(A233="",B233="",C233="",D233="",E233="",F233="",G233="",H233=""),"HATA: eksik bilgi",IF(COUNTIF(OdaListesi,A233)=0,"HATA: geçersiz oda no",IF(OR(NOT(ISNUMBER(D233)),NOT(ISNUMBER(E233))),"HATA: tarih geçersiz",IF(E233&lt;=D233,"HATA: çıkış girişten sonra olmalı",IF(OR(NOT(ISNUMBER(C233)),C233&lt;1,C233&gt;MaxKisi,C233&lt;&gt;INT(C233)),"HATA: kişi sayısı geçersiz",IF(OR(NOT(ISNUMBER(G233)),G233&lt;0),"HATA: tutar geçersiz",IF(B233&lt;&gt;TRIM(B233),"HATA: isimde baştaki/sondaki boşluk",IF(COUNTIF(KaynakAralik,H233)=0,"HATA: kaynak listede yok",IF(AND(F233&lt;&gt;"Bekleniyor",F233&lt;&gt;"Geldi",F233&lt;&gt;"İptal"),"HATA: giriş durumu geçersiz",IF(AND(F233&lt;&gt;"İptal",COUNTIFS($A$6:$A$1005,A233,$D$6:$D$1005,"&lt;"&amp;E233,$E$6:$E$1005,"&gt;"&amp;D233,$F$6:$F$1005,"&lt;&gt;İptal")&gt;1),"HATA: oda bu tarihlerde çakışıyor",IF(AND(F233="Bekleniyor",D233&lt;RaporTarihi),"HATA: giriş günü geçti, Geldi veya İptal yapın","OK"))))))))))))</f>
        <v/>
      </c>
      <c r="L233" s="25">
        <f>IF(AND(ISNUMBER(A233),F233&lt;&gt;"İptal",ISNUMBER(D233),ISNUMBER(E233),D233&lt;=RaporTarihi,E233&gt;RaporTarihi),A233,"")</f>
        <v/>
      </c>
    </row>
    <row r="234">
      <c r="A234" s="22" t="n"/>
      <c r="B234" s="22" t="n"/>
      <c r="C234" s="22" t="n"/>
      <c r="D234" s="23" t="n"/>
      <c r="E234" s="23" t="n"/>
      <c r="F234" s="22" t="n"/>
      <c r="G234" s="24" t="n"/>
      <c r="H234" s="22" t="n"/>
      <c r="I234" s="25">
        <f>IF(AND(ISNUMBER(D234),ISNUMBER(E234)),E234-D234,"")</f>
        <v/>
      </c>
      <c r="J234" s="26">
        <f>IF(AND(ISNUMBER(I234),ISNUMBER(G234)),IF(I234&gt;0,G234/I234,""),"")</f>
        <v/>
      </c>
      <c r="K234" s="25">
        <f>IF(COUNTA(A234:H234)=0,"",IF(OR(A234="",B234="",C234="",D234="",E234="",F234="",G234="",H234=""),"HATA: eksik bilgi",IF(COUNTIF(OdaListesi,A234)=0,"HATA: geçersiz oda no",IF(OR(NOT(ISNUMBER(D234)),NOT(ISNUMBER(E234))),"HATA: tarih geçersiz",IF(E234&lt;=D234,"HATA: çıkış girişten sonra olmalı",IF(OR(NOT(ISNUMBER(C234)),C234&lt;1,C234&gt;MaxKisi,C234&lt;&gt;INT(C234)),"HATA: kişi sayısı geçersiz",IF(OR(NOT(ISNUMBER(G234)),G234&lt;0),"HATA: tutar geçersiz",IF(B234&lt;&gt;TRIM(B234),"HATA: isimde baştaki/sondaki boşluk",IF(COUNTIF(KaynakAralik,H234)=0,"HATA: kaynak listede yok",IF(AND(F234&lt;&gt;"Bekleniyor",F234&lt;&gt;"Geldi",F234&lt;&gt;"İptal"),"HATA: giriş durumu geçersiz",IF(AND(F234&lt;&gt;"İptal",COUNTIFS($A$6:$A$1005,A234,$D$6:$D$1005,"&lt;"&amp;E234,$E$6:$E$1005,"&gt;"&amp;D234,$F$6:$F$1005,"&lt;&gt;İptal")&gt;1),"HATA: oda bu tarihlerde çakışıyor",IF(AND(F234="Bekleniyor",D234&lt;RaporTarihi),"HATA: giriş günü geçti, Geldi veya İptal yapın","OK"))))))))))))</f>
        <v/>
      </c>
      <c r="L234" s="25">
        <f>IF(AND(ISNUMBER(A234),F234&lt;&gt;"İptal",ISNUMBER(D234),ISNUMBER(E234),D234&lt;=RaporTarihi,E234&gt;RaporTarihi),A234,"")</f>
        <v/>
      </c>
    </row>
    <row r="235">
      <c r="A235" s="22" t="n"/>
      <c r="B235" s="22" t="n"/>
      <c r="C235" s="22" t="n"/>
      <c r="D235" s="23" t="n"/>
      <c r="E235" s="23" t="n"/>
      <c r="F235" s="22" t="n"/>
      <c r="G235" s="24" t="n"/>
      <c r="H235" s="22" t="n"/>
      <c r="I235" s="25">
        <f>IF(AND(ISNUMBER(D235),ISNUMBER(E235)),E235-D235,"")</f>
        <v/>
      </c>
      <c r="J235" s="26">
        <f>IF(AND(ISNUMBER(I235),ISNUMBER(G235)),IF(I235&gt;0,G235/I235,""),"")</f>
        <v/>
      </c>
      <c r="K235" s="25">
        <f>IF(COUNTA(A235:H235)=0,"",IF(OR(A235="",B235="",C235="",D235="",E235="",F235="",G235="",H235=""),"HATA: eksik bilgi",IF(COUNTIF(OdaListesi,A235)=0,"HATA: geçersiz oda no",IF(OR(NOT(ISNUMBER(D235)),NOT(ISNUMBER(E235))),"HATA: tarih geçersiz",IF(E235&lt;=D235,"HATA: çıkış girişten sonra olmalı",IF(OR(NOT(ISNUMBER(C235)),C235&lt;1,C235&gt;MaxKisi,C235&lt;&gt;INT(C235)),"HATA: kişi sayısı geçersiz",IF(OR(NOT(ISNUMBER(G235)),G235&lt;0),"HATA: tutar geçersiz",IF(B235&lt;&gt;TRIM(B235),"HATA: isimde baştaki/sondaki boşluk",IF(COUNTIF(KaynakAralik,H235)=0,"HATA: kaynak listede yok",IF(AND(F235&lt;&gt;"Bekleniyor",F235&lt;&gt;"Geldi",F235&lt;&gt;"İptal"),"HATA: giriş durumu geçersiz",IF(AND(F235&lt;&gt;"İptal",COUNTIFS($A$6:$A$1005,A235,$D$6:$D$1005,"&lt;"&amp;E235,$E$6:$E$1005,"&gt;"&amp;D235,$F$6:$F$1005,"&lt;&gt;İptal")&gt;1),"HATA: oda bu tarihlerde çakışıyor",IF(AND(F235="Bekleniyor",D235&lt;RaporTarihi),"HATA: giriş günü geçti, Geldi veya İptal yapın","OK"))))))))))))</f>
        <v/>
      </c>
      <c r="L235" s="25">
        <f>IF(AND(ISNUMBER(A235),F235&lt;&gt;"İptal",ISNUMBER(D235),ISNUMBER(E235),D235&lt;=RaporTarihi,E235&gt;RaporTarihi),A235,"")</f>
        <v/>
      </c>
    </row>
    <row r="236">
      <c r="A236" s="22" t="n"/>
      <c r="B236" s="22" t="n"/>
      <c r="C236" s="22" t="n"/>
      <c r="D236" s="23" t="n"/>
      <c r="E236" s="23" t="n"/>
      <c r="F236" s="22" t="n"/>
      <c r="G236" s="24" t="n"/>
      <c r="H236" s="22" t="n"/>
      <c r="I236" s="25">
        <f>IF(AND(ISNUMBER(D236),ISNUMBER(E236)),E236-D236,"")</f>
        <v/>
      </c>
      <c r="J236" s="26">
        <f>IF(AND(ISNUMBER(I236),ISNUMBER(G236)),IF(I236&gt;0,G236/I236,""),"")</f>
        <v/>
      </c>
      <c r="K236" s="25">
        <f>IF(COUNTA(A236:H236)=0,"",IF(OR(A236="",B236="",C236="",D236="",E236="",F236="",G236="",H236=""),"HATA: eksik bilgi",IF(COUNTIF(OdaListesi,A236)=0,"HATA: geçersiz oda no",IF(OR(NOT(ISNUMBER(D236)),NOT(ISNUMBER(E236))),"HATA: tarih geçersiz",IF(E236&lt;=D236,"HATA: çıkış girişten sonra olmalı",IF(OR(NOT(ISNUMBER(C236)),C236&lt;1,C236&gt;MaxKisi,C236&lt;&gt;INT(C236)),"HATA: kişi sayısı geçersiz",IF(OR(NOT(ISNUMBER(G236)),G236&lt;0),"HATA: tutar geçersiz",IF(B236&lt;&gt;TRIM(B236),"HATA: isimde baştaki/sondaki boşluk",IF(COUNTIF(KaynakAralik,H236)=0,"HATA: kaynak listede yok",IF(AND(F236&lt;&gt;"Bekleniyor",F236&lt;&gt;"Geldi",F236&lt;&gt;"İptal"),"HATA: giriş durumu geçersiz",IF(AND(F236&lt;&gt;"İptal",COUNTIFS($A$6:$A$1005,A236,$D$6:$D$1005,"&lt;"&amp;E236,$E$6:$E$1005,"&gt;"&amp;D236,$F$6:$F$1005,"&lt;&gt;İptal")&gt;1),"HATA: oda bu tarihlerde çakışıyor",IF(AND(F236="Bekleniyor",D236&lt;RaporTarihi),"HATA: giriş günü geçti, Geldi veya İptal yapın","OK"))))))))))))</f>
        <v/>
      </c>
      <c r="L236" s="25">
        <f>IF(AND(ISNUMBER(A236),F236&lt;&gt;"İptal",ISNUMBER(D236),ISNUMBER(E236),D236&lt;=RaporTarihi,E236&gt;RaporTarihi),A236,"")</f>
        <v/>
      </c>
    </row>
    <row r="237">
      <c r="A237" s="22" t="n"/>
      <c r="B237" s="22" t="n"/>
      <c r="C237" s="22" t="n"/>
      <c r="D237" s="23" t="n"/>
      <c r="E237" s="23" t="n"/>
      <c r="F237" s="22" t="n"/>
      <c r="G237" s="24" t="n"/>
      <c r="H237" s="22" t="n"/>
      <c r="I237" s="25">
        <f>IF(AND(ISNUMBER(D237),ISNUMBER(E237)),E237-D237,"")</f>
        <v/>
      </c>
      <c r="J237" s="26">
        <f>IF(AND(ISNUMBER(I237),ISNUMBER(G237)),IF(I237&gt;0,G237/I237,""),"")</f>
        <v/>
      </c>
      <c r="K237" s="25">
        <f>IF(COUNTA(A237:H237)=0,"",IF(OR(A237="",B237="",C237="",D237="",E237="",F237="",G237="",H237=""),"HATA: eksik bilgi",IF(COUNTIF(OdaListesi,A237)=0,"HATA: geçersiz oda no",IF(OR(NOT(ISNUMBER(D237)),NOT(ISNUMBER(E237))),"HATA: tarih geçersiz",IF(E237&lt;=D237,"HATA: çıkış girişten sonra olmalı",IF(OR(NOT(ISNUMBER(C237)),C237&lt;1,C237&gt;MaxKisi,C237&lt;&gt;INT(C237)),"HATA: kişi sayısı geçersiz",IF(OR(NOT(ISNUMBER(G237)),G237&lt;0),"HATA: tutar geçersiz",IF(B237&lt;&gt;TRIM(B237),"HATA: isimde baştaki/sondaki boşluk",IF(COUNTIF(KaynakAralik,H237)=0,"HATA: kaynak listede yok",IF(AND(F237&lt;&gt;"Bekleniyor",F237&lt;&gt;"Geldi",F237&lt;&gt;"İptal"),"HATA: giriş durumu geçersiz",IF(AND(F237&lt;&gt;"İptal",COUNTIFS($A$6:$A$1005,A237,$D$6:$D$1005,"&lt;"&amp;E237,$E$6:$E$1005,"&gt;"&amp;D237,$F$6:$F$1005,"&lt;&gt;İptal")&gt;1),"HATA: oda bu tarihlerde çakışıyor",IF(AND(F237="Bekleniyor",D237&lt;RaporTarihi),"HATA: giriş günü geçti, Geldi veya İptal yapın","OK"))))))))))))</f>
        <v/>
      </c>
      <c r="L237" s="25">
        <f>IF(AND(ISNUMBER(A237),F237&lt;&gt;"İptal",ISNUMBER(D237),ISNUMBER(E237),D237&lt;=RaporTarihi,E237&gt;RaporTarihi),A237,"")</f>
        <v/>
      </c>
    </row>
    <row r="238">
      <c r="A238" s="22" t="n"/>
      <c r="B238" s="22" t="n"/>
      <c r="C238" s="22" t="n"/>
      <c r="D238" s="23" t="n"/>
      <c r="E238" s="23" t="n"/>
      <c r="F238" s="22" t="n"/>
      <c r="G238" s="24" t="n"/>
      <c r="H238" s="22" t="n"/>
      <c r="I238" s="25">
        <f>IF(AND(ISNUMBER(D238),ISNUMBER(E238)),E238-D238,"")</f>
        <v/>
      </c>
      <c r="J238" s="26">
        <f>IF(AND(ISNUMBER(I238),ISNUMBER(G238)),IF(I238&gt;0,G238/I238,""),"")</f>
        <v/>
      </c>
      <c r="K238" s="25">
        <f>IF(COUNTA(A238:H238)=0,"",IF(OR(A238="",B238="",C238="",D238="",E238="",F238="",G238="",H238=""),"HATA: eksik bilgi",IF(COUNTIF(OdaListesi,A238)=0,"HATA: geçersiz oda no",IF(OR(NOT(ISNUMBER(D238)),NOT(ISNUMBER(E238))),"HATA: tarih geçersiz",IF(E238&lt;=D238,"HATA: çıkış girişten sonra olmalı",IF(OR(NOT(ISNUMBER(C238)),C238&lt;1,C238&gt;MaxKisi,C238&lt;&gt;INT(C238)),"HATA: kişi sayısı geçersiz",IF(OR(NOT(ISNUMBER(G238)),G238&lt;0),"HATA: tutar geçersiz",IF(B238&lt;&gt;TRIM(B238),"HATA: isimde baştaki/sondaki boşluk",IF(COUNTIF(KaynakAralik,H238)=0,"HATA: kaynak listede yok",IF(AND(F238&lt;&gt;"Bekleniyor",F238&lt;&gt;"Geldi",F238&lt;&gt;"İptal"),"HATA: giriş durumu geçersiz",IF(AND(F238&lt;&gt;"İptal",COUNTIFS($A$6:$A$1005,A238,$D$6:$D$1005,"&lt;"&amp;E238,$E$6:$E$1005,"&gt;"&amp;D238,$F$6:$F$1005,"&lt;&gt;İptal")&gt;1),"HATA: oda bu tarihlerde çakışıyor",IF(AND(F238="Bekleniyor",D238&lt;RaporTarihi),"HATA: giriş günü geçti, Geldi veya İptal yapın","OK"))))))))))))</f>
        <v/>
      </c>
      <c r="L238" s="25">
        <f>IF(AND(ISNUMBER(A238),F238&lt;&gt;"İptal",ISNUMBER(D238),ISNUMBER(E238),D238&lt;=RaporTarihi,E238&gt;RaporTarihi),A238,"")</f>
        <v/>
      </c>
    </row>
    <row r="239">
      <c r="A239" s="22" t="n"/>
      <c r="B239" s="22" t="n"/>
      <c r="C239" s="22" t="n"/>
      <c r="D239" s="23" t="n"/>
      <c r="E239" s="23" t="n"/>
      <c r="F239" s="22" t="n"/>
      <c r="G239" s="24" t="n"/>
      <c r="H239" s="22" t="n"/>
      <c r="I239" s="25">
        <f>IF(AND(ISNUMBER(D239),ISNUMBER(E239)),E239-D239,"")</f>
        <v/>
      </c>
      <c r="J239" s="26">
        <f>IF(AND(ISNUMBER(I239),ISNUMBER(G239)),IF(I239&gt;0,G239/I239,""),"")</f>
        <v/>
      </c>
      <c r="K239" s="25">
        <f>IF(COUNTA(A239:H239)=0,"",IF(OR(A239="",B239="",C239="",D239="",E239="",F239="",G239="",H239=""),"HATA: eksik bilgi",IF(COUNTIF(OdaListesi,A239)=0,"HATA: geçersiz oda no",IF(OR(NOT(ISNUMBER(D239)),NOT(ISNUMBER(E239))),"HATA: tarih geçersiz",IF(E239&lt;=D239,"HATA: çıkış girişten sonra olmalı",IF(OR(NOT(ISNUMBER(C239)),C239&lt;1,C239&gt;MaxKisi,C239&lt;&gt;INT(C239)),"HATA: kişi sayısı geçersiz",IF(OR(NOT(ISNUMBER(G239)),G239&lt;0),"HATA: tutar geçersiz",IF(B239&lt;&gt;TRIM(B239),"HATA: isimde baştaki/sondaki boşluk",IF(COUNTIF(KaynakAralik,H239)=0,"HATA: kaynak listede yok",IF(AND(F239&lt;&gt;"Bekleniyor",F239&lt;&gt;"Geldi",F239&lt;&gt;"İptal"),"HATA: giriş durumu geçersiz",IF(AND(F239&lt;&gt;"İptal",COUNTIFS($A$6:$A$1005,A239,$D$6:$D$1005,"&lt;"&amp;E239,$E$6:$E$1005,"&gt;"&amp;D239,$F$6:$F$1005,"&lt;&gt;İptal")&gt;1),"HATA: oda bu tarihlerde çakışıyor",IF(AND(F239="Bekleniyor",D239&lt;RaporTarihi),"HATA: giriş günü geçti, Geldi veya İptal yapın","OK"))))))))))))</f>
        <v/>
      </c>
      <c r="L239" s="25">
        <f>IF(AND(ISNUMBER(A239),F239&lt;&gt;"İptal",ISNUMBER(D239),ISNUMBER(E239),D239&lt;=RaporTarihi,E239&gt;RaporTarihi),A239,"")</f>
        <v/>
      </c>
    </row>
    <row r="240">
      <c r="A240" s="22" t="n"/>
      <c r="B240" s="22" t="n"/>
      <c r="C240" s="22" t="n"/>
      <c r="D240" s="23" t="n"/>
      <c r="E240" s="23" t="n"/>
      <c r="F240" s="22" t="n"/>
      <c r="G240" s="24" t="n"/>
      <c r="H240" s="22" t="n"/>
      <c r="I240" s="25">
        <f>IF(AND(ISNUMBER(D240),ISNUMBER(E240)),E240-D240,"")</f>
        <v/>
      </c>
      <c r="J240" s="26">
        <f>IF(AND(ISNUMBER(I240),ISNUMBER(G240)),IF(I240&gt;0,G240/I240,""),"")</f>
        <v/>
      </c>
      <c r="K240" s="25">
        <f>IF(COUNTA(A240:H240)=0,"",IF(OR(A240="",B240="",C240="",D240="",E240="",F240="",G240="",H240=""),"HATA: eksik bilgi",IF(COUNTIF(OdaListesi,A240)=0,"HATA: geçersiz oda no",IF(OR(NOT(ISNUMBER(D240)),NOT(ISNUMBER(E240))),"HATA: tarih geçersiz",IF(E240&lt;=D240,"HATA: çıkış girişten sonra olmalı",IF(OR(NOT(ISNUMBER(C240)),C240&lt;1,C240&gt;MaxKisi,C240&lt;&gt;INT(C240)),"HATA: kişi sayısı geçersiz",IF(OR(NOT(ISNUMBER(G240)),G240&lt;0),"HATA: tutar geçersiz",IF(B240&lt;&gt;TRIM(B240),"HATA: isimde baştaki/sondaki boşluk",IF(COUNTIF(KaynakAralik,H240)=0,"HATA: kaynak listede yok",IF(AND(F240&lt;&gt;"Bekleniyor",F240&lt;&gt;"Geldi",F240&lt;&gt;"İptal"),"HATA: giriş durumu geçersiz",IF(AND(F240&lt;&gt;"İptal",COUNTIFS($A$6:$A$1005,A240,$D$6:$D$1005,"&lt;"&amp;E240,$E$6:$E$1005,"&gt;"&amp;D240,$F$6:$F$1005,"&lt;&gt;İptal")&gt;1),"HATA: oda bu tarihlerde çakışıyor",IF(AND(F240="Bekleniyor",D240&lt;RaporTarihi),"HATA: giriş günü geçti, Geldi veya İptal yapın","OK"))))))))))))</f>
        <v/>
      </c>
      <c r="L240" s="25">
        <f>IF(AND(ISNUMBER(A240),F240&lt;&gt;"İptal",ISNUMBER(D240),ISNUMBER(E240),D240&lt;=RaporTarihi,E240&gt;RaporTarihi),A240,"")</f>
        <v/>
      </c>
    </row>
    <row r="241">
      <c r="A241" s="22" t="n"/>
      <c r="B241" s="22" t="n"/>
      <c r="C241" s="22" t="n"/>
      <c r="D241" s="23" t="n"/>
      <c r="E241" s="23" t="n"/>
      <c r="F241" s="22" t="n"/>
      <c r="G241" s="24" t="n"/>
      <c r="H241" s="22" t="n"/>
      <c r="I241" s="25">
        <f>IF(AND(ISNUMBER(D241),ISNUMBER(E241)),E241-D241,"")</f>
        <v/>
      </c>
      <c r="J241" s="26">
        <f>IF(AND(ISNUMBER(I241),ISNUMBER(G241)),IF(I241&gt;0,G241/I241,""),"")</f>
        <v/>
      </c>
      <c r="K241" s="25">
        <f>IF(COUNTA(A241:H241)=0,"",IF(OR(A241="",B241="",C241="",D241="",E241="",F241="",G241="",H241=""),"HATA: eksik bilgi",IF(COUNTIF(OdaListesi,A241)=0,"HATA: geçersiz oda no",IF(OR(NOT(ISNUMBER(D241)),NOT(ISNUMBER(E241))),"HATA: tarih geçersiz",IF(E241&lt;=D241,"HATA: çıkış girişten sonra olmalı",IF(OR(NOT(ISNUMBER(C241)),C241&lt;1,C241&gt;MaxKisi,C241&lt;&gt;INT(C241)),"HATA: kişi sayısı geçersiz",IF(OR(NOT(ISNUMBER(G241)),G241&lt;0),"HATA: tutar geçersiz",IF(B241&lt;&gt;TRIM(B241),"HATA: isimde baştaki/sondaki boşluk",IF(COUNTIF(KaynakAralik,H241)=0,"HATA: kaynak listede yok",IF(AND(F241&lt;&gt;"Bekleniyor",F241&lt;&gt;"Geldi",F241&lt;&gt;"İptal"),"HATA: giriş durumu geçersiz",IF(AND(F241&lt;&gt;"İptal",COUNTIFS($A$6:$A$1005,A241,$D$6:$D$1005,"&lt;"&amp;E241,$E$6:$E$1005,"&gt;"&amp;D241,$F$6:$F$1005,"&lt;&gt;İptal")&gt;1),"HATA: oda bu tarihlerde çakışıyor",IF(AND(F241="Bekleniyor",D241&lt;RaporTarihi),"HATA: giriş günü geçti, Geldi veya İptal yapın","OK"))))))))))))</f>
        <v/>
      </c>
      <c r="L241" s="25">
        <f>IF(AND(ISNUMBER(A241),F241&lt;&gt;"İptal",ISNUMBER(D241),ISNUMBER(E241),D241&lt;=RaporTarihi,E241&gt;RaporTarihi),A241,"")</f>
        <v/>
      </c>
    </row>
    <row r="242">
      <c r="A242" s="22" t="n"/>
      <c r="B242" s="22" t="n"/>
      <c r="C242" s="22" t="n"/>
      <c r="D242" s="23" t="n"/>
      <c r="E242" s="23" t="n"/>
      <c r="F242" s="22" t="n"/>
      <c r="G242" s="24" t="n"/>
      <c r="H242" s="22" t="n"/>
      <c r="I242" s="25">
        <f>IF(AND(ISNUMBER(D242),ISNUMBER(E242)),E242-D242,"")</f>
        <v/>
      </c>
      <c r="J242" s="26">
        <f>IF(AND(ISNUMBER(I242),ISNUMBER(G242)),IF(I242&gt;0,G242/I242,""),"")</f>
        <v/>
      </c>
      <c r="K242" s="25">
        <f>IF(COUNTA(A242:H242)=0,"",IF(OR(A242="",B242="",C242="",D242="",E242="",F242="",G242="",H242=""),"HATA: eksik bilgi",IF(COUNTIF(OdaListesi,A242)=0,"HATA: geçersiz oda no",IF(OR(NOT(ISNUMBER(D242)),NOT(ISNUMBER(E242))),"HATA: tarih geçersiz",IF(E242&lt;=D242,"HATA: çıkış girişten sonra olmalı",IF(OR(NOT(ISNUMBER(C242)),C242&lt;1,C242&gt;MaxKisi,C242&lt;&gt;INT(C242)),"HATA: kişi sayısı geçersiz",IF(OR(NOT(ISNUMBER(G242)),G242&lt;0),"HATA: tutar geçersiz",IF(B242&lt;&gt;TRIM(B242),"HATA: isimde baştaki/sondaki boşluk",IF(COUNTIF(KaynakAralik,H242)=0,"HATA: kaynak listede yok",IF(AND(F242&lt;&gt;"Bekleniyor",F242&lt;&gt;"Geldi",F242&lt;&gt;"İptal"),"HATA: giriş durumu geçersiz",IF(AND(F242&lt;&gt;"İptal",COUNTIFS($A$6:$A$1005,A242,$D$6:$D$1005,"&lt;"&amp;E242,$E$6:$E$1005,"&gt;"&amp;D242,$F$6:$F$1005,"&lt;&gt;İptal")&gt;1),"HATA: oda bu tarihlerde çakışıyor",IF(AND(F242="Bekleniyor",D242&lt;RaporTarihi),"HATA: giriş günü geçti, Geldi veya İptal yapın","OK"))))))))))))</f>
        <v/>
      </c>
      <c r="L242" s="25">
        <f>IF(AND(ISNUMBER(A242),F242&lt;&gt;"İptal",ISNUMBER(D242),ISNUMBER(E242),D242&lt;=RaporTarihi,E242&gt;RaporTarihi),A242,"")</f>
        <v/>
      </c>
    </row>
    <row r="243">
      <c r="A243" s="22" t="n"/>
      <c r="B243" s="22" t="n"/>
      <c r="C243" s="22" t="n"/>
      <c r="D243" s="23" t="n"/>
      <c r="E243" s="23" t="n"/>
      <c r="F243" s="22" t="n"/>
      <c r="G243" s="24" t="n"/>
      <c r="H243" s="22" t="n"/>
      <c r="I243" s="25">
        <f>IF(AND(ISNUMBER(D243),ISNUMBER(E243)),E243-D243,"")</f>
        <v/>
      </c>
      <c r="J243" s="26">
        <f>IF(AND(ISNUMBER(I243),ISNUMBER(G243)),IF(I243&gt;0,G243/I243,""),"")</f>
        <v/>
      </c>
      <c r="K243" s="25">
        <f>IF(COUNTA(A243:H243)=0,"",IF(OR(A243="",B243="",C243="",D243="",E243="",F243="",G243="",H243=""),"HATA: eksik bilgi",IF(COUNTIF(OdaListesi,A243)=0,"HATA: geçersiz oda no",IF(OR(NOT(ISNUMBER(D243)),NOT(ISNUMBER(E243))),"HATA: tarih geçersiz",IF(E243&lt;=D243,"HATA: çıkış girişten sonra olmalı",IF(OR(NOT(ISNUMBER(C243)),C243&lt;1,C243&gt;MaxKisi,C243&lt;&gt;INT(C243)),"HATA: kişi sayısı geçersiz",IF(OR(NOT(ISNUMBER(G243)),G243&lt;0),"HATA: tutar geçersiz",IF(B243&lt;&gt;TRIM(B243),"HATA: isimde baştaki/sondaki boşluk",IF(COUNTIF(KaynakAralik,H243)=0,"HATA: kaynak listede yok",IF(AND(F243&lt;&gt;"Bekleniyor",F243&lt;&gt;"Geldi",F243&lt;&gt;"İptal"),"HATA: giriş durumu geçersiz",IF(AND(F243&lt;&gt;"İptal",COUNTIFS($A$6:$A$1005,A243,$D$6:$D$1005,"&lt;"&amp;E243,$E$6:$E$1005,"&gt;"&amp;D243,$F$6:$F$1005,"&lt;&gt;İptal")&gt;1),"HATA: oda bu tarihlerde çakışıyor",IF(AND(F243="Bekleniyor",D243&lt;RaporTarihi),"HATA: giriş günü geçti, Geldi veya İptal yapın","OK"))))))))))))</f>
        <v/>
      </c>
      <c r="L243" s="25">
        <f>IF(AND(ISNUMBER(A243),F243&lt;&gt;"İptal",ISNUMBER(D243),ISNUMBER(E243),D243&lt;=RaporTarihi,E243&gt;RaporTarihi),A243,"")</f>
        <v/>
      </c>
    </row>
    <row r="244">
      <c r="A244" s="22" t="n"/>
      <c r="B244" s="22" t="n"/>
      <c r="C244" s="22" t="n"/>
      <c r="D244" s="23" t="n"/>
      <c r="E244" s="23" t="n"/>
      <c r="F244" s="22" t="n"/>
      <c r="G244" s="24" t="n"/>
      <c r="H244" s="22" t="n"/>
      <c r="I244" s="25">
        <f>IF(AND(ISNUMBER(D244),ISNUMBER(E244)),E244-D244,"")</f>
        <v/>
      </c>
      <c r="J244" s="26">
        <f>IF(AND(ISNUMBER(I244),ISNUMBER(G244)),IF(I244&gt;0,G244/I244,""),"")</f>
        <v/>
      </c>
      <c r="K244" s="25">
        <f>IF(COUNTA(A244:H244)=0,"",IF(OR(A244="",B244="",C244="",D244="",E244="",F244="",G244="",H244=""),"HATA: eksik bilgi",IF(COUNTIF(OdaListesi,A244)=0,"HATA: geçersiz oda no",IF(OR(NOT(ISNUMBER(D244)),NOT(ISNUMBER(E244))),"HATA: tarih geçersiz",IF(E244&lt;=D244,"HATA: çıkış girişten sonra olmalı",IF(OR(NOT(ISNUMBER(C244)),C244&lt;1,C244&gt;MaxKisi,C244&lt;&gt;INT(C244)),"HATA: kişi sayısı geçersiz",IF(OR(NOT(ISNUMBER(G244)),G244&lt;0),"HATA: tutar geçersiz",IF(B244&lt;&gt;TRIM(B244),"HATA: isimde baştaki/sondaki boşluk",IF(COUNTIF(KaynakAralik,H244)=0,"HATA: kaynak listede yok",IF(AND(F244&lt;&gt;"Bekleniyor",F244&lt;&gt;"Geldi",F244&lt;&gt;"İptal"),"HATA: giriş durumu geçersiz",IF(AND(F244&lt;&gt;"İptal",COUNTIFS($A$6:$A$1005,A244,$D$6:$D$1005,"&lt;"&amp;E244,$E$6:$E$1005,"&gt;"&amp;D244,$F$6:$F$1005,"&lt;&gt;İptal")&gt;1),"HATA: oda bu tarihlerde çakışıyor",IF(AND(F244="Bekleniyor",D244&lt;RaporTarihi),"HATA: giriş günü geçti, Geldi veya İptal yapın","OK"))))))))))))</f>
        <v/>
      </c>
      <c r="L244" s="25">
        <f>IF(AND(ISNUMBER(A244),F244&lt;&gt;"İptal",ISNUMBER(D244),ISNUMBER(E244),D244&lt;=RaporTarihi,E244&gt;RaporTarihi),A244,"")</f>
        <v/>
      </c>
    </row>
    <row r="245">
      <c r="A245" s="22" t="n"/>
      <c r="B245" s="22" t="n"/>
      <c r="C245" s="22" t="n"/>
      <c r="D245" s="23" t="n"/>
      <c r="E245" s="23" t="n"/>
      <c r="F245" s="22" t="n"/>
      <c r="G245" s="24" t="n"/>
      <c r="H245" s="22" t="n"/>
      <c r="I245" s="25">
        <f>IF(AND(ISNUMBER(D245),ISNUMBER(E245)),E245-D245,"")</f>
        <v/>
      </c>
      <c r="J245" s="26">
        <f>IF(AND(ISNUMBER(I245),ISNUMBER(G245)),IF(I245&gt;0,G245/I245,""),"")</f>
        <v/>
      </c>
      <c r="K245" s="25">
        <f>IF(COUNTA(A245:H245)=0,"",IF(OR(A245="",B245="",C245="",D245="",E245="",F245="",G245="",H245=""),"HATA: eksik bilgi",IF(COUNTIF(OdaListesi,A245)=0,"HATA: geçersiz oda no",IF(OR(NOT(ISNUMBER(D245)),NOT(ISNUMBER(E245))),"HATA: tarih geçersiz",IF(E245&lt;=D245,"HATA: çıkış girişten sonra olmalı",IF(OR(NOT(ISNUMBER(C245)),C245&lt;1,C245&gt;MaxKisi,C245&lt;&gt;INT(C245)),"HATA: kişi sayısı geçersiz",IF(OR(NOT(ISNUMBER(G245)),G245&lt;0),"HATA: tutar geçersiz",IF(B245&lt;&gt;TRIM(B245),"HATA: isimde baştaki/sondaki boşluk",IF(COUNTIF(KaynakAralik,H245)=0,"HATA: kaynak listede yok",IF(AND(F245&lt;&gt;"Bekleniyor",F245&lt;&gt;"Geldi",F245&lt;&gt;"İptal"),"HATA: giriş durumu geçersiz",IF(AND(F245&lt;&gt;"İptal",COUNTIFS($A$6:$A$1005,A245,$D$6:$D$1005,"&lt;"&amp;E245,$E$6:$E$1005,"&gt;"&amp;D245,$F$6:$F$1005,"&lt;&gt;İptal")&gt;1),"HATA: oda bu tarihlerde çakışıyor",IF(AND(F245="Bekleniyor",D245&lt;RaporTarihi),"HATA: giriş günü geçti, Geldi veya İptal yapın","OK"))))))))))))</f>
        <v/>
      </c>
      <c r="L245" s="25">
        <f>IF(AND(ISNUMBER(A245),F245&lt;&gt;"İptal",ISNUMBER(D245),ISNUMBER(E245),D245&lt;=RaporTarihi,E245&gt;RaporTarihi),A245,"")</f>
        <v/>
      </c>
    </row>
    <row r="246">
      <c r="A246" s="22" t="n"/>
      <c r="B246" s="22" t="n"/>
      <c r="C246" s="22" t="n"/>
      <c r="D246" s="23" t="n"/>
      <c r="E246" s="23" t="n"/>
      <c r="F246" s="22" t="n"/>
      <c r="G246" s="24" t="n"/>
      <c r="H246" s="22" t="n"/>
      <c r="I246" s="25">
        <f>IF(AND(ISNUMBER(D246),ISNUMBER(E246)),E246-D246,"")</f>
        <v/>
      </c>
      <c r="J246" s="26">
        <f>IF(AND(ISNUMBER(I246),ISNUMBER(G246)),IF(I246&gt;0,G246/I246,""),"")</f>
        <v/>
      </c>
      <c r="K246" s="25">
        <f>IF(COUNTA(A246:H246)=0,"",IF(OR(A246="",B246="",C246="",D246="",E246="",F246="",G246="",H246=""),"HATA: eksik bilgi",IF(COUNTIF(OdaListesi,A246)=0,"HATA: geçersiz oda no",IF(OR(NOT(ISNUMBER(D246)),NOT(ISNUMBER(E246))),"HATA: tarih geçersiz",IF(E246&lt;=D246,"HATA: çıkış girişten sonra olmalı",IF(OR(NOT(ISNUMBER(C246)),C246&lt;1,C246&gt;MaxKisi,C246&lt;&gt;INT(C246)),"HATA: kişi sayısı geçersiz",IF(OR(NOT(ISNUMBER(G246)),G246&lt;0),"HATA: tutar geçersiz",IF(B246&lt;&gt;TRIM(B246),"HATA: isimde baştaki/sondaki boşluk",IF(COUNTIF(KaynakAralik,H246)=0,"HATA: kaynak listede yok",IF(AND(F246&lt;&gt;"Bekleniyor",F246&lt;&gt;"Geldi",F246&lt;&gt;"İptal"),"HATA: giriş durumu geçersiz",IF(AND(F246&lt;&gt;"İptal",COUNTIFS($A$6:$A$1005,A246,$D$6:$D$1005,"&lt;"&amp;E246,$E$6:$E$1005,"&gt;"&amp;D246,$F$6:$F$1005,"&lt;&gt;İptal")&gt;1),"HATA: oda bu tarihlerde çakışıyor",IF(AND(F246="Bekleniyor",D246&lt;RaporTarihi),"HATA: giriş günü geçti, Geldi veya İptal yapın","OK"))))))))))))</f>
        <v/>
      </c>
      <c r="L246" s="25">
        <f>IF(AND(ISNUMBER(A246),F246&lt;&gt;"İptal",ISNUMBER(D246),ISNUMBER(E246),D246&lt;=RaporTarihi,E246&gt;RaporTarihi),A246,"")</f>
        <v/>
      </c>
    </row>
    <row r="247">
      <c r="A247" s="22" t="n"/>
      <c r="B247" s="22" t="n"/>
      <c r="C247" s="22" t="n"/>
      <c r="D247" s="23" t="n"/>
      <c r="E247" s="23" t="n"/>
      <c r="F247" s="22" t="n"/>
      <c r="G247" s="24" t="n"/>
      <c r="H247" s="22" t="n"/>
      <c r="I247" s="25">
        <f>IF(AND(ISNUMBER(D247),ISNUMBER(E247)),E247-D247,"")</f>
        <v/>
      </c>
      <c r="J247" s="26">
        <f>IF(AND(ISNUMBER(I247),ISNUMBER(G247)),IF(I247&gt;0,G247/I247,""),"")</f>
        <v/>
      </c>
      <c r="K247" s="25">
        <f>IF(COUNTA(A247:H247)=0,"",IF(OR(A247="",B247="",C247="",D247="",E247="",F247="",G247="",H247=""),"HATA: eksik bilgi",IF(COUNTIF(OdaListesi,A247)=0,"HATA: geçersiz oda no",IF(OR(NOT(ISNUMBER(D247)),NOT(ISNUMBER(E247))),"HATA: tarih geçersiz",IF(E247&lt;=D247,"HATA: çıkış girişten sonra olmalı",IF(OR(NOT(ISNUMBER(C247)),C247&lt;1,C247&gt;MaxKisi,C247&lt;&gt;INT(C247)),"HATA: kişi sayısı geçersiz",IF(OR(NOT(ISNUMBER(G247)),G247&lt;0),"HATA: tutar geçersiz",IF(B247&lt;&gt;TRIM(B247),"HATA: isimde baştaki/sondaki boşluk",IF(COUNTIF(KaynakAralik,H247)=0,"HATA: kaynak listede yok",IF(AND(F247&lt;&gt;"Bekleniyor",F247&lt;&gt;"Geldi",F247&lt;&gt;"İptal"),"HATA: giriş durumu geçersiz",IF(AND(F247&lt;&gt;"İptal",COUNTIFS($A$6:$A$1005,A247,$D$6:$D$1005,"&lt;"&amp;E247,$E$6:$E$1005,"&gt;"&amp;D247,$F$6:$F$1005,"&lt;&gt;İptal")&gt;1),"HATA: oda bu tarihlerde çakışıyor",IF(AND(F247="Bekleniyor",D247&lt;RaporTarihi),"HATA: giriş günü geçti, Geldi veya İptal yapın","OK"))))))))))))</f>
        <v/>
      </c>
      <c r="L247" s="25">
        <f>IF(AND(ISNUMBER(A247),F247&lt;&gt;"İptal",ISNUMBER(D247),ISNUMBER(E247),D247&lt;=RaporTarihi,E247&gt;RaporTarihi),A247,"")</f>
        <v/>
      </c>
    </row>
    <row r="248">
      <c r="A248" s="22" t="n"/>
      <c r="B248" s="22" t="n"/>
      <c r="C248" s="22" t="n"/>
      <c r="D248" s="23" t="n"/>
      <c r="E248" s="23" t="n"/>
      <c r="F248" s="22" t="n"/>
      <c r="G248" s="24" t="n"/>
      <c r="H248" s="22" t="n"/>
      <c r="I248" s="25">
        <f>IF(AND(ISNUMBER(D248),ISNUMBER(E248)),E248-D248,"")</f>
        <v/>
      </c>
      <c r="J248" s="26">
        <f>IF(AND(ISNUMBER(I248),ISNUMBER(G248)),IF(I248&gt;0,G248/I248,""),"")</f>
        <v/>
      </c>
      <c r="K248" s="25">
        <f>IF(COUNTA(A248:H248)=0,"",IF(OR(A248="",B248="",C248="",D248="",E248="",F248="",G248="",H248=""),"HATA: eksik bilgi",IF(COUNTIF(OdaListesi,A248)=0,"HATA: geçersiz oda no",IF(OR(NOT(ISNUMBER(D248)),NOT(ISNUMBER(E248))),"HATA: tarih geçersiz",IF(E248&lt;=D248,"HATA: çıkış girişten sonra olmalı",IF(OR(NOT(ISNUMBER(C248)),C248&lt;1,C248&gt;MaxKisi,C248&lt;&gt;INT(C248)),"HATA: kişi sayısı geçersiz",IF(OR(NOT(ISNUMBER(G248)),G248&lt;0),"HATA: tutar geçersiz",IF(B248&lt;&gt;TRIM(B248),"HATA: isimde baştaki/sondaki boşluk",IF(COUNTIF(KaynakAralik,H248)=0,"HATA: kaynak listede yok",IF(AND(F248&lt;&gt;"Bekleniyor",F248&lt;&gt;"Geldi",F248&lt;&gt;"İptal"),"HATA: giriş durumu geçersiz",IF(AND(F248&lt;&gt;"İptal",COUNTIFS($A$6:$A$1005,A248,$D$6:$D$1005,"&lt;"&amp;E248,$E$6:$E$1005,"&gt;"&amp;D248,$F$6:$F$1005,"&lt;&gt;İptal")&gt;1),"HATA: oda bu tarihlerde çakışıyor",IF(AND(F248="Bekleniyor",D248&lt;RaporTarihi),"HATA: giriş günü geçti, Geldi veya İptal yapın","OK"))))))))))))</f>
        <v/>
      </c>
      <c r="L248" s="25">
        <f>IF(AND(ISNUMBER(A248),F248&lt;&gt;"İptal",ISNUMBER(D248),ISNUMBER(E248),D248&lt;=RaporTarihi,E248&gt;RaporTarihi),A248,"")</f>
        <v/>
      </c>
    </row>
    <row r="249">
      <c r="A249" s="22" t="n"/>
      <c r="B249" s="22" t="n"/>
      <c r="C249" s="22" t="n"/>
      <c r="D249" s="23" t="n"/>
      <c r="E249" s="23" t="n"/>
      <c r="F249" s="22" t="n"/>
      <c r="G249" s="24" t="n"/>
      <c r="H249" s="22" t="n"/>
      <c r="I249" s="25">
        <f>IF(AND(ISNUMBER(D249),ISNUMBER(E249)),E249-D249,"")</f>
        <v/>
      </c>
      <c r="J249" s="26">
        <f>IF(AND(ISNUMBER(I249),ISNUMBER(G249)),IF(I249&gt;0,G249/I249,""),"")</f>
        <v/>
      </c>
      <c r="K249" s="25">
        <f>IF(COUNTA(A249:H249)=0,"",IF(OR(A249="",B249="",C249="",D249="",E249="",F249="",G249="",H249=""),"HATA: eksik bilgi",IF(COUNTIF(OdaListesi,A249)=0,"HATA: geçersiz oda no",IF(OR(NOT(ISNUMBER(D249)),NOT(ISNUMBER(E249))),"HATA: tarih geçersiz",IF(E249&lt;=D249,"HATA: çıkış girişten sonra olmalı",IF(OR(NOT(ISNUMBER(C249)),C249&lt;1,C249&gt;MaxKisi,C249&lt;&gt;INT(C249)),"HATA: kişi sayısı geçersiz",IF(OR(NOT(ISNUMBER(G249)),G249&lt;0),"HATA: tutar geçersiz",IF(B249&lt;&gt;TRIM(B249),"HATA: isimde baştaki/sondaki boşluk",IF(COUNTIF(KaynakAralik,H249)=0,"HATA: kaynak listede yok",IF(AND(F249&lt;&gt;"Bekleniyor",F249&lt;&gt;"Geldi",F249&lt;&gt;"İptal"),"HATA: giriş durumu geçersiz",IF(AND(F249&lt;&gt;"İptal",COUNTIFS($A$6:$A$1005,A249,$D$6:$D$1005,"&lt;"&amp;E249,$E$6:$E$1005,"&gt;"&amp;D249,$F$6:$F$1005,"&lt;&gt;İptal")&gt;1),"HATA: oda bu tarihlerde çakışıyor",IF(AND(F249="Bekleniyor",D249&lt;RaporTarihi),"HATA: giriş günü geçti, Geldi veya İptal yapın","OK"))))))))))))</f>
        <v/>
      </c>
      <c r="L249" s="25">
        <f>IF(AND(ISNUMBER(A249),F249&lt;&gt;"İptal",ISNUMBER(D249),ISNUMBER(E249),D249&lt;=RaporTarihi,E249&gt;RaporTarihi),A249,"")</f>
        <v/>
      </c>
    </row>
    <row r="250">
      <c r="A250" s="22" t="n"/>
      <c r="B250" s="22" t="n"/>
      <c r="C250" s="22" t="n"/>
      <c r="D250" s="23" t="n"/>
      <c r="E250" s="23" t="n"/>
      <c r="F250" s="22" t="n"/>
      <c r="G250" s="24" t="n"/>
      <c r="H250" s="22" t="n"/>
      <c r="I250" s="25">
        <f>IF(AND(ISNUMBER(D250),ISNUMBER(E250)),E250-D250,"")</f>
        <v/>
      </c>
      <c r="J250" s="26">
        <f>IF(AND(ISNUMBER(I250),ISNUMBER(G250)),IF(I250&gt;0,G250/I250,""),"")</f>
        <v/>
      </c>
      <c r="K250" s="25">
        <f>IF(COUNTA(A250:H250)=0,"",IF(OR(A250="",B250="",C250="",D250="",E250="",F250="",G250="",H250=""),"HATA: eksik bilgi",IF(COUNTIF(OdaListesi,A250)=0,"HATA: geçersiz oda no",IF(OR(NOT(ISNUMBER(D250)),NOT(ISNUMBER(E250))),"HATA: tarih geçersiz",IF(E250&lt;=D250,"HATA: çıkış girişten sonra olmalı",IF(OR(NOT(ISNUMBER(C250)),C250&lt;1,C250&gt;MaxKisi,C250&lt;&gt;INT(C250)),"HATA: kişi sayısı geçersiz",IF(OR(NOT(ISNUMBER(G250)),G250&lt;0),"HATA: tutar geçersiz",IF(B250&lt;&gt;TRIM(B250),"HATA: isimde baştaki/sondaki boşluk",IF(COUNTIF(KaynakAralik,H250)=0,"HATA: kaynak listede yok",IF(AND(F250&lt;&gt;"Bekleniyor",F250&lt;&gt;"Geldi",F250&lt;&gt;"İptal"),"HATA: giriş durumu geçersiz",IF(AND(F250&lt;&gt;"İptal",COUNTIFS($A$6:$A$1005,A250,$D$6:$D$1005,"&lt;"&amp;E250,$E$6:$E$1005,"&gt;"&amp;D250,$F$6:$F$1005,"&lt;&gt;İptal")&gt;1),"HATA: oda bu tarihlerde çakışıyor",IF(AND(F250="Bekleniyor",D250&lt;RaporTarihi),"HATA: giriş günü geçti, Geldi veya İptal yapın","OK"))))))))))))</f>
        <v/>
      </c>
      <c r="L250" s="25">
        <f>IF(AND(ISNUMBER(A250),F250&lt;&gt;"İptal",ISNUMBER(D250),ISNUMBER(E250),D250&lt;=RaporTarihi,E250&gt;RaporTarihi),A250,"")</f>
        <v/>
      </c>
    </row>
    <row r="251">
      <c r="A251" s="22" t="n"/>
      <c r="B251" s="22" t="n"/>
      <c r="C251" s="22" t="n"/>
      <c r="D251" s="23" t="n"/>
      <c r="E251" s="23" t="n"/>
      <c r="F251" s="22" t="n"/>
      <c r="G251" s="24" t="n"/>
      <c r="H251" s="22" t="n"/>
      <c r="I251" s="25">
        <f>IF(AND(ISNUMBER(D251),ISNUMBER(E251)),E251-D251,"")</f>
        <v/>
      </c>
      <c r="J251" s="26">
        <f>IF(AND(ISNUMBER(I251),ISNUMBER(G251)),IF(I251&gt;0,G251/I251,""),"")</f>
        <v/>
      </c>
      <c r="K251" s="25">
        <f>IF(COUNTA(A251:H251)=0,"",IF(OR(A251="",B251="",C251="",D251="",E251="",F251="",G251="",H251=""),"HATA: eksik bilgi",IF(COUNTIF(OdaListesi,A251)=0,"HATA: geçersiz oda no",IF(OR(NOT(ISNUMBER(D251)),NOT(ISNUMBER(E251))),"HATA: tarih geçersiz",IF(E251&lt;=D251,"HATA: çıkış girişten sonra olmalı",IF(OR(NOT(ISNUMBER(C251)),C251&lt;1,C251&gt;MaxKisi,C251&lt;&gt;INT(C251)),"HATA: kişi sayısı geçersiz",IF(OR(NOT(ISNUMBER(G251)),G251&lt;0),"HATA: tutar geçersiz",IF(B251&lt;&gt;TRIM(B251),"HATA: isimde baştaki/sondaki boşluk",IF(COUNTIF(KaynakAralik,H251)=0,"HATA: kaynak listede yok",IF(AND(F251&lt;&gt;"Bekleniyor",F251&lt;&gt;"Geldi",F251&lt;&gt;"İptal"),"HATA: giriş durumu geçersiz",IF(AND(F251&lt;&gt;"İptal",COUNTIFS($A$6:$A$1005,A251,$D$6:$D$1005,"&lt;"&amp;E251,$E$6:$E$1005,"&gt;"&amp;D251,$F$6:$F$1005,"&lt;&gt;İptal")&gt;1),"HATA: oda bu tarihlerde çakışıyor",IF(AND(F251="Bekleniyor",D251&lt;RaporTarihi),"HATA: giriş günü geçti, Geldi veya İptal yapın","OK"))))))))))))</f>
        <v/>
      </c>
      <c r="L251" s="25">
        <f>IF(AND(ISNUMBER(A251),F251&lt;&gt;"İptal",ISNUMBER(D251),ISNUMBER(E251),D251&lt;=RaporTarihi,E251&gt;RaporTarihi),A251,"")</f>
        <v/>
      </c>
    </row>
    <row r="252">
      <c r="A252" s="22" t="n"/>
      <c r="B252" s="22" t="n"/>
      <c r="C252" s="22" t="n"/>
      <c r="D252" s="23" t="n"/>
      <c r="E252" s="23" t="n"/>
      <c r="F252" s="22" t="n"/>
      <c r="G252" s="24" t="n"/>
      <c r="H252" s="22" t="n"/>
      <c r="I252" s="25">
        <f>IF(AND(ISNUMBER(D252),ISNUMBER(E252)),E252-D252,"")</f>
        <v/>
      </c>
      <c r="J252" s="26">
        <f>IF(AND(ISNUMBER(I252),ISNUMBER(G252)),IF(I252&gt;0,G252/I252,""),"")</f>
        <v/>
      </c>
      <c r="K252" s="25">
        <f>IF(COUNTA(A252:H252)=0,"",IF(OR(A252="",B252="",C252="",D252="",E252="",F252="",G252="",H252=""),"HATA: eksik bilgi",IF(COUNTIF(OdaListesi,A252)=0,"HATA: geçersiz oda no",IF(OR(NOT(ISNUMBER(D252)),NOT(ISNUMBER(E252))),"HATA: tarih geçersiz",IF(E252&lt;=D252,"HATA: çıkış girişten sonra olmalı",IF(OR(NOT(ISNUMBER(C252)),C252&lt;1,C252&gt;MaxKisi,C252&lt;&gt;INT(C252)),"HATA: kişi sayısı geçersiz",IF(OR(NOT(ISNUMBER(G252)),G252&lt;0),"HATA: tutar geçersiz",IF(B252&lt;&gt;TRIM(B252),"HATA: isimde baştaki/sondaki boşluk",IF(COUNTIF(KaynakAralik,H252)=0,"HATA: kaynak listede yok",IF(AND(F252&lt;&gt;"Bekleniyor",F252&lt;&gt;"Geldi",F252&lt;&gt;"İptal"),"HATA: giriş durumu geçersiz",IF(AND(F252&lt;&gt;"İptal",COUNTIFS($A$6:$A$1005,A252,$D$6:$D$1005,"&lt;"&amp;E252,$E$6:$E$1005,"&gt;"&amp;D252,$F$6:$F$1005,"&lt;&gt;İptal")&gt;1),"HATA: oda bu tarihlerde çakışıyor",IF(AND(F252="Bekleniyor",D252&lt;RaporTarihi),"HATA: giriş günü geçti, Geldi veya İptal yapın","OK"))))))))))))</f>
        <v/>
      </c>
      <c r="L252" s="25">
        <f>IF(AND(ISNUMBER(A252),F252&lt;&gt;"İptal",ISNUMBER(D252),ISNUMBER(E252),D252&lt;=RaporTarihi,E252&gt;RaporTarihi),A252,"")</f>
        <v/>
      </c>
    </row>
    <row r="253">
      <c r="A253" s="22" t="n"/>
      <c r="B253" s="22" t="n"/>
      <c r="C253" s="22" t="n"/>
      <c r="D253" s="23" t="n"/>
      <c r="E253" s="23" t="n"/>
      <c r="F253" s="22" t="n"/>
      <c r="G253" s="24" t="n"/>
      <c r="H253" s="22" t="n"/>
      <c r="I253" s="25">
        <f>IF(AND(ISNUMBER(D253),ISNUMBER(E253)),E253-D253,"")</f>
        <v/>
      </c>
      <c r="J253" s="26">
        <f>IF(AND(ISNUMBER(I253),ISNUMBER(G253)),IF(I253&gt;0,G253/I253,""),"")</f>
        <v/>
      </c>
      <c r="K253" s="25">
        <f>IF(COUNTA(A253:H253)=0,"",IF(OR(A253="",B253="",C253="",D253="",E253="",F253="",G253="",H253=""),"HATA: eksik bilgi",IF(COUNTIF(OdaListesi,A253)=0,"HATA: geçersiz oda no",IF(OR(NOT(ISNUMBER(D253)),NOT(ISNUMBER(E253))),"HATA: tarih geçersiz",IF(E253&lt;=D253,"HATA: çıkış girişten sonra olmalı",IF(OR(NOT(ISNUMBER(C253)),C253&lt;1,C253&gt;MaxKisi,C253&lt;&gt;INT(C253)),"HATA: kişi sayısı geçersiz",IF(OR(NOT(ISNUMBER(G253)),G253&lt;0),"HATA: tutar geçersiz",IF(B253&lt;&gt;TRIM(B253),"HATA: isimde baştaki/sondaki boşluk",IF(COUNTIF(KaynakAralik,H253)=0,"HATA: kaynak listede yok",IF(AND(F253&lt;&gt;"Bekleniyor",F253&lt;&gt;"Geldi",F253&lt;&gt;"İptal"),"HATA: giriş durumu geçersiz",IF(AND(F253&lt;&gt;"İptal",COUNTIFS($A$6:$A$1005,A253,$D$6:$D$1005,"&lt;"&amp;E253,$E$6:$E$1005,"&gt;"&amp;D253,$F$6:$F$1005,"&lt;&gt;İptal")&gt;1),"HATA: oda bu tarihlerde çakışıyor",IF(AND(F253="Bekleniyor",D253&lt;RaporTarihi),"HATA: giriş günü geçti, Geldi veya İptal yapın","OK"))))))))))))</f>
        <v/>
      </c>
      <c r="L253" s="25">
        <f>IF(AND(ISNUMBER(A253),F253&lt;&gt;"İptal",ISNUMBER(D253),ISNUMBER(E253),D253&lt;=RaporTarihi,E253&gt;RaporTarihi),A253,"")</f>
        <v/>
      </c>
    </row>
    <row r="254">
      <c r="A254" s="22" t="n"/>
      <c r="B254" s="22" t="n"/>
      <c r="C254" s="22" t="n"/>
      <c r="D254" s="23" t="n"/>
      <c r="E254" s="23" t="n"/>
      <c r="F254" s="22" t="n"/>
      <c r="G254" s="24" t="n"/>
      <c r="H254" s="22" t="n"/>
      <c r="I254" s="25">
        <f>IF(AND(ISNUMBER(D254),ISNUMBER(E254)),E254-D254,"")</f>
        <v/>
      </c>
      <c r="J254" s="26">
        <f>IF(AND(ISNUMBER(I254),ISNUMBER(G254)),IF(I254&gt;0,G254/I254,""),"")</f>
        <v/>
      </c>
      <c r="K254" s="25">
        <f>IF(COUNTA(A254:H254)=0,"",IF(OR(A254="",B254="",C254="",D254="",E254="",F254="",G254="",H254=""),"HATA: eksik bilgi",IF(COUNTIF(OdaListesi,A254)=0,"HATA: geçersiz oda no",IF(OR(NOT(ISNUMBER(D254)),NOT(ISNUMBER(E254))),"HATA: tarih geçersiz",IF(E254&lt;=D254,"HATA: çıkış girişten sonra olmalı",IF(OR(NOT(ISNUMBER(C254)),C254&lt;1,C254&gt;MaxKisi,C254&lt;&gt;INT(C254)),"HATA: kişi sayısı geçersiz",IF(OR(NOT(ISNUMBER(G254)),G254&lt;0),"HATA: tutar geçersiz",IF(B254&lt;&gt;TRIM(B254),"HATA: isimde baştaki/sondaki boşluk",IF(COUNTIF(KaynakAralik,H254)=0,"HATA: kaynak listede yok",IF(AND(F254&lt;&gt;"Bekleniyor",F254&lt;&gt;"Geldi",F254&lt;&gt;"İptal"),"HATA: giriş durumu geçersiz",IF(AND(F254&lt;&gt;"İptal",COUNTIFS($A$6:$A$1005,A254,$D$6:$D$1005,"&lt;"&amp;E254,$E$6:$E$1005,"&gt;"&amp;D254,$F$6:$F$1005,"&lt;&gt;İptal")&gt;1),"HATA: oda bu tarihlerde çakışıyor",IF(AND(F254="Bekleniyor",D254&lt;RaporTarihi),"HATA: giriş günü geçti, Geldi veya İptal yapın","OK"))))))))))))</f>
        <v/>
      </c>
      <c r="L254" s="25">
        <f>IF(AND(ISNUMBER(A254),F254&lt;&gt;"İptal",ISNUMBER(D254),ISNUMBER(E254),D254&lt;=RaporTarihi,E254&gt;RaporTarihi),A254,"")</f>
        <v/>
      </c>
    </row>
    <row r="255">
      <c r="A255" s="22" t="n"/>
      <c r="B255" s="22" t="n"/>
      <c r="C255" s="22" t="n"/>
      <c r="D255" s="23" t="n"/>
      <c r="E255" s="23" t="n"/>
      <c r="F255" s="22" t="n"/>
      <c r="G255" s="24" t="n"/>
      <c r="H255" s="22" t="n"/>
      <c r="I255" s="25">
        <f>IF(AND(ISNUMBER(D255),ISNUMBER(E255)),E255-D255,"")</f>
        <v/>
      </c>
      <c r="J255" s="26">
        <f>IF(AND(ISNUMBER(I255),ISNUMBER(G255)),IF(I255&gt;0,G255/I255,""),"")</f>
        <v/>
      </c>
      <c r="K255" s="25">
        <f>IF(COUNTA(A255:H255)=0,"",IF(OR(A255="",B255="",C255="",D255="",E255="",F255="",G255="",H255=""),"HATA: eksik bilgi",IF(COUNTIF(OdaListesi,A255)=0,"HATA: geçersiz oda no",IF(OR(NOT(ISNUMBER(D255)),NOT(ISNUMBER(E255))),"HATA: tarih geçersiz",IF(E255&lt;=D255,"HATA: çıkış girişten sonra olmalı",IF(OR(NOT(ISNUMBER(C255)),C255&lt;1,C255&gt;MaxKisi,C255&lt;&gt;INT(C255)),"HATA: kişi sayısı geçersiz",IF(OR(NOT(ISNUMBER(G255)),G255&lt;0),"HATA: tutar geçersiz",IF(B255&lt;&gt;TRIM(B255),"HATA: isimde baştaki/sondaki boşluk",IF(COUNTIF(KaynakAralik,H255)=0,"HATA: kaynak listede yok",IF(AND(F255&lt;&gt;"Bekleniyor",F255&lt;&gt;"Geldi",F255&lt;&gt;"İptal"),"HATA: giriş durumu geçersiz",IF(AND(F255&lt;&gt;"İptal",COUNTIFS($A$6:$A$1005,A255,$D$6:$D$1005,"&lt;"&amp;E255,$E$6:$E$1005,"&gt;"&amp;D255,$F$6:$F$1005,"&lt;&gt;İptal")&gt;1),"HATA: oda bu tarihlerde çakışıyor",IF(AND(F255="Bekleniyor",D255&lt;RaporTarihi),"HATA: giriş günü geçti, Geldi veya İptal yapın","OK"))))))))))))</f>
        <v/>
      </c>
      <c r="L255" s="25">
        <f>IF(AND(ISNUMBER(A255),F255&lt;&gt;"İptal",ISNUMBER(D255),ISNUMBER(E255),D255&lt;=RaporTarihi,E255&gt;RaporTarihi),A255,"")</f>
        <v/>
      </c>
    </row>
    <row r="256">
      <c r="A256" s="22" t="n"/>
      <c r="B256" s="22" t="n"/>
      <c r="C256" s="22" t="n"/>
      <c r="D256" s="23" t="n"/>
      <c r="E256" s="23" t="n"/>
      <c r="F256" s="22" t="n"/>
      <c r="G256" s="24" t="n"/>
      <c r="H256" s="22" t="n"/>
      <c r="I256" s="25">
        <f>IF(AND(ISNUMBER(D256),ISNUMBER(E256)),E256-D256,"")</f>
        <v/>
      </c>
      <c r="J256" s="26">
        <f>IF(AND(ISNUMBER(I256),ISNUMBER(G256)),IF(I256&gt;0,G256/I256,""),"")</f>
        <v/>
      </c>
      <c r="K256" s="25">
        <f>IF(COUNTA(A256:H256)=0,"",IF(OR(A256="",B256="",C256="",D256="",E256="",F256="",G256="",H256=""),"HATA: eksik bilgi",IF(COUNTIF(OdaListesi,A256)=0,"HATA: geçersiz oda no",IF(OR(NOT(ISNUMBER(D256)),NOT(ISNUMBER(E256))),"HATA: tarih geçersiz",IF(E256&lt;=D256,"HATA: çıkış girişten sonra olmalı",IF(OR(NOT(ISNUMBER(C256)),C256&lt;1,C256&gt;MaxKisi,C256&lt;&gt;INT(C256)),"HATA: kişi sayısı geçersiz",IF(OR(NOT(ISNUMBER(G256)),G256&lt;0),"HATA: tutar geçersiz",IF(B256&lt;&gt;TRIM(B256),"HATA: isimde baştaki/sondaki boşluk",IF(COUNTIF(KaynakAralik,H256)=0,"HATA: kaynak listede yok",IF(AND(F256&lt;&gt;"Bekleniyor",F256&lt;&gt;"Geldi",F256&lt;&gt;"İptal"),"HATA: giriş durumu geçersiz",IF(AND(F256&lt;&gt;"İptal",COUNTIFS($A$6:$A$1005,A256,$D$6:$D$1005,"&lt;"&amp;E256,$E$6:$E$1005,"&gt;"&amp;D256,$F$6:$F$1005,"&lt;&gt;İptal")&gt;1),"HATA: oda bu tarihlerde çakışıyor",IF(AND(F256="Bekleniyor",D256&lt;RaporTarihi),"HATA: giriş günü geçti, Geldi veya İptal yapın","OK"))))))))))))</f>
        <v/>
      </c>
      <c r="L256" s="25">
        <f>IF(AND(ISNUMBER(A256),F256&lt;&gt;"İptal",ISNUMBER(D256),ISNUMBER(E256),D256&lt;=RaporTarihi,E256&gt;RaporTarihi),A256,"")</f>
        <v/>
      </c>
    </row>
    <row r="257">
      <c r="A257" s="22" t="n"/>
      <c r="B257" s="22" t="n"/>
      <c r="C257" s="22" t="n"/>
      <c r="D257" s="23" t="n"/>
      <c r="E257" s="23" t="n"/>
      <c r="F257" s="22" t="n"/>
      <c r="G257" s="24" t="n"/>
      <c r="H257" s="22" t="n"/>
      <c r="I257" s="25">
        <f>IF(AND(ISNUMBER(D257),ISNUMBER(E257)),E257-D257,"")</f>
        <v/>
      </c>
      <c r="J257" s="26">
        <f>IF(AND(ISNUMBER(I257),ISNUMBER(G257)),IF(I257&gt;0,G257/I257,""),"")</f>
        <v/>
      </c>
      <c r="K257" s="25">
        <f>IF(COUNTA(A257:H257)=0,"",IF(OR(A257="",B257="",C257="",D257="",E257="",F257="",G257="",H257=""),"HATA: eksik bilgi",IF(COUNTIF(OdaListesi,A257)=0,"HATA: geçersiz oda no",IF(OR(NOT(ISNUMBER(D257)),NOT(ISNUMBER(E257))),"HATA: tarih geçersiz",IF(E257&lt;=D257,"HATA: çıkış girişten sonra olmalı",IF(OR(NOT(ISNUMBER(C257)),C257&lt;1,C257&gt;MaxKisi,C257&lt;&gt;INT(C257)),"HATA: kişi sayısı geçersiz",IF(OR(NOT(ISNUMBER(G257)),G257&lt;0),"HATA: tutar geçersiz",IF(B257&lt;&gt;TRIM(B257),"HATA: isimde baştaki/sondaki boşluk",IF(COUNTIF(KaynakAralik,H257)=0,"HATA: kaynak listede yok",IF(AND(F257&lt;&gt;"Bekleniyor",F257&lt;&gt;"Geldi",F257&lt;&gt;"İptal"),"HATA: giriş durumu geçersiz",IF(AND(F257&lt;&gt;"İptal",COUNTIFS($A$6:$A$1005,A257,$D$6:$D$1005,"&lt;"&amp;E257,$E$6:$E$1005,"&gt;"&amp;D257,$F$6:$F$1005,"&lt;&gt;İptal")&gt;1),"HATA: oda bu tarihlerde çakışıyor",IF(AND(F257="Bekleniyor",D257&lt;RaporTarihi),"HATA: giriş günü geçti, Geldi veya İptal yapın","OK"))))))))))))</f>
        <v/>
      </c>
      <c r="L257" s="25">
        <f>IF(AND(ISNUMBER(A257),F257&lt;&gt;"İptal",ISNUMBER(D257),ISNUMBER(E257),D257&lt;=RaporTarihi,E257&gt;RaporTarihi),A257,"")</f>
        <v/>
      </c>
    </row>
    <row r="258">
      <c r="A258" s="22" t="n"/>
      <c r="B258" s="22" t="n"/>
      <c r="C258" s="22" t="n"/>
      <c r="D258" s="23" t="n"/>
      <c r="E258" s="23" t="n"/>
      <c r="F258" s="22" t="n"/>
      <c r="G258" s="24" t="n"/>
      <c r="H258" s="22" t="n"/>
      <c r="I258" s="25">
        <f>IF(AND(ISNUMBER(D258),ISNUMBER(E258)),E258-D258,"")</f>
        <v/>
      </c>
      <c r="J258" s="26">
        <f>IF(AND(ISNUMBER(I258),ISNUMBER(G258)),IF(I258&gt;0,G258/I258,""),"")</f>
        <v/>
      </c>
      <c r="K258" s="25">
        <f>IF(COUNTA(A258:H258)=0,"",IF(OR(A258="",B258="",C258="",D258="",E258="",F258="",G258="",H258=""),"HATA: eksik bilgi",IF(COUNTIF(OdaListesi,A258)=0,"HATA: geçersiz oda no",IF(OR(NOT(ISNUMBER(D258)),NOT(ISNUMBER(E258))),"HATA: tarih geçersiz",IF(E258&lt;=D258,"HATA: çıkış girişten sonra olmalı",IF(OR(NOT(ISNUMBER(C258)),C258&lt;1,C258&gt;MaxKisi,C258&lt;&gt;INT(C258)),"HATA: kişi sayısı geçersiz",IF(OR(NOT(ISNUMBER(G258)),G258&lt;0),"HATA: tutar geçersiz",IF(B258&lt;&gt;TRIM(B258),"HATA: isimde baştaki/sondaki boşluk",IF(COUNTIF(KaynakAralik,H258)=0,"HATA: kaynak listede yok",IF(AND(F258&lt;&gt;"Bekleniyor",F258&lt;&gt;"Geldi",F258&lt;&gt;"İptal"),"HATA: giriş durumu geçersiz",IF(AND(F258&lt;&gt;"İptal",COUNTIFS($A$6:$A$1005,A258,$D$6:$D$1005,"&lt;"&amp;E258,$E$6:$E$1005,"&gt;"&amp;D258,$F$6:$F$1005,"&lt;&gt;İptal")&gt;1),"HATA: oda bu tarihlerde çakışıyor",IF(AND(F258="Bekleniyor",D258&lt;RaporTarihi),"HATA: giriş günü geçti, Geldi veya İptal yapın","OK"))))))))))))</f>
        <v/>
      </c>
      <c r="L258" s="25">
        <f>IF(AND(ISNUMBER(A258),F258&lt;&gt;"İptal",ISNUMBER(D258),ISNUMBER(E258),D258&lt;=RaporTarihi,E258&gt;RaporTarihi),A258,"")</f>
        <v/>
      </c>
    </row>
    <row r="259">
      <c r="A259" s="22" t="n"/>
      <c r="B259" s="22" t="n"/>
      <c r="C259" s="22" t="n"/>
      <c r="D259" s="23" t="n"/>
      <c r="E259" s="23" t="n"/>
      <c r="F259" s="22" t="n"/>
      <c r="G259" s="24" t="n"/>
      <c r="H259" s="22" t="n"/>
      <c r="I259" s="25">
        <f>IF(AND(ISNUMBER(D259),ISNUMBER(E259)),E259-D259,"")</f>
        <v/>
      </c>
      <c r="J259" s="26">
        <f>IF(AND(ISNUMBER(I259),ISNUMBER(G259)),IF(I259&gt;0,G259/I259,""),"")</f>
        <v/>
      </c>
      <c r="K259" s="25">
        <f>IF(COUNTA(A259:H259)=0,"",IF(OR(A259="",B259="",C259="",D259="",E259="",F259="",G259="",H259=""),"HATA: eksik bilgi",IF(COUNTIF(OdaListesi,A259)=0,"HATA: geçersiz oda no",IF(OR(NOT(ISNUMBER(D259)),NOT(ISNUMBER(E259))),"HATA: tarih geçersiz",IF(E259&lt;=D259,"HATA: çıkış girişten sonra olmalı",IF(OR(NOT(ISNUMBER(C259)),C259&lt;1,C259&gt;MaxKisi,C259&lt;&gt;INT(C259)),"HATA: kişi sayısı geçersiz",IF(OR(NOT(ISNUMBER(G259)),G259&lt;0),"HATA: tutar geçersiz",IF(B259&lt;&gt;TRIM(B259),"HATA: isimde baştaki/sondaki boşluk",IF(COUNTIF(KaynakAralik,H259)=0,"HATA: kaynak listede yok",IF(AND(F259&lt;&gt;"Bekleniyor",F259&lt;&gt;"Geldi",F259&lt;&gt;"İptal"),"HATA: giriş durumu geçersiz",IF(AND(F259&lt;&gt;"İptal",COUNTIFS($A$6:$A$1005,A259,$D$6:$D$1005,"&lt;"&amp;E259,$E$6:$E$1005,"&gt;"&amp;D259,$F$6:$F$1005,"&lt;&gt;İptal")&gt;1),"HATA: oda bu tarihlerde çakışıyor",IF(AND(F259="Bekleniyor",D259&lt;RaporTarihi),"HATA: giriş günü geçti, Geldi veya İptal yapın","OK"))))))))))))</f>
        <v/>
      </c>
      <c r="L259" s="25">
        <f>IF(AND(ISNUMBER(A259),F259&lt;&gt;"İptal",ISNUMBER(D259),ISNUMBER(E259),D259&lt;=RaporTarihi,E259&gt;RaporTarihi),A259,"")</f>
        <v/>
      </c>
    </row>
    <row r="260">
      <c r="A260" s="22" t="n"/>
      <c r="B260" s="22" t="n"/>
      <c r="C260" s="22" t="n"/>
      <c r="D260" s="23" t="n"/>
      <c r="E260" s="23" t="n"/>
      <c r="F260" s="22" t="n"/>
      <c r="G260" s="24" t="n"/>
      <c r="H260" s="22" t="n"/>
      <c r="I260" s="25">
        <f>IF(AND(ISNUMBER(D260),ISNUMBER(E260)),E260-D260,"")</f>
        <v/>
      </c>
      <c r="J260" s="26">
        <f>IF(AND(ISNUMBER(I260),ISNUMBER(G260)),IF(I260&gt;0,G260/I260,""),"")</f>
        <v/>
      </c>
      <c r="K260" s="25">
        <f>IF(COUNTA(A260:H260)=0,"",IF(OR(A260="",B260="",C260="",D260="",E260="",F260="",G260="",H260=""),"HATA: eksik bilgi",IF(COUNTIF(OdaListesi,A260)=0,"HATA: geçersiz oda no",IF(OR(NOT(ISNUMBER(D260)),NOT(ISNUMBER(E260))),"HATA: tarih geçersiz",IF(E260&lt;=D260,"HATA: çıkış girişten sonra olmalı",IF(OR(NOT(ISNUMBER(C260)),C260&lt;1,C260&gt;MaxKisi,C260&lt;&gt;INT(C260)),"HATA: kişi sayısı geçersiz",IF(OR(NOT(ISNUMBER(G260)),G260&lt;0),"HATA: tutar geçersiz",IF(B260&lt;&gt;TRIM(B260),"HATA: isimde baştaki/sondaki boşluk",IF(COUNTIF(KaynakAralik,H260)=0,"HATA: kaynak listede yok",IF(AND(F260&lt;&gt;"Bekleniyor",F260&lt;&gt;"Geldi",F260&lt;&gt;"İptal"),"HATA: giriş durumu geçersiz",IF(AND(F260&lt;&gt;"İptal",COUNTIFS($A$6:$A$1005,A260,$D$6:$D$1005,"&lt;"&amp;E260,$E$6:$E$1005,"&gt;"&amp;D260,$F$6:$F$1005,"&lt;&gt;İptal")&gt;1),"HATA: oda bu tarihlerde çakışıyor",IF(AND(F260="Bekleniyor",D260&lt;RaporTarihi),"HATA: giriş günü geçti, Geldi veya İptal yapın","OK"))))))))))))</f>
        <v/>
      </c>
      <c r="L260" s="25">
        <f>IF(AND(ISNUMBER(A260),F260&lt;&gt;"İptal",ISNUMBER(D260),ISNUMBER(E260),D260&lt;=RaporTarihi,E260&gt;RaporTarihi),A260,"")</f>
        <v/>
      </c>
    </row>
    <row r="261">
      <c r="A261" s="22" t="n"/>
      <c r="B261" s="22" t="n"/>
      <c r="C261" s="22" t="n"/>
      <c r="D261" s="23" t="n"/>
      <c r="E261" s="23" t="n"/>
      <c r="F261" s="22" t="n"/>
      <c r="G261" s="24" t="n"/>
      <c r="H261" s="22" t="n"/>
      <c r="I261" s="25">
        <f>IF(AND(ISNUMBER(D261),ISNUMBER(E261)),E261-D261,"")</f>
        <v/>
      </c>
      <c r="J261" s="26">
        <f>IF(AND(ISNUMBER(I261),ISNUMBER(G261)),IF(I261&gt;0,G261/I261,""),"")</f>
        <v/>
      </c>
      <c r="K261" s="25">
        <f>IF(COUNTA(A261:H261)=0,"",IF(OR(A261="",B261="",C261="",D261="",E261="",F261="",G261="",H261=""),"HATA: eksik bilgi",IF(COUNTIF(OdaListesi,A261)=0,"HATA: geçersiz oda no",IF(OR(NOT(ISNUMBER(D261)),NOT(ISNUMBER(E261))),"HATA: tarih geçersiz",IF(E261&lt;=D261,"HATA: çıkış girişten sonra olmalı",IF(OR(NOT(ISNUMBER(C261)),C261&lt;1,C261&gt;MaxKisi,C261&lt;&gt;INT(C261)),"HATA: kişi sayısı geçersiz",IF(OR(NOT(ISNUMBER(G261)),G261&lt;0),"HATA: tutar geçersiz",IF(B261&lt;&gt;TRIM(B261),"HATA: isimde baştaki/sondaki boşluk",IF(COUNTIF(KaynakAralik,H261)=0,"HATA: kaynak listede yok",IF(AND(F261&lt;&gt;"Bekleniyor",F261&lt;&gt;"Geldi",F261&lt;&gt;"İptal"),"HATA: giriş durumu geçersiz",IF(AND(F261&lt;&gt;"İptal",COUNTIFS($A$6:$A$1005,A261,$D$6:$D$1005,"&lt;"&amp;E261,$E$6:$E$1005,"&gt;"&amp;D261,$F$6:$F$1005,"&lt;&gt;İptal")&gt;1),"HATA: oda bu tarihlerde çakışıyor",IF(AND(F261="Bekleniyor",D261&lt;RaporTarihi),"HATA: giriş günü geçti, Geldi veya İptal yapın","OK"))))))))))))</f>
        <v/>
      </c>
      <c r="L261" s="25">
        <f>IF(AND(ISNUMBER(A261),F261&lt;&gt;"İptal",ISNUMBER(D261),ISNUMBER(E261),D261&lt;=RaporTarihi,E261&gt;RaporTarihi),A261,"")</f>
        <v/>
      </c>
    </row>
    <row r="262">
      <c r="A262" s="22" t="n"/>
      <c r="B262" s="22" t="n"/>
      <c r="C262" s="22" t="n"/>
      <c r="D262" s="23" t="n"/>
      <c r="E262" s="23" t="n"/>
      <c r="F262" s="22" t="n"/>
      <c r="G262" s="24" t="n"/>
      <c r="H262" s="22" t="n"/>
      <c r="I262" s="25">
        <f>IF(AND(ISNUMBER(D262),ISNUMBER(E262)),E262-D262,"")</f>
        <v/>
      </c>
      <c r="J262" s="26">
        <f>IF(AND(ISNUMBER(I262),ISNUMBER(G262)),IF(I262&gt;0,G262/I262,""),"")</f>
        <v/>
      </c>
      <c r="K262" s="25">
        <f>IF(COUNTA(A262:H262)=0,"",IF(OR(A262="",B262="",C262="",D262="",E262="",F262="",G262="",H262=""),"HATA: eksik bilgi",IF(COUNTIF(OdaListesi,A262)=0,"HATA: geçersiz oda no",IF(OR(NOT(ISNUMBER(D262)),NOT(ISNUMBER(E262))),"HATA: tarih geçersiz",IF(E262&lt;=D262,"HATA: çıkış girişten sonra olmalı",IF(OR(NOT(ISNUMBER(C262)),C262&lt;1,C262&gt;MaxKisi,C262&lt;&gt;INT(C262)),"HATA: kişi sayısı geçersiz",IF(OR(NOT(ISNUMBER(G262)),G262&lt;0),"HATA: tutar geçersiz",IF(B262&lt;&gt;TRIM(B262),"HATA: isimde baştaki/sondaki boşluk",IF(COUNTIF(KaynakAralik,H262)=0,"HATA: kaynak listede yok",IF(AND(F262&lt;&gt;"Bekleniyor",F262&lt;&gt;"Geldi",F262&lt;&gt;"İptal"),"HATA: giriş durumu geçersiz",IF(AND(F262&lt;&gt;"İptal",COUNTIFS($A$6:$A$1005,A262,$D$6:$D$1005,"&lt;"&amp;E262,$E$6:$E$1005,"&gt;"&amp;D262,$F$6:$F$1005,"&lt;&gt;İptal")&gt;1),"HATA: oda bu tarihlerde çakışıyor",IF(AND(F262="Bekleniyor",D262&lt;RaporTarihi),"HATA: giriş günü geçti, Geldi veya İptal yapın","OK"))))))))))))</f>
        <v/>
      </c>
      <c r="L262" s="25">
        <f>IF(AND(ISNUMBER(A262),F262&lt;&gt;"İptal",ISNUMBER(D262),ISNUMBER(E262),D262&lt;=RaporTarihi,E262&gt;RaporTarihi),A262,"")</f>
        <v/>
      </c>
    </row>
    <row r="263">
      <c r="A263" s="22" t="n"/>
      <c r="B263" s="22" t="n"/>
      <c r="C263" s="22" t="n"/>
      <c r="D263" s="23" t="n"/>
      <c r="E263" s="23" t="n"/>
      <c r="F263" s="22" t="n"/>
      <c r="G263" s="24" t="n"/>
      <c r="H263" s="22" t="n"/>
      <c r="I263" s="25">
        <f>IF(AND(ISNUMBER(D263),ISNUMBER(E263)),E263-D263,"")</f>
        <v/>
      </c>
      <c r="J263" s="26">
        <f>IF(AND(ISNUMBER(I263),ISNUMBER(G263)),IF(I263&gt;0,G263/I263,""),"")</f>
        <v/>
      </c>
      <c r="K263" s="25">
        <f>IF(COUNTA(A263:H263)=0,"",IF(OR(A263="",B263="",C263="",D263="",E263="",F263="",G263="",H263=""),"HATA: eksik bilgi",IF(COUNTIF(OdaListesi,A263)=0,"HATA: geçersiz oda no",IF(OR(NOT(ISNUMBER(D263)),NOT(ISNUMBER(E263))),"HATA: tarih geçersiz",IF(E263&lt;=D263,"HATA: çıkış girişten sonra olmalı",IF(OR(NOT(ISNUMBER(C263)),C263&lt;1,C263&gt;MaxKisi,C263&lt;&gt;INT(C263)),"HATA: kişi sayısı geçersiz",IF(OR(NOT(ISNUMBER(G263)),G263&lt;0),"HATA: tutar geçersiz",IF(B263&lt;&gt;TRIM(B263),"HATA: isimde baştaki/sondaki boşluk",IF(COUNTIF(KaynakAralik,H263)=0,"HATA: kaynak listede yok",IF(AND(F263&lt;&gt;"Bekleniyor",F263&lt;&gt;"Geldi",F263&lt;&gt;"İptal"),"HATA: giriş durumu geçersiz",IF(AND(F263&lt;&gt;"İptal",COUNTIFS($A$6:$A$1005,A263,$D$6:$D$1005,"&lt;"&amp;E263,$E$6:$E$1005,"&gt;"&amp;D263,$F$6:$F$1005,"&lt;&gt;İptal")&gt;1),"HATA: oda bu tarihlerde çakışıyor",IF(AND(F263="Bekleniyor",D263&lt;RaporTarihi),"HATA: giriş günü geçti, Geldi veya İptal yapın","OK"))))))))))))</f>
        <v/>
      </c>
      <c r="L263" s="25">
        <f>IF(AND(ISNUMBER(A263),F263&lt;&gt;"İptal",ISNUMBER(D263),ISNUMBER(E263),D263&lt;=RaporTarihi,E263&gt;RaporTarihi),A263,"")</f>
        <v/>
      </c>
    </row>
    <row r="264">
      <c r="A264" s="22" t="n"/>
      <c r="B264" s="22" t="n"/>
      <c r="C264" s="22" t="n"/>
      <c r="D264" s="23" t="n"/>
      <c r="E264" s="23" t="n"/>
      <c r="F264" s="22" t="n"/>
      <c r="G264" s="24" t="n"/>
      <c r="H264" s="22" t="n"/>
      <c r="I264" s="25">
        <f>IF(AND(ISNUMBER(D264),ISNUMBER(E264)),E264-D264,"")</f>
        <v/>
      </c>
      <c r="J264" s="26">
        <f>IF(AND(ISNUMBER(I264),ISNUMBER(G264)),IF(I264&gt;0,G264/I264,""),"")</f>
        <v/>
      </c>
      <c r="K264" s="25">
        <f>IF(COUNTA(A264:H264)=0,"",IF(OR(A264="",B264="",C264="",D264="",E264="",F264="",G264="",H264=""),"HATA: eksik bilgi",IF(COUNTIF(OdaListesi,A264)=0,"HATA: geçersiz oda no",IF(OR(NOT(ISNUMBER(D264)),NOT(ISNUMBER(E264))),"HATA: tarih geçersiz",IF(E264&lt;=D264,"HATA: çıkış girişten sonra olmalı",IF(OR(NOT(ISNUMBER(C264)),C264&lt;1,C264&gt;MaxKisi,C264&lt;&gt;INT(C264)),"HATA: kişi sayısı geçersiz",IF(OR(NOT(ISNUMBER(G264)),G264&lt;0),"HATA: tutar geçersiz",IF(B264&lt;&gt;TRIM(B264),"HATA: isimde baştaki/sondaki boşluk",IF(COUNTIF(KaynakAralik,H264)=0,"HATA: kaynak listede yok",IF(AND(F264&lt;&gt;"Bekleniyor",F264&lt;&gt;"Geldi",F264&lt;&gt;"İptal"),"HATA: giriş durumu geçersiz",IF(AND(F264&lt;&gt;"İptal",COUNTIFS($A$6:$A$1005,A264,$D$6:$D$1005,"&lt;"&amp;E264,$E$6:$E$1005,"&gt;"&amp;D264,$F$6:$F$1005,"&lt;&gt;İptal")&gt;1),"HATA: oda bu tarihlerde çakışıyor",IF(AND(F264="Bekleniyor",D264&lt;RaporTarihi),"HATA: giriş günü geçti, Geldi veya İptal yapın","OK"))))))))))))</f>
        <v/>
      </c>
      <c r="L264" s="25">
        <f>IF(AND(ISNUMBER(A264),F264&lt;&gt;"İptal",ISNUMBER(D264),ISNUMBER(E264),D264&lt;=RaporTarihi,E264&gt;RaporTarihi),A264,"")</f>
        <v/>
      </c>
    </row>
    <row r="265">
      <c r="A265" s="22" t="n"/>
      <c r="B265" s="22" t="n"/>
      <c r="C265" s="22" t="n"/>
      <c r="D265" s="23" t="n"/>
      <c r="E265" s="23" t="n"/>
      <c r="F265" s="22" t="n"/>
      <c r="G265" s="24" t="n"/>
      <c r="H265" s="22" t="n"/>
      <c r="I265" s="25">
        <f>IF(AND(ISNUMBER(D265),ISNUMBER(E265)),E265-D265,"")</f>
        <v/>
      </c>
      <c r="J265" s="26">
        <f>IF(AND(ISNUMBER(I265),ISNUMBER(G265)),IF(I265&gt;0,G265/I265,""),"")</f>
        <v/>
      </c>
      <c r="K265" s="25">
        <f>IF(COUNTA(A265:H265)=0,"",IF(OR(A265="",B265="",C265="",D265="",E265="",F265="",G265="",H265=""),"HATA: eksik bilgi",IF(COUNTIF(OdaListesi,A265)=0,"HATA: geçersiz oda no",IF(OR(NOT(ISNUMBER(D265)),NOT(ISNUMBER(E265))),"HATA: tarih geçersiz",IF(E265&lt;=D265,"HATA: çıkış girişten sonra olmalı",IF(OR(NOT(ISNUMBER(C265)),C265&lt;1,C265&gt;MaxKisi,C265&lt;&gt;INT(C265)),"HATA: kişi sayısı geçersiz",IF(OR(NOT(ISNUMBER(G265)),G265&lt;0),"HATA: tutar geçersiz",IF(B265&lt;&gt;TRIM(B265),"HATA: isimde baştaki/sondaki boşluk",IF(COUNTIF(KaynakAralik,H265)=0,"HATA: kaynak listede yok",IF(AND(F265&lt;&gt;"Bekleniyor",F265&lt;&gt;"Geldi",F265&lt;&gt;"İptal"),"HATA: giriş durumu geçersiz",IF(AND(F265&lt;&gt;"İptal",COUNTIFS($A$6:$A$1005,A265,$D$6:$D$1005,"&lt;"&amp;E265,$E$6:$E$1005,"&gt;"&amp;D265,$F$6:$F$1005,"&lt;&gt;İptal")&gt;1),"HATA: oda bu tarihlerde çakışıyor",IF(AND(F265="Bekleniyor",D265&lt;RaporTarihi),"HATA: giriş günü geçti, Geldi veya İptal yapın","OK"))))))))))))</f>
        <v/>
      </c>
      <c r="L265" s="25">
        <f>IF(AND(ISNUMBER(A265),F265&lt;&gt;"İptal",ISNUMBER(D265),ISNUMBER(E265),D265&lt;=RaporTarihi,E265&gt;RaporTarihi),A265,"")</f>
        <v/>
      </c>
    </row>
    <row r="266">
      <c r="A266" s="22" t="n"/>
      <c r="B266" s="22" t="n"/>
      <c r="C266" s="22" t="n"/>
      <c r="D266" s="23" t="n"/>
      <c r="E266" s="23" t="n"/>
      <c r="F266" s="22" t="n"/>
      <c r="G266" s="24" t="n"/>
      <c r="H266" s="22" t="n"/>
      <c r="I266" s="25">
        <f>IF(AND(ISNUMBER(D266),ISNUMBER(E266)),E266-D266,"")</f>
        <v/>
      </c>
      <c r="J266" s="26">
        <f>IF(AND(ISNUMBER(I266),ISNUMBER(G266)),IF(I266&gt;0,G266/I266,""),"")</f>
        <v/>
      </c>
      <c r="K266" s="25">
        <f>IF(COUNTA(A266:H266)=0,"",IF(OR(A266="",B266="",C266="",D266="",E266="",F266="",G266="",H266=""),"HATA: eksik bilgi",IF(COUNTIF(OdaListesi,A266)=0,"HATA: geçersiz oda no",IF(OR(NOT(ISNUMBER(D266)),NOT(ISNUMBER(E266))),"HATA: tarih geçersiz",IF(E266&lt;=D266,"HATA: çıkış girişten sonra olmalı",IF(OR(NOT(ISNUMBER(C266)),C266&lt;1,C266&gt;MaxKisi,C266&lt;&gt;INT(C266)),"HATA: kişi sayısı geçersiz",IF(OR(NOT(ISNUMBER(G266)),G266&lt;0),"HATA: tutar geçersiz",IF(B266&lt;&gt;TRIM(B266),"HATA: isimde baştaki/sondaki boşluk",IF(COUNTIF(KaynakAralik,H266)=0,"HATA: kaynak listede yok",IF(AND(F266&lt;&gt;"Bekleniyor",F266&lt;&gt;"Geldi",F266&lt;&gt;"İptal"),"HATA: giriş durumu geçersiz",IF(AND(F266&lt;&gt;"İptal",COUNTIFS($A$6:$A$1005,A266,$D$6:$D$1005,"&lt;"&amp;E266,$E$6:$E$1005,"&gt;"&amp;D266,$F$6:$F$1005,"&lt;&gt;İptal")&gt;1),"HATA: oda bu tarihlerde çakışıyor",IF(AND(F266="Bekleniyor",D266&lt;RaporTarihi),"HATA: giriş günü geçti, Geldi veya İptal yapın","OK"))))))))))))</f>
        <v/>
      </c>
      <c r="L266" s="25">
        <f>IF(AND(ISNUMBER(A266),F266&lt;&gt;"İptal",ISNUMBER(D266),ISNUMBER(E266),D266&lt;=RaporTarihi,E266&gt;RaporTarihi),A266,"")</f>
        <v/>
      </c>
    </row>
    <row r="267">
      <c r="A267" s="22" t="n"/>
      <c r="B267" s="22" t="n"/>
      <c r="C267" s="22" t="n"/>
      <c r="D267" s="23" t="n"/>
      <c r="E267" s="23" t="n"/>
      <c r="F267" s="22" t="n"/>
      <c r="G267" s="24" t="n"/>
      <c r="H267" s="22" t="n"/>
      <c r="I267" s="25">
        <f>IF(AND(ISNUMBER(D267),ISNUMBER(E267)),E267-D267,"")</f>
        <v/>
      </c>
      <c r="J267" s="26">
        <f>IF(AND(ISNUMBER(I267),ISNUMBER(G267)),IF(I267&gt;0,G267/I267,""),"")</f>
        <v/>
      </c>
      <c r="K267" s="25">
        <f>IF(COUNTA(A267:H267)=0,"",IF(OR(A267="",B267="",C267="",D267="",E267="",F267="",G267="",H267=""),"HATA: eksik bilgi",IF(COUNTIF(OdaListesi,A267)=0,"HATA: geçersiz oda no",IF(OR(NOT(ISNUMBER(D267)),NOT(ISNUMBER(E267))),"HATA: tarih geçersiz",IF(E267&lt;=D267,"HATA: çıkış girişten sonra olmalı",IF(OR(NOT(ISNUMBER(C267)),C267&lt;1,C267&gt;MaxKisi,C267&lt;&gt;INT(C267)),"HATA: kişi sayısı geçersiz",IF(OR(NOT(ISNUMBER(G267)),G267&lt;0),"HATA: tutar geçersiz",IF(B267&lt;&gt;TRIM(B267),"HATA: isimde baştaki/sondaki boşluk",IF(COUNTIF(KaynakAralik,H267)=0,"HATA: kaynak listede yok",IF(AND(F267&lt;&gt;"Bekleniyor",F267&lt;&gt;"Geldi",F267&lt;&gt;"İptal"),"HATA: giriş durumu geçersiz",IF(AND(F267&lt;&gt;"İptal",COUNTIFS($A$6:$A$1005,A267,$D$6:$D$1005,"&lt;"&amp;E267,$E$6:$E$1005,"&gt;"&amp;D267,$F$6:$F$1005,"&lt;&gt;İptal")&gt;1),"HATA: oda bu tarihlerde çakışıyor",IF(AND(F267="Bekleniyor",D267&lt;RaporTarihi),"HATA: giriş günü geçti, Geldi veya İptal yapın","OK"))))))))))))</f>
        <v/>
      </c>
      <c r="L267" s="25">
        <f>IF(AND(ISNUMBER(A267),F267&lt;&gt;"İptal",ISNUMBER(D267),ISNUMBER(E267),D267&lt;=RaporTarihi,E267&gt;RaporTarihi),A267,"")</f>
        <v/>
      </c>
    </row>
    <row r="268">
      <c r="A268" s="22" t="n"/>
      <c r="B268" s="22" t="n"/>
      <c r="C268" s="22" t="n"/>
      <c r="D268" s="23" t="n"/>
      <c r="E268" s="23" t="n"/>
      <c r="F268" s="22" t="n"/>
      <c r="G268" s="24" t="n"/>
      <c r="H268" s="22" t="n"/>
      <c r="I268" s="25">
        <f>IF(AND(ISNUMBER(D268),ISNUMBER(E268)),E268-D268,"")</f>
        <v/>
      </c>
      <c r="J268" s="26">
        <f>IF(AND(ISNUMBER(I268),ISNUMBER(G268)),IF(I268&gt;0,G268/I268,""),"")</f>
        <v/>
      </c>
      <c r="K268" s="25">
        <f>IF(COUNTA(A268:H268)=0,"",IF(OR(A268="",B268="",C268="",D268="",E268="",F268="",G268="",H268=""),"HATA: eksik bilgi",IF(COUNTIF(OdaListesi,A268)=0,"HATA: geçersiz oda no",IF(OR(NOT(ISNUMBER(D268)),NOT(ISNUMBER(E268))),"HATA: tarih geçersiz",IF(E268&lt;=D268,"HATA: çıkış girişten sonra olmalı",IF(OR(NOT(ISNUMBER(C268)),C268&lt;1,C268&gt;MaxKisi,C268&lt;&gt;INT(C268)),"HATA: kişi sayısı geçersiz",IF(OR(NOT(ISNUMBER(G268)),G268&lt;0),"HATA: tutar geçersiz",IF(B268&lt;&gt;TRIM(B268),"HATA: isimde baştaki/sondaki boşluk",IF(COUNTIF(KaynakAralik,H268)=0,"HATA: kaynak listede yok",IF(AND(F268&lt;&gt;"Bekleniyor",F268&lt;&gt;"Geldi",F268&lt;&gt;"İptal"),"HATA: giriş durumu geçersiz",IF(AND(F268&lt;&gt;"İptal",COUNTIFS($A$6:$A$1005,A268,$D$6:$D$1005,"&lt;"&amp;E268,$E$6:$E$1005,"&gt;"&amp;D268,$F$6:$F$1005,"&lt;&gt;İptal")&gt;1),"HATA: oda bu tarihlerde çakışıyor",IF(AND(F268="Bekleniyor",D268&lt;RaporTarihi),"HATA: giriş günü geçti, Geldi veya İptal yapın","OK"))))))))))))</f>
        <v/>
      </c>
      <c r="L268" s="25">
        <f>IF(AND(ISNUMBER(A268),F268&lt;&gt;"İptal",ISNUMBER(D268),ISNUMBER(E268),D268&lt;=RaporTarihi,E268&gt;RaporTarihi),A268,"")</f>
        <v/>
      </c>
    </row>
    <row r="269">
      <c r="A269" s="22" t="n"/>
      <c r="B269" s="22" t="n"/>
      <c r="C269" s="22" t="n"/>
      <c r="D269" s="23" t="n"/>
      <c r="E269" s="23" t="n"/>
      <c r="F269" s="22" t="n"/>
      <c r="G269" s="24" t="n"/>
      <c r="H269" s="22" t="n"/>
      <c r="I269" s="25">
        <f>IF(AND(ISNUMBER(D269),ISNUMBER(E269)),E269-D269,"")</f>
        <v/>
      </c>
      <c r="J269" s="26">
        <f>IF(AND(ISNUMBER(I269),ISNUMBER(G269)),IF(I269&gt;0,G269/I269,""),"")</f>
        <v/>
      </c>
      <c r="K269" s="25">
        <f>IF(COUNTA(A269:H269)=0,"",IF(OR(A269="",B269="",C269="",D269="",E269="",F269="",G269="",H269=""),"HATA: eksik bilgi",IF(COUNTIF(OdaListesi,A269)=0,"HATA: geçersiz oda no",IF(OR(NOT(ISNUMBER(D269)),NOT(ISNUMBER(E269))),"HATA: tarih geçersiz",IF(E269&lt;=D269,"HATA: çıkış girişten sonra olmalı",IF(OR(NOT(ISNUMBER(C269)),C269&lt;1,C269&gt;MaxKisi,C269&lt;&gt;INT(C269)),"HATA: kişi sayısı geçersiz",IF(OR(NOT(ISNUMBER(G269)),G269&lt;0),"HATA: tutar geçersiz",IF(B269&lt;&gt;TRIM(B269),"HATA: isimde baştaki/sondaki boşluk",IF(COUNTIF(KaynakAralik,H269)=0,"HATA: kaynak listede yok",IF(AND(F269&lt;&gt;"Bekleniyor",F269&lt;&gt;"Geldi",F269&lt;&gt;"İptal"),"HATA: giriş durumu geçersiz",IF(AND(F269&lt;&gt;"İptal",COUNTIFS($A$6:$A$1005,A269,$D$6:$D$1005,"&lt;"&amp;E269,$E$6:$E$1005,"&gt;"&amp;D269,$F$6:$F$1005,"&lt;&gt;İptal")&gt;1),"HATA: oda bu tarihlerde çakışıyor",IF(AND(F269="Bekleniyor",D269&lt;RaporTarihi),"HATA: giriş günü geçti, Geldi veya İptal yapın","OK"))))))))))))</f>
        <v/>
      </c>
      <c r="L269" s="25">
        <f>IF(AND(ISNUMBER(A269),F269&lt;&gt;"İptal",ISNUMBER(D269),ISNUMBER(E269),D269&lt;=RaporTarihi,E269&gt;RaporTarihi),A269,"")</f>
        <v/>
      </c>
    </row>
    <row r="270">
      <c r="A270" s="22" t="n"/>
      <c r="B270" s="22" t="n"/>
      <c r="C270" s="22" t="n"/>
      <c r="D270" s="23" t="n"/>
      <c r="E270" s="23" t="n"/>
      <c r="F270" s="22" t="n"/>
      <c r="G270" s="24" t="n"/>
      <c r="H270" s="22" t="n"/>
      <c r="I270" s="25">
        <f>IF(AND(ISNUMBER(D270),ISNUMBER(E270)),E270-D270,"")</f>
        <v/>
      </c>
      <c r="J270" s="26">
        <f>IF(AND(ISNUMBER(I270),ISNUMBER(G270)),IF(I270&gt;0,G270/I270,""),"")</f>
        <v/>
      </c>
      <c r="K270" s="25">
        <f>IF(COUNTA(A270:H270)=0,"",IF(OR(A270="",B270="",C270="",D270="",E270="",F270="",G270="",H270=""),"HATA: eksik bilgi",IF(COUNTIF(OdaListesi,A270)=0,"HATA: geçersiz oda no",IF(OR(NOT(ISNUMBER(D270)),NOT(ISNUMBER(E270))),"HATA: tarih geçersiz",IF(E270&lt;=D270,"HATA: çıkış girişten sonra olmalı",IF(OR(NOT(ISNUMBER(C270)),C270&lt;1,C270&gt;MaxKisi,C270&lt;&gt;INT(C270)),"HATA: kişi sayısı geçersiz",IF(OR(NOT(ISNUMBER(G270)),G270&lt;0),"HATA: tutar geçersiz",IF(B270&lt;&gt;TRIM(B270),"HATA: isimde baştaki/sondaki boşluk",IF(COUNTIF(KaynakAralik,H270)=0,"HATA: kaynak listede yok",IF(AND(F270&lt;&gt;"Bekleniyor",F270&lt;&gt;"Geldi",F270&lt;&gt;"İptal"),"HATA: giriş durumu geçersiz",IF(AND(F270&lt;&gt;"İptal",COUNTIFS($A$6:$A$1005,A270,$D$6:$D$1005,"&lt;"&amp;E270,$E$6:$E$1005,"&gt;"&amp;D270,$F$6:$F$1005,"&lt;&gt;İptal")&gt;1),"HATA: oda bu tarihlerde çakışıyor",IF(AND(F270="Bekleniyor",D270&lt;RaporTarihi),"HATA: giriş günü geçti, Geldi veya İptal yapın","OK"))))))))))))</f>
        <v/>
      </c>
      <c r="L270" s="25">
        <f>IF(AND(ISNUMBER(A270),F270&lt;&gt;"İptal",ISNUMBER(D270),ISNUMBER(E270),D270&lt;=RaporTarihi,E270&gt;RaporTarihi),A270,"")</f>
        <v/>
      </c>
    </row>
    <row r="271">
      <c r="A271" s="22" t="n"/>
      <c r="B271" s="22" t="n"/>
      <c r="C271" s="22" t="n"/>
      <c r="D271" s="23" t="n"/>
      <c r="E271" s="23" t="n"/>
      <c r="F271" s="22" t="n"/>
      <c r="G271" s="24" t="n"/>
      <c r="H271" s="22" t="n"/>
      <c r="I271" s="25">
        <f>IF(AND(ISNUMBER(D271),ISNUMBER(E271)),E271-D271,"")</f>
        <v/>
      </c>
      <c r="J271" s="26">
        <f>IF(AND(ISNUMBER(I271),ISNUMBER(G271)),IF(I271&gt;0,G271/I271,""),"")</f>
        <v/>
      </c>
      <c r="K271" s="25">
        <f>IF(COUNTA(A271:H271)=0,"",IF(OR(A271="",B271="",C271="",D271="",E271="",F271="",G271="",H271=""),"HATA: eksik bilgi",IF(COUNTIF(OdaListesi,A271)=0,"HATA: geçersiz oda no",IF(OR(NOT(ISNUMBER(D271)),NOT(ISNUMBER(E271))),"HATA: tarih geçersiz",IF(E271&lt;=D271,"HATA: çıkış girişten sonra olmalı",IF(OR(NOT(ISNUMBER(C271)),C271&lt;1,C271&gt;MaxKisi,C271&lt;&gt;INT(C271)),"HATA: kişi sayısı geçersiz",IF(OR(NOT(ISNUMBER(G271)),G271&lt;0),"HATA: tutar geçersiz",IF(B271&lt;&gt;TRIM(B271),"HATA: isimde baştaki/sondaki boşluk",IF(COUNTIF(KaynakAralik,H271)=0,"HATA: kaynak listede yok",IF(AND(F271&lt;&gt;"Bekleniyor",F271&lt;&gt;"Geldi",F271&lt;&gt;"İptal"),"HATA: giriş durumu geçersiz",IF(AND(F271&lt;&gt;"İptal",COUNTIFS($A$6:$A$1005,A271,$D$6:$D$1005,"&lt;"&amp;E271,$E$6:$E$1005,"&gt;"&amp;D271,$F$6:$F$1005,"&lt;&gt;İptal")&gt;1),"HATA: oda bu tarihlerde çakışıyor",IF(AND(F271="Bekleniyor",D271&lt;RaporTarihi),"HATA: giriş günü geçti, Geldi veya İptal yapın","OK"))))))))))))</f>
        <v/>
      </c>
      <c r="L271" s="25">
        <f>IF(AND(ISNUMBER(A271),F271&lt;&gt;"İptal",ISNUMBER(D271),ISNUMBER(E271),D271&lt;=RaporTarihi,E271&gt;RaporTarihi),A271,"")</f>
        <v/>
      </c>
    </row>
    <row r="272">
      <c r="A272" s="22" t="n"/>
      <c r="B272" s="22" t="n"/>
      <c r="C272" s="22" t="n"/>
      <c r="D272" s="23" t="n"/>
      <c r="E272" s="23" t="n"/>
      <c r="F272" s="22" t="n"/>
      <c r="G272" s="24" t="n"/>
      <c r="H272" s="22" t="n"/>
      <c r="I272" s="25">
        <f>IF(AND(ISNUMBER(D272),ISNUMBER(E272)),E272-D272,"")</f>
        <v/>
      </c>
      <c r="J272" s="26">
        <f>IF(AND(ISNUMBER(I272),ISNUMBER(G272)),IF(I272&gt;0,G272/I272,""),"")</f>
        <v/>
      </c>
      <c r="K272" s="25">
        <f>IF(COUNTA(A272:H272)=0,"",IF(OR(A272="",B272="",C272="",D272="",E272="",F272="",G272="",H272=""),"HATA: eksik bilgi",IF(COUNTIF(OdaListesi,A272)=0,"HATA: geçersiz oda no",IF(OR(NOT(ISNUMBER(D272)),NOT(ISNUMBER(E272))),"HATA: tarih geçersiz",IF(E272&lt;=D272,"HATA: çıkış girişten sonra olmalı",IF(OR(NOT(ISNUMBER(C272)),C272&lt;1,C272&gt;MaxKisi,C272&lt;&gt;INT(C272)),"HATA: kişi sayısı geçersiz",IF(OR(NOT(ISNUMBER(G272)),G272&lt;0),"HATA: tutar geçersiz",IF(B272&lt;&gt;TRIM(B272),"HATA: isimde baştaki/sondaki boşluk",IF(COUNTIF(KaynakAralik,H272)=0,"HATA: kaynak listede yok",IF(AND(F272&lt;&gt;"Bekleniyor",F272&lt;&gt;"Geldi",F272&lt;&gt;"İptal"),"HATA: giriş durumu geçersiz",IF(AND(F272&lt;&gt;"İptal",COUNTIFS($A$6:$A$1005,A272,$D$6:$D$1005,"&lt;"&amp;E272,$E$6:$E$1005,"&gt;"&amp;D272,$F$6:$F$1005,"&lt;&gt;İptal")&gt;1),"HATA: oda bu tarihlerde çakışıyor",IF(AND(F272="Bekleniyor",D272&lt;RaporTarihi),"HATA: giriş günü geçti, Geldi veya İptal yapın","OK"))))))))))))</f>
        <v/>
      </c>
      <c r="L272" s="25">
        <f>IF(AND(ISNUMBER(A272),F272&lt;&gt;"İptal",ISNUMBER(D272),ISNUMBER(E272),D272&lt;=RaporTarihi,E272&gt;RaporTarihi),A272,"")</f>
        <v/>
      </c>
    </row>
    <row r="273">
      <c r="A273" s="22" t="n"/>
      <c r="B273" s="22" t="n"/>
      <c r="C273" s="22" t="n"/>
      <c r="D273" s="23" t="n"/>
      <c r="E273" s="23" t="n"/>
      <c r="F273" s="22" t="n"/>
      <c r="G273" s="24" t="n"/>
      <c r="H273" s="22" t="n"/>
      <c r="I273" s="25">
        <f>IF(AND(ISNUMBER(D273),ISNUMBER(E273)),E273-D273,"")</f>
        <v/>
      </c>
      <c r="J273" s="26">
        <f>IF(AND(ISNUMBER(I273),ISNUMBER(G273)),IF(I273&gt;0,G273/I273,""),"")</f>
        <v/>
      </c>
      <c r="K273" s="25">
        <f>IF(COUNTA(A273:H273)=0,"",IF(OR(A273="",B273="",C273="",D273="",E273="",F273="",G273="",H273=""),"HATA: eksik bilgi",IF(COUNTIF(OdaListesi,A273)=0,"HATA: geçersiz oda no",IF(OR(NOT(ISNUMBER(D273)),NOT(ISNUMBER(E273))),"HATA: tarih geçersiz",IF(E273&lt;=D273,"HATA: çıkış girişten sonra olmalı",IF(OR(NOT(ISNUMBER(C273)),C273&lt;1,C273&gt;MaxKisi,C273&lt;&gt;INT(C273)),"HATA: kişi sayısı geçersiz",IF(OR(NOT(ISNUMBER(G273)),G273&lt;0),"HATA: tutar geçersiz",IF(B273&lt;&gt;TRIM(B273),"HATA: isimde baştaki/sondaki boşluk",IF(COUNTIF(KaynakAralik,H273)=0,"HATA: kaynak listede yok",IF(AND(F273&lt;&gt;"Bekleniyor",F273&lt;&gt;"Geldi",F273&lt;&gt;"İptal"),"HATA: giriş durumu geçersiz",IF(AND(F273&lt;&gt;"İptal",COUNTIFS($A$6:$A$1005,A273,$D$6:$D$1005,"&lt;"&amp;E273,$E$6:$E$1005,"&gt;"&amp;D273,$F$6:$F$1005,"&lt;&gt;İptal")&gt;1),"HATA: oda bu tarihlerde çakışıyor",IF(AND(F273="Bekleniyor",D273&lt;RaporTarihi),"HATA: giriş günü geçti, Geldi veya İptal yapın","OK"))))))))))))</f>
        <v/>
      </c>
      <c r="L273" s="25">
        <f>IF(AND(ISNUMBER(A273),F273&lt;&gt;"İptal",ISNUMBER(D273),ISNUMBER(E273),D273&lt;=RaporTarihi,E273&gt;RaporTarihi),A273,"")</f>
        <v/>
      </c>
    </row>
    <row r="274">
      <c r="A274" s="22" t="n"/>
      <c r="B274" s="22" t="n"/>
      <c r="C274" s="22" t="n"/>
      <c r="D274" s="23" t="n"/>
      <c r="E274" s="23" t="n"/>
      <c r="F274" s="22" t="n"/>
      <c r="G274" s="24" t="n"/>
      <c r="H274" s="22" t="n"/>
      <c r="I274" s="25">
        <f>IF(AND(ISNUMBER(D274),ISNUMBER(E274)),E274-D274,"")</f>
        <v/>
      </c>
      <c r="J274" s="26">
        <f>IF(AND(ISNUMBER(I274),ISNUMBER(G274)),IF(I274&gt;0,G274/I274,""),"")</f>
        <v/>
      </c>
      <c r="K274" s="25">
        <f>IF(COUNTA(A274:H274)=0,"",IF(OR(A274="",B274="",C274="",D274="",E274="",F274="",G274="",H274=""),"HATA: eksik bilgi",IF(COUNTIF(OdaListesi,A274)=0,"HATA: geçersiz oda no",IF(OR(NOT(ISNUMBER(D274)),NOT(ISNUMBER(E274))),"HATA: tarih geçersiz",IF(E274&lt;=D274,"HATA: çıkış girişten sonra olmalı",IF(OR(NOT(ISNUMBER(C274)),C274&lt;1,C274&gt;MaxKisi,C274&lt;&gt;INT(C274)),"HATA: kişi sayısı geçersiz",IF(OR(NOT(ISNUMBER(G274)),G274&lt;0),"HATA: tutar geçersiz",IF(B274&lt;&gt;TRIM(B274),"HATA: isimde baştaki/sondaki boşluk",IF(COUNTIF(KaynakAralik,H274)=0,"HATA: kaynak listede yok",IF(AND(F274&lt;&gt;"Bekleniyor",F274&lt;&gt;"Geldi",F274&lt;&gt;"İptal"),"HATA: giriş durumu geçersiz",IF(AND(F274&lt;&gt;"İptal",COUNTIFS($A$6:$A$1005,A274,$D$6:$D$1005,"&lt;"&amp;E274,$E$6:$E$1005,"&gt;"&amp;D274,$F$6:$F$1005,"&lt;&gt;İptal")&gt;1),"HATA: oda bu tarihlerde çakışıyor",IF(AND(F274="Bekleniyor",D274&lt;RaporTarihi),"HATA: giriş günü geçti, Geldi veya İptal yapın","OK"))))))))))))</f>
        <v/>
      </c>
      <c r="L274" s="25">
        <f>IF(AND(ISNUMBER(A274),F274&lt;&gt;"İptal",ISNUMBER(D274),ISNUMBER(E274),D274&lt;=RaporTarihi,E274&gt;RaporTarihi),A274,"")</f>
        <v/>
      </c>
    </row>
    <row r="275">
      <c r="A275" s="22" t="n"/>
      <c r="B275" s="22" t="n"/>
      <c r="C275" s="22" t="n"/>
      <c r="D275" s="23" t="n"/>
      <c r="E275" s="23" t="n"/>
      <c r="F275" s="22" t="n"/>
      <c r="G275" s="24" t="n"/>
      <c r="H275" s="22" t="n"/>
      <c r="I275" s="25">
        <f>IF(AND(ISNUMBER(D275),ISNUMBER(E275)),E275-D275,"")</f>
        <v/>
      </c>
      <c r="J275" s="26">
        <f>IF(AND(ISNUMBER(I275),ISNUMBER(G275)),IF(I275&gt;0,G275/I275,""),"")</f>
        <v/>
      </c>
      <c r="K275" s="25">
        <f>IF(COUNTA(A275:H275)=0,"",IF(OR(A275="",B275="",C275="",D275="",E275="",F275="",G275="",H275=""),"HATA: eksik bilgi",IF(COUNTIF(OdaListesi,A275)=0,"HATA: geçersiz oda no",IF(OR(NOT(ISNUMBER(D275)),NOT(ISNUMBER(E275))),"HATA: tarih geçersiz",IF(E275&lt;=D275,"HATA: çıkış girişten sonra olmalı",IF(OR(NOT(ISNUMBER(C275)),C275&lt;1,C275&gt;MaxKisi,C275&lt;&gt;INT(C275)),"HATA: kişi sayısı geçersiz",IF(OR(NOT(ISNUMBER(G275)),G275&lt;0),"HATA: tutar geçersiz",IF(B275&lt;&gt;TRIM(B275),"HATA: isimde baştaki/sondaki boşluk",IF(COUNTIF(KaynakAralik,H275)=0,"HATA: kaynak listede yok",IF(AND(F275&lt;&gt;"Bekleniyor",F275&lt;&gt;"Geldi",F275&lt;&gt;"İptal"),"HATA: giriş durumu geçersiz",IF(AND(F275&lt;&gt;"İptal",COUNTIFS($A$6:$A$1005,A275,$D$6:$D$1005,"&lt;"&amp;E275,$E$6:$E$1005,"&gt;"&amp;D275,$F$6:$F$1005,"&lt;&gt;İptal")&gt;1),"HATA: oda bu tarihlerde çakışıyor",IF(AND(F275="Bekleniyor",D275&lt;RaporTarihi),"HATA: giriş günü geçti, Geldi veya İptal yapın","OK"))))))))))))</f>
        <v/>
      </c>
      <c r="L275" s="25">
        <f>IF(AND(ISNUMBER(A275),F275&lt;&gt;"İptal",ISNUMBER(D275),ISNUMBER(E275),D275&lt;=RaporTarihi,E275&gt;RaporTarihi),A275,"")</f>
        <v/>
      </c>
    </row>
    <row r="276">
      <c r="A276" s="22" t="n"/>
      <c r="B276" s="22" t="n"/>
      <c r="C276" s="22" t="n"/>
      <c r="D276" s="23" t="n"/>
      <c r="E276" s="23" t="n"/>
      <c r="F276" s="22" t="n"/>
      <c r="G276" s="24" t="n"/>
      <c r="H276" s="22" t="n"/>
      <c r="I276" s="25">
        <f>IF(AND(ISNUMBER(D276),ISNUMBER(E276)),E276-D276,"")</f>
        <v/>
      </c>
      <c r="J276" s="26">
        <f>IF(AND(ISNUMBER(I276),ISNUMBER(G276)),IF(I276&gt;0,G276/I276,""),"")</f>
        <v/>
      </c>
      <c r="K276" s="25">
        <f>IF(COUNTA(A276:H276)=0,"",IF(OR(A276="",B276="",C276="",D276="",E276="",F276="",G276="",H276=""),"HATA: eksik bilgi",IF(COUNTIF(OdaListesi,A276)=0,"HATA: geçersiz oda no",IF(OR(NOT(ISNUMBER(D276)),NOT(ISNUMBER(E276))),"HATA: tarih geçersiz",IF(E276&lt;=D276,"HATA: çıkış girişten sonra olmalı",IF(OR(NOT(ISNUMBER(C276)),C276&lt;1,C276&gt;MaxKisi,C276&lt;&gt;INT(C276)),"HATA: kişi sayısı geçersiz",IF(OR(NOT(ISNUMBER(G276)),G276&lt;0),"HATA: tutar geçersiz",IF(B276&lt;&gt;TRIM(B276),"HATA: isimde baştaki/sondaki boşluk",IF(COUNTIF(KaynakAralik,H276)=0,"HATA: kaynak listede yok",IF(AND(F276&lt;&gt;"Bekleniyor",F276&lt;&gt;"Geldi",F276&lt;&gt;"İptal"),"HATA: giriş durumu geçersiz",IF(AND(F276&lt;&gt;"İptal",COUNTIFS($A$6:$A$1005,A276,$D$6:$D$1005,"&lt;"&amp;E276,$E$6:$E$1005,"&gt;"&amp;D276,$F$6:$F$1005,"&lt;&gt;İptal")&gt;1),"HATA: oda bu tarihlerde çakışıyor",IF(AND(F276="Bekleniyor",D276&lt;RaporTarihi),"HATA: giriş günü geçti, Geldi veya İptal yapın","OK"))))))))))))</f>
        <v/>
      </c>
      <c r="L276" s="25">
        <f>IF(AND(ISNUMBER(A276),F276&lt;&gt;"İptal",ISNUMBER(D276),ISNUMBER(E276),D276&lt;=RaporTarihi,E276&gt;RaporTarihi),A276,"")</f>
        <v/>
      </c>
    </row>
    <row r="277">
      <c r="A277" s="22" t="n"/>
      <c r="B277" s="22" t="n"/>
      <c r="C277" s="22" t="n"/>
      <c r="D277" s="23" t="n"/>
      <c r="E277" s="23" t="n"/>
      <c r="F277" s="22" t="n"/>
      <c r="G277" s="24" t="n"/>
      <c r="H277" s="22" t="n"/>
      <c r="I277" s="25">
        <f>IF(AND(ISNUMBER(D277),ISNUMBER(E277)),E277-D277,"")</f>
        <v/>
      </c>
      <c r="J277" s="26">
        <f>IF(AND(ISNUMBER(I277),ISNUMBER(G277)),IF(I277&gt;0,G277/I277,""),"")</f>
        <v/>
      </c>
      <c r="K277" s="25">
        <f>IF(COUNTA(A277:H277)=0,"",IF(OR(A277="",B277="",C277="",D277="",E277="",F277="",G277="",H277=""),"HATA: eksik bilgi",IF(COUNTIF(OdaListesi,A277)=0,"HATA: geçersiz oda no",IF(OR(NOT(ISNUMBER(D277)),NOT(ISNUMBER(E277))),"HATA: tarih geçersiz",IF(E277&lt;=D277,"HATA: çıkış girişten sonra olmalı",IF(OR(NOT(ISNUMBER(C277)),C277&lt;1,C277&gt;MaxKisi,C277&lt;&gt;INT(C277)),"HATA: kişi sayısı geçersiz",IF(OR(NOT(ISNUMBER(G277)),G277&lt;0),"HATA: tutar geçersiz",IF(B277&lt;&gt;TRIM(B277),"HATA: isimde baştaki/sondaki boşluk",IF(COUNTIF(KaynakAralik,H277)=0,"HATA: kaynak listede yok",IF(AND(F277&lt;&gt;"Bekleniyor",F277&lt;&gt;"Geldi",F277&lt;&gt;"İptal"),"HATA: giriş durumu geçersiz",IF(AND(F277&lt;&gt;"İptal",COUNTIFS($A$6:$A$1005,A277,$D$6:$D$1005,"&lt;"&amp;E277,$E$6:$E$1005,"&gt;"&amp;D277,$F$6:$F$1005,"&lt;&gt;İptal")&gt;1),"HATA: oda bu tarihlerde çakışıyor",IF(AND(F277="Bekleniyor",D277&lt;RaporTarihi),"HATA: giriş günü geçti, Geldi veya İptal yapın","OK"))))))))))))</f>
        <v/>
      </c>
      <c r="L277" s="25">
        <f>IF(AND(ISNUMBER(A277),F277&lt;&gt;"İptal",ISNUMBER(D277),ISNUMBER(E277),D277&lt;=RaporTarihi,E277&gt;RaporTarihi),A277,"")</f>
        <v/>
      </c>
    </row>
    <row r="278">
      <c r="A278" s="22" t="n"/>
      <c r="B278" s="22" t="n"/>
      <c r="C278" s="22" t="n"/>
      <c r="D278" s="23" t="n"/>
      <c r="E278" s="23" t="n"/>
      <c r="F278" s="22" t="n"/>
      <c r="G278" s="24" t="n"/>
      <c r="H278" s="22" t="n"/>
      <c r="I278" s="25">
        <f>IF(AND(ISNUMBER(D278),ISNUMBER(E278)),E278-D278,"")</f>
        <v/>
      </c>
      <c r="J278" s="26">
        <f>IF(AND(ISNUMBER(I278),ISNUMBER(G278)),IF(I278&gt;0,G278/I278,""),"")</f>
        <v/>
      </c>
      <c r="K278" s="25">
        <f>IF(COUNTA(A278:H278)=0,"",IF(OR(A278="",B278="",C278="",D278="",E278="",F278="",G278="",H278=""),"HATA: eksik bilgi",IF(COUNTIF(OdaListesi,A278)=0,"HATA: geçersiz oda no",IF(OR(NOT(ISNUMBER(D278)),NOT(ISNUMBER(E278))),"HATA: tarih geçersiz",IF(E278&lt;=D278,"HATA: çıkış girişten sonra olmalı",IF(OR(NOT(ISNUMBER(C278)),C278&lt;1,C278&gt;MaxKisi,C278&lt;&gt;INT(C278)),"HATA: kişi sayısı geçersiz",IF(OR(NOT(ISNUMBER(G278)),G278&lt;0),"HATA: tutar geçersiz",IF(B278&lt;&gt;TRIM(B278),"HATA: isimde baştaki/sondaki boşluk",IF(COUNTIF(KaynakAralik,H278)=0,"HATA: kaynak listede yok",IF(AND(F278&lt;&gt;"Bekleniyor",F278&lt;&gt;"Geldi",F278&lt;&gt;"İptal"),"HATA: giriş durumu geçersiz",IF(AND(F278&lt;&gt;"İptal",COUNTIFS($A$6:$A$1005,A278,$D$6:$D$1005,"&lt;"&amp;E278,$E$6:$E$1005,"&gt;"&amp;D278,$F$6:$F$1005,"&lt;&gt;İptal")&gt;1),"HATA: oda bu tarihlerde çakışıyor",IF(AND(F278="Bekleniyor",D278&lt;RaporTarihi),"HATA: giriş günü geçti, Geldi veya İptal yapın","OK"))))))))))))</f>
        <v/>
      </c>
      <c r="L278" s="25">
        <f>IF(AND(ISNUMBER(A278),F278&lt;&gt;"İptal",ISNUMBER(D278),ISNUMBER(E278),D278&lt;=RaporTarihi,E278&gt;RaporTarihi),A278,"")</f>
        <v/>
      </c>
    </row>
    <row r="279">
      <c r="A279" s="22" t="n"/>
      <c r="B279" s="22" t="n"/>
      <c r="C279" s="22" t="n"/>
      <c r="D279" s="23" t="n"/>
      <c r="E279" s="23" t="n"/>
      <c r="F279" s="22" t="n"/>
      <c r="G279" s="24" t="n"/>
      <c r="H279" s="22" t="n"/>
      <c r="I279" s="25">
        <f>IF(AND(ISNUMBER(D279),ISNUMBER(E279)),E279-D279,"")</f>
        <v/>
      </c>
      <c r="J279" s="26">
        <f>IF(AND(ISNUMBER(I279),ISNUMBER(G279)),IF(I279&gt;0,G279/I279,""),"")</f>
        <v/>
      </c>
      <c r="K279" s="25">
        <f>IF(COUNTA(A279:H279)=0,"",IF(OR(A279="",B279="",C279="",D279="",E279="",F279="",G279="",H279=""),"HATA: eksik bilgi",IF(COUNTIF(OdaListesi,A279)=0,"HATA: geçersiz oda no",IF(OR(NOT(ISNUMBER(D279)),NOT(ISNUMBER(E279))),"HATA: tarih geçersiz",IF(E279&lt;=D279,"HATA: çıkış girişten sonra olmalı",IF(OR(NOT(ISNUMBER(C279)),C279&lt;1,C279&gt;MaxKisi,C279&lt;&gt;INT(C279)),"HATA: kişi sayısı geçersiz",IF(OR(NOT(ISNUMBER(G279)),G279&lt;0),"HATA: tutar geçersiz",IF(B279&lt;&gt;TRIM(B279),"HATA: isimde baştaki/sondaki boşluk",IF(COUNTIF(KaynakAralik,H279)=0,"HATA: kaynak listede yok",IF(AND(F279&lt;&gt;"Bekleniyor",F279&lt;&gt;"Geldi",F279&lt;&gt;"İptal"),"HATA: giriş durumu geçersiz",IF(AND(F279&lt;&gt;"İptal",COUNTIFS($A$6:$A$1005,A279,$D$6:$D$1005,"&lt;"&amp;E279,$E$6:$E$1005,"&gt;"&amp;D279,$F$6:$F$1005,"&lt;&gt;İptal")&gt;1),"HATA: oda bu tarihlerde çakışıyor",IF(AND(F279="Bekleniyor",D279&lt;RaporTarihi),"HATA: giriş günü geçti, Geldi veya İptal yapın","OK"))))))))))))</f>
        <v/>
      </c>
      <c r="L279" s="25">
        <f>IF(AND(ISNUMBER(A279),F279&lt;&gt;"İptal",ISNUMBER(D279),ISNUMBER(E279),D279&lt;=RaporTarihi,E279&gt;RaporTarihi),A279,"")</f>
        <v/>
      </c>
    </row>
    <row r="280">
      <c r="A280" s="22" t="n"/>
      <c r="B280" s="22" t="n"/>
      <c r="C280" s="22" t="n"/>
      <c r="D280" s="23" t="n"/>
      <c r="E280" s="23" t="n"/>
      <c r="F280" s="22" t="n"/>
      <c r="G280" s="24" t="n"/>
      <c r="H280" s="22" t="n"/>
      <c r="I280" s="25">
        <f>IF(AND(ISNUMBER(D280),ISNUMBER(E280)),E280-D280,"")</f>
        <v/>
      </c>
      <c r="J280" s="26">
        <f>IF(AND(ISNUMBER(I280),ISNUMBER(G280)),IF(I280&gt;0,G280/I280,""),"")</f>
        <v/>
      </c>
      <c r="K280" s="25">
        <f>IF(COUNTA(A280:H280)=0,"",IF(OR(A280="",B280="",C280="",D280="",E280="",F280="",G280="",H280=""),"HATA: eksik bilgi",IF(COUNTIF(OdaListesi,A280)=0,"HATA: geçersiz oda no",IF(OR(NOT(ISNUMBER(D280)),NOT(ISNUMBER(E280))),"HATA: tarih geçersiz",IF(E280&lt;=D280,"HATA: çıkış girişten sonra olmalı",IF(OR(NOT(ISNUMBER(C280)),C280&lt;1,C280&gt;MaxKisi,C280&lt;&gt;INT(C280)),"HATA: kişi sayısı geçersiz",IF(OR(NOT(ISNUMBER(G280)),G280&lt;0),"HATA: tutar geçersiz",IF(B280&lt;&gt;TRIM(B280),"HATA: isimde baştaki/sondaki boşluk",IF(COUNTIF(KaynakAralik,H280)=0,"HATA: kaynak listede yok",IF(AND(F280&lt;&gt;"Bekleniyor",F280&lt;&gt;"Geldi",F280&lt;&gt;"İptal"),"HATA: giriş durumu geçersiz",IF(AND(F280&lt;&gt;"İptal",COUNTIFS($A$6:$A$1005,A280,$D$6:$D$1005,"&lt;"&amp;E280,$E$6:$E$1005,"&gt;"&amp;D280,$F$6:$F$1005,"&lt;&gt;İptal")&gt;1),"HATA: oda bu tarihlerde çakışıyor",IF(AND(F280="Bekleniyor",D280&lt;RaporTarihi),"HATA: giriş günü geçti, Geldi veya İptal yapın","OK"))))))))))))</f>
        <v/>
      </c>
      <c r="L280" s="25">
        <f>IF(AND(ISNUMBER(A280),F280&lt;&gt;"İptal",ISNUMBER(D280),ISNUMBER(E280),D280&lt;=RaporTarihi,E280&gt;RaporTarihi),A280,"")</f>
        <v/>
      </c>
    </row>
    <row r="281">
      <c r="A281" s="22" t="n"/>
      <c r="B281" s="22" t="n"/>
      <c r="C281" s="22" t="n"/>
      <c r="D281" s="23" t="n"/>
      <c r="E281" s="23" t="n"/>
      <c r="F281" s="22" t="n"/>
      <c r="G281" s="24" t="n"/>
      <c r="H281" s="22" t="n"/>
      <c r="I281" s="25">
        <f>IF(AND(ISNUMBER(D281),ISNUMBER(E281)),E281-D281,"")</f>
        <v/>
      </c>
      <c r="J281" s="26">
        <f>IF(AND(ISNUMBER(I281),ISNUMBER(G281)),IF(I281&gt;0,G281/I281,""),"")</f>
        <v/>
      </c>
      <c r="K281" s="25">
        <f>IF(COUNTA(A281:H281)=0,"",IF(OR(A281="",B281="",C281="",D281="",E281="",F281="",G281="",H281=""),"HATA: eksik bilgi",IF(COUNTIF(OdaListesi,A281)=0,"HATA: geçersiz oda no",IF(OR(NOT(ISNUMBER(D281)),NOT(ISNUMBER(E281))),"HATA: tarih geçersiz",IF(E281&lt;=D281,"HATA: çıkış girişten sonra olmalı",IF(OR(NOT(ISNUMBER(C281)),C281&lt;1,C281&gt;MaxKisi,C281&lt;&gt;INT(C281)),"HATA: kişi sayısı geçersiz",IF(OR(NOT(ISNUMBER(G281)),G281&lt;0),"HATA: tutar geçersiz",IF(B281&lt;&gt;TRIM(B281),"HATA: isimde baştaki/sondaki boşluk",IF(COUNTIF(KaynakAralik,H281)=0,"HATA: kaynak listede yok",IF(AND(F281&lt;&gt;"Bekleniyor",F281&lt;&gt;"Geldi",F281&lt;&gt;"İptal"),"HATA: giriş durumu geçersiz",IF(AND(F281&lt;&gt;"İptal",COUNTIFS($A$6:$A$1005,A281,$D$6:$D$1005,"&lt;"&amp;E281,$E$6:$E$1005,"&gt;"&amp;D281,$F$6:$F$1005,"&lt;&gt;İptal")&gt;1),"HATA: oda bu tarihlerde çakışıyor",IF(AND(F281="Bekleniyor",D281&lt;RaporTarihi),"HATA: giriş günü geçti, Geldi veya İptal yapın","OK"))))))))))))</f>
        <v/>
      </c>
      <c r="L281" s="25">
        <f>IF(AND(ISNUMBER(A281),F281&lt;&gt;"İptal",ISNUMBER(D281),ISNUMBER(E281),D281&lt;=RaporTarihi,E281&gt;RaporTarihi),A281,"")</f>
        <v/>
      </c>
    </row>
    <row r="282">
      <c r="A282" s="22" t="n"/>
      <c r="B282" s="22" t="n"/>
      <c r="C282" s="22" t="n"/>
      <c r="D282" s="23" t="n"/>
      <c r="E282" s="23" t="n"/>
      <c r="F282" s="22" t="n"/>
      <c r="G282" s="24" t="n"/>
      <c r="H282" s="22" t="n"/>
      <c r="I282" s="25">
        <f>IF(AND(ISNUMBER(D282),ISNUMBER(E282)),E282-D282,"")</f>
        <v/>
      </c>
      <c r="J282" s="26">
        <f>IF(AND(ISNUMBER(I282),ISNUMBER(G282)),IF(I282&gt;0,G282/I282,""),"")</f>
        <v/>
      </c>
      <c r="K282" s="25">
        <f>IF(COUNTA(A282:H282)=0,"",IF(OR(A282="",B282="",C282="",D282="",E282="",F282="",G282="",H282=""),"HATA: eksik bilgi",IF(COUNTIF(OdaListesi,A282)=0,"HATA: geçersiz oda no",IF(OR(NOT(ISNUMBER(D282)),NOT(ISNUMBER(E282))),"HATA: tarih geçersiz",IF(E282&lt;=D282,"HATA: çıkış girişten sonra olmalı",IF(OR(NOT(ISNUMBER(C282)),C282&lt;1,C282&gt;MaxKisi,C282&lt;&gt;INT(C282)),"HATA: kişi sayısı geçersiz",IF(OR(NOT(ISNUMBER(G282)),G282&lt;0),"HATA: tutar geçersiz",IF(B282&lt;&gt;TRIM(B282),"HATA: isimde baştaki/sondaki boşluk",IF(COUNTIF(KaynakAralik,H282)=0,"HATA: kaynak listede yok",IF(AND(F282&lt;&gt;"Bekleniyor",F282&lt;&gt;"Geldi",F282&lt;&gt;"İptal"),"HATA: giriş durumu geçersiz",IF(AND(F282&lt;&gt;"İptal",COUNTIFS($A$6:$A$1005,A282,$D$6:$D$1005,"&lt;"&amp;E282,$E$6:$E$1005,"&gt;"&amp;D282,$F$6:$F$1005,"&lt;&gt;İptal")&gt;1),"HATA: oda bu tarihlerde çakışıyor",IF(AND(F282="Bekleniyor",D282&lt;RaporTarihi),"HATA: giriş günü geçti, Geldi veya İptal yapın","OK"))))))))))))</f>
        <v/>
      </c>
      <c r="L282" s="25">
        <f>IF(AND(ISNUMBER(A282),F282&lt;&gt;"İptal",ISNUMBER(D282),ISNUMBER(E282),D282&lt;=RaporTarihi,E282&gt;RaporTarihi),A282,"")</f>
        <v/>
      </c>
    </row>
    <row r="283">
      <c r="A283" s="22" t="n"/>
      <c r="B283" s="22" t="n"/>
      <c r="C283" s="22" t="n"/>
      <c r="D283" s="23" t="n"/>
      <c r="E283" s="23" t="n"/>
      <c r="F283" s="22" t="n"/>
      <c r="G283" s="24" t="n"/>
      <c r="H283" s="22" t="n"/>
      <c r="I283" s="25">
        <f>IF(AND(ISNUMBER(D283),ISNUMBER(E283)),E283-D283,"")</f>
        <v/>
      </c>
      <c r="J283" s="26">
        <f>IF(AND(ISNUMBER(I283),ISNUMBER(G283)),IF(I283&gt;0,G283/I283,""),"")</f>
        <v/>
      </c>
      <c r="K283" s="25">
        <f>IF(COUNTA(A283:H283)=0,"",IF(OR(A283="",B283="",C283="",D283="",E283="",F283="",G283="",H283=""),"HATA: eksik bilgi",IF(COUNTIF(OdaListesi,A283)=0,"HATA: geçersiz oda no",IF(OR(NOT(ISNUMBER(D283)),NOT(ISNUMBER(E283))),"HATA: tarih geçersiz",IF(E283&lt;=D283,"HATA: çıkış girişten sonra olmalı",IF(OR(NOT(ISNUMBER(C283)),C283&lt;1,C283&gt;MaxKisi,C283&lt;&gt;INT(C283)),"HATA: kişi sayısı geçersiz",IF(OR(NOT(ISNUMBER(G283)),G283&lt;0),"HATA: tutar geçersiz",IF(B283&lt;&gt;TRIM(B283),"HATA: isimde baştaki/sondaki boşluk",IF(COUNTIF(KaynakAralik,H283)=0,"HATA: kaynak listede yok",IF(AND(F283&lt;&gt;"Bekleniyor",F283&lt;&gt;"Geldi",F283&lt;&gt;"İptal"),"HATA: giriş durumu geçersiz",IF(AND(F283&lt;&gt;"İptal",COUNTIFS($A$6:$A$1005,A283,$D$6:$D$1005,"&lt;"&amp;E283,$E$6:$E$1005,"&gt;"&amp;D283,$F$6:$F$1005,"&lt;&gt;İptal")&gt;1),"HATA: oda bu tarihlerde çakışıyor",IF(AND(F283="Bekleniyor",D283&lt;RaporTarihi),"HATA: giriş günü geçti, Geldi veya İptal yapın","OK"))))))))))))</f>
        <v/>
      </c>
      <c r="L283" s="25">
        <f>IF(AND(ISNUMBER(A283),F283&lt;&gt;"İptal",ISNUMBER(D283),ISNUMBER(E283),D283&lt;=RaporTarihi,E283&gt;RaporTarihi),A283,"")</f>
        <v/>
      </c>
    </row>
    <row r="284">
      <c r="A284" s="22" t="n"/>
      <c r="B284" s="22" t="n"/>
      <c r="C284" s="22" t="n"/>
      <c r="D284" s="23" t="n"/>
      <c r="E284" s="23" t="n"/>
      <c r="F284" s="22" t="n"/>
      <c r="G284" s="24" t="n"/>
      <c r="H284" s="22" t="n"/>
      <c r="I284" s="25">
        <f>IF(AND(ISNUMBER(D284),ISNUMBER(E284)),E284-D284,"")</f>
        <v/>
      </c>
      <c r="J284" s="26">
        <f>IF(AND(ISNUMBER(I284),ISNUMBER(G284)),IF(I284&gt;0,G284/I284,""),"")</f>
        <v/>
      </c>
      <c r="K284" s="25">
        <f>IF(COUNTA(A284:H284)=0,"",IF(OR(A284="",B284="",C284="",D284="",E284="",F284="",G284="",H284=""),"HATA: eksik bilgi",IF(COUNTIF(OdaListesi,A284)=0,"HATA: geçersiz oda no",IF(OR(NOT(ISNUMBER(D284)),NOT(ISNUMBER(E284))),"HATA: tarih geçersiz",IF(E284&lt;=D284,"HATA: çıkış girişten sonra olmalı",IF(OR(NOT(ISNUMBER(C284)),C284&lt;1,C284&gt;MaxKisi,C284&lt;&gt;INT(C284)),"HATA: kişi sayısı geçersiz",IF(OR(NOT(ISNUMBER(G284)),G284&lt;0),"HATA: tutar geçersiz",IF(B284&lt;&gt;TRIM(B284),"HATA: isimde baştaki/sondaki boşluk",IF(COUNTIF(KaynakAralik,H284)=0,"HATA: kaynak listede yok",IF(AND(F284&lt;&gt;"Bekleniyor",F284&lt;&gt;"Geldi",F284&lt;&gt;"İptal"),"HATA: giriş durumu geçersiz",IF(AND(F284&lt;&gt;"İptal",COUNTIFS($A$6:$A$1005,A284,$D$6:$D$1005,"&lt;"&amp;E284,$E$6:$E$1005,"&gt;"&amp;D284,$F$6:$F$1005,"&lt;&gt;İptal")&gt;1),"HATA: oda bu tarihlerde çakışıyor",IF(AND(F284="Bekleniyor",D284&lt;RaporTarihi),"HATA: giriş günü geçti, Geldi veya İptal yapın","OK"))))))))))))</f>
        <v/>
      </c>
      <c r="L284" s="25">
        <f>IF(AND(ISNUMBER(A284),F284&lt;&gt;"İptal",ISNUMBER(D284),ISNUMBER(E284),D284&lt;=RaporTarihi,E284&gt;RaporTarihi),A284,"")</f>
        <v/>
      </c>
    </row>
    <row r="285">
      <c r="A285" s="22" t="n"/>
      <c r="B285" s="22" t="n"/>
      <c r="C285" s="22" t="n"/>
      <c r="D285" s="23" t="n"/>
      <c r="E285" s="23" t="n"/>
      <c r="F285" s="22" t="n"/>
      <c r="G285" s="24" t="n"/>
      <c r="H285" s="22" t="n"/>
      <c r="I285" s="25">
        <f>IF(AND(ISNUMBER(D285),ISNUMBER(E285)),E285-D285,"")</f>
        <v/>
      </c>
      <c r="J285" s="26">
        <f>IF(AND(ISNUMBER(I285),ISNUMBER(G285)),IF(I285&gt;0,G285/I285,""),"")</f>
        <v/>
      </c>
      <c r="K285" s="25">
        <f>IF(COUNTA(A285:H285)=0,"",IF(OR(A285="",B285="",C285="",D285="",E285="",F285="",G285="",H285=""),"HATA: eksik bilgi",IF(COUNTIF(OdaListesi,A285)=0,"HATA: geçersiz oda no",IF(OR(NOT(ISNUMBER(D285)),NOT(ISNUMBER(E285))),"HATA: tarih geçersiz",IF(E285&lt;=D285,"HATA: çıkış girişten sonra olmalı",IF(OR(NOT(ISNUMBER(C285)),C285&lt;1,C285&gt;MaxKisi,C285&lt;&gt;INT(C285)),"HATA: kişi sayısı geçersiz",IF(OR(NOT(ISNUMBER(G285)),G285&lt;0),"HATA: tutar geçersiz",IF(B285&lt;&gt;TRIM(B285),"HATA: isimde baştaki/sondaki boşluk",IF(COUNTIF(KaynakAralik,H285)=0,"HATA: kaynak listede yok",IF(AND(F285&lt;&gt;"Bekleniyor",F285&lt;&gt;"Geldi",F285&lt;&gt;"İptal"),"HATA: giriş durumu geçersiz",IF(AND(F285&lt;&gt;"İptal",COUNTIFS($A$6:$A$1005,A285,$D$6:$D$1005,"&lt;"&amp;E285,$E$6:$E$1005,"&gt;"&amp;D285,$F$6:$F$1005,"&lt;&gt;İptal")&gt;1),"HATA: oda bu tarihlerde çakışıyor",IF(AND(F285="Bekleniyor",D285&lt;RaporTarihi),"HATA: giriş günü geçti, Geldi veya İptal yapın","OK"))))))))))))</f>
        <v/>
      </c>
      <c r="L285" s="25">
        <f>IF(AND(ISNUMBER(A285),F285&lt;&gt;"İptal",ISNUMBER(D285),ISNUMBER(E285),D285&lt;=RaporTarihi,E285&gt;RaporTarihi),A285,"")</f>
        <v/>
      </c>
    </row>
    <row r="286">
      <c r="A286" s="22" t="n"/>
      <c r="B286" s="22" t="n"/>
      <c r="C286" s="22" t="n"/>
      <c r="D286" s="23" t="n"/>
      <c r="E286" s="23" t="n"/>
      <c r="F286" s="22" t="n"/>
      <c r="G286" s="24" t="n"/>
      <c r="H286" s="22" t="n"/>
      <c r="I286" s="25">
        <f>IF(AND(ISNUMBER(D286),ISNUMBER(E286)),E286-D286,"")</f>
        <v/>
      </c>
      <c r="J286" s="26">
        <f>IF(AND(ISNUMBER(I286),ISNUMBER(G286)),IF(I286&gt;0,G286/I286,""),"")</f>
        <v/>
      </c>
      <c r="K286" s="25">
        <f>IF(COUNTA(A286:H286)=0,"",IF(OR(A286="",B286="",C286="",D286="",E286="",F286="",G286="",H286=""),"HATA: eksik bilgi",IF(COUNTIF(OdaListesi,A286)=0,"HATA: geçersiz oda no",IF(OR(NOT(ISNUMBER(D286)),NOT(ISNUMBER(E286))),"HATA: tarih geçersiz",IF(E286&lt;=D286,"HATA: çıkış girişten sonra olmalı",IF(OR(NOT(ISNUMBER(C286)),C286&lt;1,C286&gt;MaxKisi,C286&lt;&gt;INT(C286)),"HATA: kişi sayısı geçersiz",IF(OR(NOT(ISNUMBER(G286)),G286&lt;0),"HATA: tutar geçersiz",IF(B286&lt;&gt;TRIM(B286),"HATA: isimde baştaki/sondaki boşluk",IF(COUNTIF(KaynakAralik,H286)=0,"HATA: kaynak listede yok",IF(AND(F286&lt;&gt;"Bekleniyor",F286&lt;&gt;"Geldi",F286&lt;&gt;"İptal"),"HATA: giriş durumu geçersiz",IF(AND(F286&lt;&gt;"İptal",COUNTIFS($A$6:$A$1005,A286,$D$6:$D$1005,"&lt;"&amp;E286,$E$6:$E$1005,"&gt;"&amp;D286,$F$6:$F$1005,"&lt;&gt;İptal")&gt;1),"HATA: oda bu tarihlerde çakışıyor",IF(AND(F286="Bekleniyor",D286&lt;RaporTarihi),"HATA: giriş günü geçti, Geldi veya İptal yapın","OK"))))))))))))</f>
        <v/>
      </c>
      <c r="L286" s="25">
        <f>IF(AND(ISNUMBER(A286),F286&lt;&gt;"İptal",ISNUMBER(D286),ISNUMBER(E286),D286&lt;=RaporTarihi,E286&gt;RaporTarihi),A286,"")</f>
        <v/>
      </c>
    </row>
    <row r="287">
      <c r="A287" s="22" t="n"/>
      <c r="B287" s="22" t="n"/>
      <c r="C287" s="22" t="n"/>
      <c r="D287" s="23" t="n"/>
      <c r="E287" s="23" t="n"/>
      <c r="F287" s="22" t="n"/>
      <c r="G287" s="24" t="n"/>
      <c r="H287" s="22" t="n"/>
      <c r="I287" s="25">
        <f>IF(AND(ISNUMBER(D287),ISNUMBER(E287)),E287-D287,"")</f>
        <v/>
      </c>
      <c r="J287" s="26">
        <f>IF(AND(ISNUMBER(I287),ISNUMBER(G287)),IF(I287&gt;0,G287/I287,""),"")</f>
        <v/>
      </c>
      <c r="K287" s="25">
        <f>IF(COUNTA(A287:H287)=0,"",IF(OR(A287="",B287="",C287="",D287="",E287="",F287="",G287="",H287=""),"HATA: eksik bilgi",IF(COUNTIF(OdaListesi,A287)=0,"HATA: geçersiz oda no",IF(OR(NOT(ISNUMBER(D287)),NOT(ISNUMBER(E287))),"HATA: tarih geçersiz",IF(E287&lt;=D287,"HATA: çıkış girişten sonra olmalı",IF(OR(NOT(ISNUMBER(C287)),C287&lt;1,C287&gt;MaxKisi,C287&lt;&gt;INT(C287)),"HATA: kişi sayısı geçersiz",IF(OR(NOT(ISNUMBER(G287)),G287&lt;0),"HATA: tutar geçersiz",IF(B287&lt;&gt;TRIM(B287),"HATA: isimde baştaki/sondaki boşluk",IF(COUNTIF(KaynakAralik,H287)=0,"HATA: kaynak listede yok",IF(AND(F287&lt;&gt;"Bekleniyor",F287&lt;&gt;"Geldi",F287&lt;&gt;"İptal"),"HATA: giriş durumu geçersiz",IF(AND(F287&lt;&gt;"İptal",COUNTIFS($A$6:$A$1005,A287,$D$6:$D$1005,"&lt;"&amp;E287,$E$6:$E$1005,"&gt;"&amp;D287,$F$6:$F$1005,"&lt;&gt;İptal")&gt;1),"HATA: oda bu tarihlerde çakışıyor",IF(AND(F287="Bekleniyor",D287&lt;RaporTarihi),"HATA: giriş günü geçti, Geldi veya İptal yapın","OK"))))))))))))</f>
        <v/>
      </c>
      <c r="L287" s="25">
        <f>IF(AND(ISNUMBER(A287),F287&lt;&gt;"İptal",ISNUMBER(D287),ISNUMBER(E287),D287&lt;=RaporTarihi,E287&gt;RaporTarihi),A287,"")</f>
        <v/>
      </c>
    </row>
    <row r="288">
      <c r="A288" s="22" t="n"/>
      <c r="B288" s="22" t="n"/>
      <c r="C288" s="22" t="n"/>
      <c r="D288" s="23" t="n"/>
      <c r="E288" s="23" t="n"/>
      <c r="F288" s="22" t="n"/>
      <c r="G288" s="24" t="n"/>
      <c r="H288" s="22" t="n"/>
      <c r="I288" s="25">
        <f>IF(AND(ISNUMBER(D288),ISNUMBER(E288)),E288-D288,"")</f>
        <v/>
      </c>
      <c r="J288" s="26">
        <f>IF(AND(ISNUMBER(I288),ISNUMBER(G288)),IF(I288&gt;0,G288/I288,""),"")</f>
        <v/>
      </c>
      <c r="K288" s="25">
        <f>IF(COUNTA(A288:H288)=0,"",IF(OR(A288="",B288="",C288="",D288="",E288="",F288="",G288="",H288=""),"HATA: eksik bilgi",IF(COUNTIF(OdaListesi,A288)=0,"HATA: geçersiz oda no",IF(OR(NOT(ISNUMBER(D288)),NOT(ISNUMBER(E288))),"HATA: tarih geçersiz",IF(E288&lt;=D288,"HATA: çıkış girişten sonra olmalı",IF(OR(NOT(ISNUMBER(C288)),C288&lt;1,C288&gt;MaxKisi,C288&lt;&gt;INT(C288)),"HATA: kişi sayısı geçersiz",IF(OR(NOT(ISNUMBER(G288)),G288&lt;0),"HATA: tutar geçersiz",IF(B288&lt;&gt;TRIM(B288),"HATA: isimde baştaki/sondaki boşluk",IF(COUNTIF(KaynakAralik,H288)=0,"HATA: kaynak listede yok",IF(AND(F288&lt;&gt;"Bekleniyor",F288&lt;&gt;"Geldi",F288&lt;&gt;"İptal"),"HATA: giriş durumu geçersiz",IF(AND(F288&lt;&gt;"İptal",COUNTIFS($A$6:$A$1005,A288,$D$6:$D$1005,"&lt;"&amp;E288,$E$6:$E$1005,"&gt;"&amp;D288,$F$6:$F$1005,"&lt;&gt;İptal")&gt;1),"HATA: oda bu tarihlerde çakışıyor",IF(AND(F288="Bekleniyor",D288&lt;RaporTarihi),"HATA: giriş günü geçti, Geldi veya İptal yapın","OK"))))))))))))</f>
        <v/>
      </c>
      <c r="L288" s="25">
        <f>IF(AND(ISNUMBER(A288),F288&lt;&gt;"İptal",ISNUMBER(D288),ISNUMBER(E288),D288&lt;=RaporTarihi,E288&gt;RaporTarihi),A288,"")</f>
        <v/>
      </c>
    </row>
    <row r="289">
      <c r="A289" s="22" t="n"/>
      <c r="B289" s="22" t="n"/>
      <c r="C289" s="22" t="n"/>
      <c r="D289" s="23" t="n"/>
      <c r="E289" s="23" t="n"/>
      <c r="F289" s="22" t="n"/>
      <c r="G289" s="24" t="n"/>
      <c r="H289" s="22" t="n"/>
      <c r="I289" s="25">
        <f>IF(AND(ISNUMBER(D289),ISNUMBER(E289)),E289-D289,"")</f>
        <v/>
      </c>
      <c r="J289" s="26">
        <f>IF(AND(ISNUMBER(I289),ISNUMBER(G289)),IF(I289&gt;0,G289/I289,""),"")</f>
        <v/>
      </c>
      <c r="K289" s="25">
        <f>IF(COUNTA(A289:H289)=0,"",IF(OR(A289="",B289="",C289="",D289="",E289="",F289="",G289="",H289=""),"HATA: eksik bilgi",IF(COUNTIF(OdaListesi,A289)=0,"HATA: geçersiz oda no",IF(OR(NOT(ISNUMBER(D289)),NOT(ISNUMBER(E289))),"HATA: tarih geçersiz",IF(E289&lt;=D289,"HATA: çıkış girişten sonra olmalı",IF(OR(NOT(ISNUMBER(C289)),C289&lt;1,C289&gt;MaxKisi,C289&lt;&gt;INT(C289)),"HATA: kişi sayısı geçersiz",IF(OR(NOT(ISNUMBER(G289)),G289&lt;0),"HATA: tutar geçersiz",IF(B289&lt;&gt;TRIM(B289),"HATA: isimde baştaki/sondaki boşluk",IF(COUNTIF(KaynakAralik,H289)=0,"HATA: kaynak listede yok",IF(AND(F289&lt;&gt;"Bekleniyor",F289&lt;&gt;"Geldi",F289&lt;&gt;"İptal"),"HATA: giriş durumu geçersiz",IF(AND(F289&lt;&gt;"İptal",COUNTIFS($A$6:$A$1005,A289,$D$6:$D$1005,"&lt;"&amp;E289,$E$6:$E$1005,"&gt;"&amp;D289,$F$6:$F$1005,"&lt;&gt;İptal")&gt;1),"HATA: oda bu tarihlerde çakışıyor",IF(AND(F289="Bekleniyor",D289&lt;RaporTarihi),"HATA: giriş günü geçti, Geldi veya İptal yapın","OK"))))))))))))</f>
        <v/>
      </c>
      <c r="L289" s="25">
        <f>IF(AND(ISNUMBER(A289),F289&lt;&gt;"İptal",ISNUMBER(D289),ISNUMBER(E289),D289&lt;=RaporTarihi,E289&gt;RaporTarihi),A289,"")</f>
        <v/>
      </c>
    </row>
    <row r="290">
      <c r="A290" s="22" t="n"/>
      <c r="B290" s="22" t="n"/>
      <c r="C290" s="22" t="n"/>
      <c r="D290" s="23" t="n"/>
      <c r="E290" s="23" t="n"/>
      <c r="F290" s="22" t="n"/>
      <c r="G290" s="24" t="n"/>
      <c r="H290" s="22" t="n"/>
      <c r="I290" s="25">
        <f>IF(AND(ISNUMBER(D290),ISNUMBER(E290)),E290-D290,"")</f>
        <v/>
      </c>
      <c r="J290" s="26">
        <f>IF(AND(ISNUMBER(I290),ISNUMBER(G290)),IF(I290&gt;0,G290/I290,""),"")</f>
        <v/>
      </c>
      <c r="K290" s="25">
        <f>IF(COUNTA(A290:H290)=0,"",IF(OR(A290="",B290="",C290="",D290="",E290="",F290="",G290="",H290=""),"HATA: eksik bilgi",IF(COUNTIF(OdaListesi,A290)=0,"HATA: geçersiz oda no",IF(OR(NOT(ISNUMBER(D290)),NOT(ISNUMBER(E290))),"HATA: tarih geçersiz",IF(E290&lt;=D290,"HATA: çıkış girişten sonra olmalı",IF(OR(NOT(ISNUMBER(C290)),C290&lt;1,C290&gt;MaxKisi,C290&lt;&gt;INT(C290)),"HATA: kişi sayısı geçersiz",IF(OR(NOT(ISNUMBER(G290)),G290&lt;0),"HATA: tutar geçersiz",IF(B290&lt;&gt;TRIM(B290),"HATA: isimde baştaki/sondaki boşluk",IF(COUNTIF(KaynakAralik,H290)=0,"HATA: kaynak listede yok",IF(AND(F290&lt;&gt;"Bekleniyor",F290&lt;&gt;"Geldi",F290&lt;&gt;"İptal"),"HATA: giriş durumu geçersiz",IF(AND(F290&lt;&gt;"İptal",COUNTIFS($A$6:$A$1005,A290,$D$6:$D$1005,"&lt;"&amp;E290,$E$6:$E$1005,"&gt;"&amp;D290,$F$6:$F$1005,"&lt;&gt;İptal")&gt;1),"HATA: oda bu tarihlerde çakışıyor",IF(AND(F290="Bekleniyor",D290&lt;RaporTarihi),"HATA: giriş günü geçti, Geldi veya İptal yapın","OK"))))))))))))</f>
        <v/>
      </c>
      <c r="L290" s="25">
        <f>IF(AND(ISNUMBER(A290),F290&lt;&gt;"İptal",ISNUMBER(D290),ISNUMBER(E290),D290&lt;=RaporTarihi,E290&gt;RaporTarihi),A290,"")</f>
        <v/>
      </c>
    </row>
    <row r="291">
      <c r="A291" s="22" t="n"/>
      <c r="B291" s="22" t="n"/>
      <c r="C291" s="22" t="n"/>
      <c r="D291" s="23" t="n"/>
      <c r="E291" s="23" t="n"/>
      <c r="F291" s="22" t="n"/>
      <c r="G291" s="24" t="n"/>
      <c r="H291" s="22" t="n"/>
      <c r="I291" s="25">
        <f>IF(AND(ISNUMBER(D291),ISNUMBER(E291)),E291-D291,"")</f>
        <v/>
      </c>
      <c r="J291" s="26">
        <f>IF(AND(ISNUMBER(I291),ISNUMBER(G291)),IF(I291&gt;0,G291/I291,""),"")</f>
        <v/>
      </c>
      <c r="K291" s="25">
        <f>IF(COUNTA(A291:H291)=0,"",IF(OR(A291="",B291="",C291="",D291="",E291="",F291="",G291="",H291=""),"HATA: eksik bilgi",IF(COUNTIF(OdaListesi,A291)=0,"HATA: geçersiz oda no",IF(OR(NOT(ISNUMBER(D291)),NOT(ISNUMBER(E291))),"HATA: tarih geçersiz",IF(E291&lt;=D291,"HATA: çıkış girişten sonra olmalı",IF(OR(NOT(ISNUMBER(C291)),C291&lt;1,C291&gt;MaxKisi,C291&lt;&gt;INT(C291)),"HATA: kişi sayısı geçersiz",IF(OR(NOT(ISNUMBER(G291)),G291&lt;0),"HATA: tutar geçersiz",IF(B291&lt;&gt;TRIM(B291),"HATA: isimde baştaki/sondaki boşluk",IF(COUNTIF(KaynakAralik,H291)=0,"HATA: kaynak listede yok",IF(AND(F291&lt;&gt;"Bekleniyor",F291&lt;&gt;"Geldi",F291&lt;&gt;"İptal"),"HATA: giriş durumu geçersiz",IF(AND(F291&lt;&gt;"İptal",COUNTIFS($A$6:$A$1005,A291,$D$6:$D$1005,"&lt;"&amp;E291,$E$6:$E$1005,"&gt;"&amp;D291,$F$6:$F$1005,"&lt;&gt;İptal")&gt;1),"HATA: oda bu tarihlerde çakışıyor",IF(AND(F291="Bekleniyor",D291&lt;RaporTarihi),"HATA: giriş günü geçti, Geldi veya İptal yapın","OK"))))))))))))</f>
        <v/>
      </c>
      <c r="L291" s="25">
        <f>IF(AND(ISNUMBER(A291),F291&lt;&gt;"İptal",ISNUMBER(D291),ISNUMBER(E291),D291&lt;=RaporTarihi,E291&gt;RaporTarihi),A291,"")</f>
        <v/>
      </c>
    </row>
    <row r="292">
      <c r="A292" s="22" t="n"/>
      <c r="B292" s="22" t="n"/>
      <c r="C292" s="22" t="n"/>
      <c r="D292" s="23" t="n"/>
      <c r="E292" s="23" t="n"/>
      <c r="F292" s="22" t="n"/>
      <c r="G292" s="24" t="n"/>
      <c r="H292" s="22" t="n"/>
      <c r="I292" s="25">
        <f>IF(AND(ISNUMBER(D292),ISNUMBER(E292)),E292-D292,"")</f>
        <v/>
      </c>
      <c r="J292" s="26">
        <f>IF(AND(ISNUMBER(I292),ISNUMBER(G292)),IF(I292&gt;0,G292/I292,""),"")</f>
        <v/>
      </c>
      <c r="K292" s="25">
        <f>IF(COUNTA(A292:H292)=0,"",IF(OR(A292="",B292="",C292="",D292="",E292="",F292="",G292="",H292=""),"HATA: eksik bilgi",IF(COUNTIF(OdaListesi,A292)=0,"HATA: geçersiz oda no",IF(OR(NOT(ISNUMBER(D292)),NOT(ISNUMBER(E292))),"HATA: tarih geçersiz",IF(E292&lt;=D292,"HATA: çıkış girişten sonra olmalı",IF(OR(NOT(ISNUMBER(C292)),C292&lt;1,C292&gt;MaxKisi,C292&lt;&gt;INT(C292)),"HATA: kişi sayısı geçersiz",IF(OR(NOT(ISNUMBER(G292)),G292&lt;0),"HATA: tutar geçersiz",IF(B292&lt;&gt;TRIM(B292),"HATA: isimde baştaki/sondaki boşluk",IF(COUNTIF(KaynakAralik,H292)=0,"HATA: kaynak listede yok",IF(AND(F292&lt;&gt;"Bekleniyor",F292&lt;&gt;"Geldi",F292&lt;&gt;"İptal"),"HATA: giriş durumu geçersiz",IF(AND(F292&lt;&gt;"İptal",COUNTIFS($A$6:$A$1005,A292,$D$6:$D$1005,"&lt;"&amp;E292,$E$6:$E$1005,"&gt;"&amp;D292,$F$6:$F$1005,"&lt;&gt;İptal")&gt;1),"HATA: oda bu tarihlerde çakışıyor",IF(AND(F292="Bekleniyor",D292&lt;RaporTarihi),"HATA: giriş günü geçti, Geldi veya İptal yapın","OK"))))))))))))</f>
        <v/>
      </c>
      <c r="L292" s="25">
        <f>IF(AND(ISNUMBER(A292),F292&lt;&gt;"İptal",ISNUMBER(D292),ISNUMBER(E292),D292&lt;=RaporTarihi,E292&gt;RaporTarihi),A292,"")</f>
        <v/>
      </c>
    </row>
    <row r="293">
      <c r="A293" s="22" t="n"/>
      <c r="B293" s="22" t="n"/>
      <c r="C293" s="22" t="n"/>
      <c r="D293" s="23" t="n"/>
      <c r="E293" s="23" t="n"/>
      <c r="F293" s="22" t="n"/>
      <c r="G293" s="24" t="n"/>
      <c r="H293" s="22" t="n"/>
      <c r="I293" s="25">
        <f>IF(AND(ISNUMBER(D293),ISNUMBER(E293)),E293-D293,"")</f>
        <v/>
      </c>
      <c r="J293" s="26">
        <f>IF(AND(ISNUMBER(I293),ISNUMBER(G293)),IF(I293&gt;0,G293/I293,""),"")</f>
        <v/>
      </c>
      <c r="K293" s="25">
        <f>IF(COUNTA(A293:H293)=0,"",IF(OR(A293="",B293="",C293="",D293="",E293="",F293="",G293="",H293=""),"HATA: eksik bilgi",IF(COUNTIF(OdaListesi,A293)=0,"HATA: geçersiz oda no",IF(OR(NOT(ISNUMBER(D293)),NOT(ISNUMBER(E293))),"HATA: tarih geçersiz",IF(E293&lt;=D293,"HATA: çıkış girişten sonra olmalı",IF(OR(NOT(ISNUMBER(C293)),C293&lt;1,C293&gt;MaxKisi,C293&lt;&gt;INT(C293)),"HATA: kişi sayısı geçersiz",IF(OR(NOT(ISNUMBER(G293)),G293&lt;0),"HATA: tutar geçersiz",IF(B293&lt;&gt;TRIM(B293),"HATA: isimde baştaki/sondaki boşluk",IF(COUNTIF(KaynakAralik,H293)=0,"HATA: kaynak listede yok",IF(AND(F293&lt;&gt;"Bekleniyor",F293&lt;&gt;"Geldi",F293&lt;&gt;"İptal"),"HATA: giriş durumu geçersiz",IF(AND(F293&lt;&gt;"İptal",COUNTIFS($A$6:$A$1005,A293,$D$6:$D$1005,"&lt;"&amp;E293,$E$6:$E$1005,"&gt;"&amp;D293,$F$6:$F$1005,"&lt;&gt;İptal")&gt;1),"HATA: oda bu tarihlerde çakışıyor",IF(AND(F293="Bekleniyor",D293&lt;RaporTarihi),"HATA: giriş günü geçti, Geldi veya İptal yapın","OK"))))))))))))</f>
        <v/>
      </c>
      <c r="L293" s="25">
        <f>IF(AND(ISNUMBER(A293),F293&lt;&gt;"İptal",ISNUMBER(D293),ISNUMBER(E293),D293&lt;=RaporTarihi,E293&gt;RaporTarihi),A293,"")</f>
        <v/>
      </c>
    </row>
    <row r="294">
      <c r="A294" s="22" t="n"/>
      <c r="B294" s="22" t="n"/>
      <c r="C294" s="22" t="n"/>
      <c r="D294" s="23" t="n"/>
      <c r="E294" s="23" t="n"/>
      <c r="F294" s="22" t="n"/>
      <c r="G294" s="24" t="n"/>
      <c r="H294" s="22" t="n"/>
      <c r="I294" s="25">
        <f>IF(AND(ISNUMBER(D294),ISNUMBER(E294)),E294-D294,"")</f>
        <v/>
      </c>
      <c r="J294" s="26">
        <f>IF(AND(ISNUMBER(I294),ISNUMBER(G294)),IF(I294&gt;0,G294/I294,""),"")</f>
        <v/>
      </c>
      <c r="K294" s="25">
        <f>IF(COUNTA(A294:H294)=0,"",IF(OR(A294="",B294="",C294="",D294="",E294="",F294="",G294="",H294=""),"HATA: eksik bilgi",IF(COUNTIF(OdaListesi,A294)=0,"HATA: geçersiz oda no",IF(OR(NOT(ISNUMBER(D294)),NOT(ISNUMBER(E294))),"HATA: tarih geçersiz",IF(E294&lt;=D294,"HATA: çıkış girişten sonra olmalı",IF(OR(NOT(ISNUMBER(C294)),C294&lt;1,C294&gt;MaxKisi,C294&lt;&gt;INT(C294)),"HATA: kişi sayısı geçersiz",IF(OR(NOT(ISNUMBER(G294)),G294&lt;0),"HATA: tutar geçersiz",IF(B294&lt;&gt;TRIM(B294),"HATA: isimde baştaki/sondaki boşluk",IF(COUNTIF(KaynakAralik,H294)=0,"HATA: kaynak listede yok",IF(AND(F294&lt;&gt;"Bekleniyor",F294&lt;&gt;"Geldi",F294&lt;&gt;"İptal"),"HATA: giriş durumu geçersiz",IF(AND(F294&lt;&gt;"İptal",COUNTIFS($A$6:$A$1005,A294,$D$6:$D$1005,"&lt;"&amp;E294,$E$6:$E$1005,"&gt;"&amp;D294,$F$6:$F$1005,"&lt;&gt;İptal")&gt;1),"HATA: oda bu tarihlerde çakışıyor",IF(AND(F294="Bekleniyor",D294&lt;RaporTarihi),"HATA: giriş günü geçti, Geldi veya İptal yapın","OK"))))))))))))</f>
        <v/>
      </c>
      <c r="L294" s="25">
        <f>IF(AND(ISNUMBER(A294),F294&lt;&gt;"İptal",ISNUMBER(D294),ISNUMBER(E294),D294&lt;=RaporTarihi,E294&gt;RaporTarihi),A294,"")</f>
        <v/>
      </c>
    </row>
    <row r="295">
      <c r="A295" s="22" t="n"/>
      <c r="B295" s="22" t="n"/>
      <c r="C295" s="22" t="n"/>
      <c r="D295" s="23" t="n"/>
      <c r="E295" s="23" t="n"/>
      <c r="F295" s="22" t="n"/>
      <c r="G295" s="24" t="n"/>
      <c r="H295" s="22" t="n"/>
      <c r="I295" s="25">
        <f>IF(AND(ISNUMBER(D295),ISNUMBER(E295)),E295-D295,"")</f>
        <v/>
      </c>
      <c r="J295" s="26">
        <f>IF(AND(ISNUMBER(I295),ISNUMBER(G295)),IF(I295&gt;0,G295/I295,""),"")</f>
        <v/>
      </c>
      <c r="K295" s="25">
        <f>IF(COUNTA(A295:H295)=0,"",IF(OR(A295="",B295="",C295="",D295="",E295="",F295="",G295="",H295=""),"HATA: eksik bilgi",IF(COUNTIF(OdaListesi,A295)=0,"HATA: geçersiz oda no",IF(OR(NOT(ISNUMBER(D295)),NOT(ISNUMBER(E295))),"HATA: tarih geçersiz",IF(E295&lt;=D295,"HATA: çıkış girişten sonra olmalı",IF(OR(NOT(ISNUMBER(C295)),C295&lt;1,C295&gt;MaxKisi,C295&lt;&gt;INT(C295)),"HATA: kişi sayısı geçersiz",IF(OR(NOT(ISNUMBER(G295)),G295&lt;0),"HATA: tutar geçersiz",IF(B295&lt;&gt;TRIM(B295),"HATA: isimde baştaki/sondaki boşluk",IF(COUNTIF(KaynakAralik,H295)=0,"HATA: kaynak listede yok",IF(AND(F295&lt;&gt;"Bekleniyor",F295&lt;&gt;"Geldi",F295&lt;&gt;"İptal"),"HATA: giriş durumu geçersiz",IF(AND(F295&lt;&gt;"İptal",COUNTIFS($A$6:$A$1005,A295,$D$6:$D$1005,"&lt;"&amp;E295,$E$6:$E$1005,"&gt;"&amp;D295,$F$6:$F$1005,"&lt;&gt;İptal")&gt;1),"HATA: oda bu tarihlerde çakışıyor",IF(AND(F295="Bekleniyor",D295&lt;RaporTarihi),"HATA: giriş günü geçti, Geldi veya İptal yapın","OK"))))))))))))</f>
        <v/>
      </c>
      <c r="L295" s="25">
        <f>IF(AND(ISNUMBER(A295),F295&lt;&gt;"İptal",ISNUMBER(D295),ISNUMBER(E295),D295&lt;=RaporTarihi,E295&gt;RaporTarihi),A295,"")</f>
        <v/>
      </c>
    </row>
    <row r="296">
      <c r="A296" s="22" t="n"/>
      <c r="B296" s="22" t="n"/>
      <c r="C296" s="22" t="n"/>
      <c r="D296" s="23" t="n"/>
      <c r="E296" s="23" t="n"/>
      <c r="F296" s="22" t="n"/>
      <c r="G296" s="24" t="n"/>
      <c r="H296" s="22" t="n"/>
      <c r="I296" s="25">
        <f>IF(AND(ISNUMBER(D296),ISNUMBER(E296)),E296-D296,"")</f>
        <v/>
      </c>
      <c r="J296" s="26">
        <f>IF(AND(ISNUMBER(I296),ISNUMBER(G296)),IF(I296&gt;0,G296/I296,""),"")</f>
        <v/>
      </c>
      <c r="K296" s="25">
        <f>IF(COUNTA(A296:H296)=0,"",IF(OR(A296="",B296="",C296="",D296="",E296="",F296="",G296="",H296=""),"HATA: eksik bilgi",IF(COUNTIF(OdaListesi,A296)=0,"HATA: geçersiz oda no",IF(OR(NOT(ISNUMBER(D296)),NOT(ISNUMBER(E296))),"HATA: tarih geçersiz",IF(E296&lt;=D296,"HATA: çıkış girişten sonra olmalı",IF(OR(NOT(ISNUMBER(C296)),C296&lt;1,C296&gt;MaxKisi,C296&lt;&gt;INT(C296)),"HATA: kişi sayısı geçersiz",IF(OR(NOT(ISNUMBER(G296)),G296&lt;0),"HATA: tutar geçersiz",IF(B296&lt;&gt;TRIM(B296),"HATA: isimde baştaki/sondaki boşluk",IF(COUNTIF(KaynakAralik,H296)=0,"HATA: kaynak listede yok",IF(AND(F296&lt;&gt;"Bekleniyor",F296&lt;&gt;"Geldi",F296&lt;&gt;"İptal"),"HATA: giriş durumu geçersiz",IF(AND(F296&lt;&gt;"İptal",COUNTIFS($A$6:$A$1005,A296,$D$6:$D$1005,"&lt;"&amp;E296,$E$6:$E$1005,"&gt;"&amp;D296,$F$6:$F$1005,"&lt;&gt;İptal")&gt;1),"HATA: oda bu tarihlerde çakışıyor",IF(AND(F296="Bekleniyor",D296&lt;RaporTarihi),"HATA: giriş günü geçti, Geldi veya İptal yapın","OK"))))))))))))</f>
        <v/>
      </c>
      <c r="L296" s="25">
        <f>IF(AND(ISNUMBER(A296),F296&lt;&gt;"İptal",ISNUMBER(D296),ISNUMBER(E296),D296&lt;=RaporTarihi,E296&gt;RaporTarihi),A296,"")</f>
        <v/>
      </c>
    </row>
    <row r="297">
      <c r="A297" s="22" t="n"/>
      <c r="B297" s="22" t="n"/>
      <c r="C297" s="22" t="n"/>
      <c r="D297" s="23" t="n"/>
      <c r="E297" s="23" t="n"/>
      <c r="F297" s="22" t="n"/>
      <c r="G297" s="24" t="n"/>
      <c r="H297" s="22" t="n"/>
      <c r="I297" s="25">
        <f>IF(AND(ISNUMBER(D297),ISNUMBER(E297)),E297-D297,"")</f>
        <v/>
      </c>
      <c r="J297" s="26">
        <f>IF(AND(ISNUMBER(I297),ISNUMBER(G297)),IF(I297&gt;0,G297/I297,""),"")</f>
        <v/>
      </c>
      <c r="K297" s="25">
        <f>IF(COUNTA(A297:H297)=0,"",IF(OR(A297="",B297="",C297="",D297="",E297="",F297="",G297="",H297=""),"HATA: eksik bilgi",IF(COUNTIF(OdaListesi,A297)=0,"HATA: geçersiz oda no",IF(OR(NOT(ISNUMBER(D297)),NOT(ISNUMBER(E297))),"HATA: tarih geçersiz",IF(E297&lt;=D297,"HATA: çıkış girişten sonra olmalı",IF(OR(NOT(ISNUMBER(C297)),C297&lt;1,C297&gt;MaxKisi,C297&lt;&gt;INT(C297)),"HATA: kişi sayısı geçersiz",IF(OR(NOT(ISNUMBER(G297)),G297&lt;0),"HATA: tutar geçersiz",IF(B297&lt;&gt;TRIM(B297),"HATA: isimde baştaki/sondaki boşluk",IF(COUNTIF(KaynakAralik,H297)=0,"HATA: kaynak listede yok",IF(AND(F297&lt;&gt;"Bekleniyor",F297&lt;&gt;"Geldi",F297&lt;&gt;"İptal"),"HATA: giriş durumu geçersiz",IF(AND(F297&lt;&gt;"İptal",COUNTIFS($A$6:$A$1005,A297,$D$6:$D$1005,"&lt;"&amp;E297,$E$6:$E$1005,"&gt;"&amp;D297,$F$6:$F$1005,"&lt;&gt;İptal")&gt;1),"HATA: oda bu tarihlerde çakışıyor",IF(AND(F297="Bekleniyor",D297&lt;RaporTarihi),"HATA: giriş günü geçti, Geldi veya İptal yapın","OK"))))))))))))</f>
        <v/>
      </c>
      <c r="L297" s="25">
        <f>IF(AND(ISNUMBER(A297),F297&lt;&gt;"İptal",ISNUMBER(D297),ISNUMBER(E297),D297&lt;=RaporTarihi,E297&gt;RaporTarihi),A297,"")</f>
        <v/>
      </c>
    </row>
    <row r="298">
      <c r="A298" s="22" t="n"/>
      <c r="B298" s="22" t="n"/>
      <c r="C298" s="22" t="n"/>
      <c r="D298" s="23" t="n"/>
      <c r="E298" s="23" t="n"/>
      <c r="F298" s="22" t="n"/>
      <c r="G298" s="24" t="n"/>
      <c r="H298" s="22" t="n"/>
      <c r="I298" s="25">
        <f>IF(AND(ISNUMBER(D298),ISNUMBER(E298)),E298-D298,"")</f>
        <v/>
      </c>
      <c r="J298" s="26">
        <f>IF(AND(ISNUMBER(I298),ISNUMBER(G298)),IF(I298&gt;0,G298/I298,""),"")</f>
        <v/>
      </c>
      <c r="K298" s="25">
        <f>IF(COUNTA(A298:H298)=0,"",IF(OR(A298="",B298="",C298="",D298="",E298="",F298="",G298="",H298=""),"HATA: eksik bilgi",IF(COUNTIF(OdaListesi,A298)=0,"HATA: geçersiz oda no",IF(OR(NOT(ISNUMBER(D298)),NOT(ISNUMBER(E298))),"HATA: tarih geçersiz",IF(E298&lt;=D298,"HATA: çıkış girişten sonra olmalı",IF(OR(NOT(ISNUMBER(C298)),C298&lt;1,C298&gt;MaxKisi,C298&lt;&gt;INT(C298)),"HATA: kişi sayısı geçersiz",IF(OR(NOT(ISNUMBER(G298)),G298&lt;0),"HATA: tutar geçersiz",IF(B298&lt;&gt;TRIM(B298),"HATA: isimde baştaki/sondaki boşluk",IF(COUNTIF(KaynakAralik,H298)=0,"HATA: kaynak listede yok",IF(AND(F298&lt;&gt;"Bekleniyor",F298&lt;&gt;"Geldi",F298&lt;&gt;"İptal"),"HATA: giriş durumu geçersiz",IF(AND(F298&lt;&gt;"İptal",COUNTIFS($A$6:$A$1005,A298,$D$6:$D$1005,"&lt;"&amp;E298,$E$6:$E$1005,"&gt;"&amp;D298,$F$6:$F$1005,"&lt;&gt;İptal")&gt;1),"HATA: oda bu tarihlerde çakışıyor",IF(AND(F298="Bekleniyor",D298&lt;RaporTarihi),"HATA: giriş günü geçti, Geldi veya İptal yapın","OK"))))))))))))</f>
        <v/>
      </c>
      <c r="L298" s="25">
        <f>IF(AND(ISNUMBER(A298),F298&lt;&gt;"İptal",ISNUMBER(D298),ISNUMBER(E298),D298&lt;=RaporTarihi,E298&gt;RaporTarihi),A298,"")</f>
        <v/>
      </c>
    </row>
    <row r="299">
      <c r="A299" s="22" t="n"/>
      <c r="B299" s="22" t="n"/>
      <c r="C299" s="22" t="n"/>
      <c r="D299" s="23" t="n"/>
      <c r="E299" s="23" t="n"/>
      <c r="F299" s="22" t="n"/>
      <c r="G299" s="24" t="n"/>
      <c r="H299" s="22" t="n"/>
      <c r="I299" s="25">
        <f>IF(AND(ISNUMBER(D299),ISNUMBER(E299)),E299-D299,"")</f>
        <v/>
      </c>
      <c r="J299" s="26">
        <f>IF(AND(ISNUMBER(I299),ISNUMBER(G299)),IF(I299&gt;0,G299/I299,""),"")</f>
        <v/>
      </c>
      <c r="K299" s="25">
        <f>IF(COUNTA(A299:H299)=0,"",IF(OR(A299="",B299="",C299="",D299="",E299="",F299="",G299="",H299=""),"HATA: eksik bilgi",IF(COUNTIF(OdaListesi,A299)=0,"HATA: geçersiz oda no",IF(OR(NOT(ISNUMBER(D299)),NOT(ISNUMBER(E299))),"HATA: tarih geçersiz",IF(E299&lt;=D299,"HATA: çıkış girişten sonra olmalı",IF(OR(NOT(ISNUMBER(C299)),C299&lt;1,C299&gt;MaxKisi,C299&lt;&gt;INT(C299)),"HATA: kişi sayısı geçersiz",IF(OR(NOT(ISNUMBER(G299)),G299&lt;0),"HATA: tutar geçersiz",IF(B299&lt;&gt;TRIM(B299),"HATA: isimde baştaki/sondaki boşluk",IF(COUNTIF(KaynakAralik,H299)=0,"HATA: kaynak listede yok",IF(AND(F299&lt;&gt;"Bekleniyor",F299&lt;&gt;"Geldi",F299&lt;&gt;"İptal"),"HATA: giriş durumu geçersiz",IF(AND(F299&lt;&gt;"İptal",COUNTIFS($A$6:$A$1005,A299,$D$6:$D$1005,"&lt;"&amp;E299,$E$6:$E$1005,"&gt;"&amp;D299,$F$6:$F$1005,"&lt;&gt;İptal")&gt;1),"HATA: oda bu tarihlerde çakışıyor",IF(AND(F299="Bekleniyor",D299&lt;RaporTarihi),"HATA: giriş günü geçti, Geldi veya İptal yapın","OK"))))))))))))</f>
        <v/>
      </c>
      <c r="L299" s="25">
        <f>IF(AND(ISNUMBER(A299),F299&lt;&gt;"İptal",ISNUMBER(D299),ISNUMBER(E299),D299&lt;=RaporTarihi,E299&gt;RaporTarihi),A299,"")</f>
        <v/>
      </c>
    </row>
    <row r="300">
      <c r="A300" s="22" t="n"/>
      <c r="B300" s="22" t="n"/>
      <c r="C300" s="22" t="n"/>
      <c r="D300" s="23" t="n"/>
      <c r="E300" s="23" t="n"/>
      <c r="F300" s="22" t="n"/>
      <c r="G300" s="24" t="n"/>
      <c r="H300" s="22" t="n"/>
      <c r="I300" s="25">
        <f>IF(AND(ISNUMBER(D300),ISNUMBER(E300)),E300-D300,"")</f>
        <v/>
      </c>
      <c r="J300" s="26">
        <f>IF(AND(ISNUMBER(I300),ISNUMBER(G300)),IF(I300&gt;0,G300/I300,""),"")</f>
        <v/>
      </c>
      <c r="K300" s="25">
        <f>IF(COUNTA(A300:H300)=0,"",IF(OR(A300="",B300="",C300="",D300="",E300="",F300="",G300="",H300=""),"HATA: eksik bilgi",IF(COUNTIF(OdaListesi,A300)=0,"HATA: geçersiz oda no",IF(OR(NOT(ISNUMBER(D300)),NOT(ISNUMBER(E300))),"HATA: tarih geçersiz",IF(E300&lt;=D300,"HATA: çıkış girişten sonra olmalı",IF(OR(NOT(ISNUMBER(C300)),C300&lt;1,C300&gt;MaxKisi,C300&lt;&gt;INT(C300)),"HATA: kişi sayısı geçersiz",IF(OR(NOT(ISNUMBER(G300)),G300&lt;0),"HATA: tutar geçersiz",IF(B300&lt;&gt;TRIM(B300),"HATA: isimde baştaki/sondaki boşluk",IF(COUNTIF(KaynakAralik,H300)=0,"HATA: kaynak listede yok",IF(AND(F300&lt;&gt;"Bekleniyor",F300&lt;&gt;"Geldi",F300&lt;&gt;"İptal"),"HATA: giriş durumu geçersiz",IF(AND(F300&lt;&gt;"İptal",COUNTIFS($A$6:$A$1005,A300,$D$6:$D$1005,"&lt;"&amp;E300,$E$6:$E$1005,"&gt;"&amp;D300,$F$6:$F$1005,"&lt;&gt;İptal")&gt;1),"HATA: oda bu tarihlerde çakışıyor",IF(AND(F300="Bekleniyor",D300&lt;RaporTarihi),"HATA: giriş günü geçti, Geldi veya İptal yapın","OK"))))))))))))</f>
        <v/>
      </c>
      <c r="L300" s="25">
        <f>IF(AND(ISNUMBER(A300),F300&lt;&gt;"İptal",ISNUMBER(D300),ISNUMBER(E300),D300&lt;=RaporTarihi,E300&gt;RaporTarihi),A300,"")</f>
        <v/>
      </c>
    </row>
    <row r="301">
      <c r="A301" s="22" t="n"/>
      <c r="B301" s="22" t="n"/>
      <c r="C301" s="22" t="n"/>
      <c r="D301" s="23" t="n"/>
      <c r="E301" s="23" t="n"/>
      <c r="F301" s="22" t="n"/>
      <c r="G301" s="24" t="n"/>
      <c r="H301" s="22" t="n"/>
      <c r="I301" s="25">
        <f>IF(AND(ISNUMBER(D301),ISNUMBER(E301)),E301-D301,"")</f>
        <v/>
      </c>
      <c r="J301" s="26">
        <f>IF(AND(ISNUMBER(I301),ISNUMBER(G301)),IF(I301&gt;0,G301/I301,""),"")</f>
        <v/>
      </c>
      <c r="K301" s="25">
        <f>IF(COUNTA(A301:H301)=0,"",IF(OR(A301="",B301="",C301="",D301="",E301="",F301="",G301="",H301=""),"HATA: eksik bilgi",IF(COUNTIF(OdaListesi,A301)=0,"HATA: geçersiz oda no",IF(OR(NOT(ISNUMBER(D301)),NOT(ISNUMBER(E301))),"HATA: tarih geçersiz",IF(E301&lt;=D301,"HATA: çıkış girişten sonra olmalı",IF(OR(NOT(ISNUMBER(C301)),C301&lt;1,C301&gt;MaxKisi,C301&lt;&gt;INT(C301)),"HATA: kişi sayısı geçersiz",IF(OR(NOT(ISNUMBER(G301)),G301&lt;0),"HATA: tutar geçersiz",IF(B301&lt;&gt;TRIM(B301),"HATA: isimde baştaki/sondaki boşluk",IF(COUNTIF(KaynakAralik,H301)=0,"HATA: kaynak listede yok",IF(AND(F301&lt;&gt;"Bekleniyor",F301&lt;&gt;"Geldi",F301&lt;&gt;"İptal"),"HATA: giriş durumu geçersiz",IF(AND(F301&lt;&gt;"İptal",COUNTIFS($A$6:$A$1005,A301,$D$6:$D$1005,"&lt;"&amp;E301,$E$6:$E$1005,"&gt;"&amp;D301,$F$6:$F$1005,"&lt;&gt;İptal")&gt;1),"HATA: oda bu tarihlerde çakışıyor",IF(AND(F301="Bekleniyor",D301&lt;RaporTarihi),"HATA: giriş günü geçti, Geldi veya İptal yapın","OK"))))))))))))</f>
        <v/>
      </c>
      <c r="L301" s="25">
        <f>IF(AND(ISNUMBER(A301),F301&lt;&gt;"İptal",ISNUMBER(D301),ISNUMBER(E301),D301&lt;=RaporTarihi,E301&gt;RaporTarihi),A301,"")</f>
        <v/>
      </c>
    </row>
    <row r="302">
      <c r="A302" s="22" t="n"/>
      <c r="B302" s="22" t="n"/>
      <c r="C302" s="22" t="n"/>
      <c r="D302" s="23" t="n"/>
      <c r="E302" s="23" t="n"/>
      <c r="F302" s="22" t="n"/>
      <c r="G302" s="24" t="n"/>
      <c r="H302" s="22" t="n"/>
      <c r="I302" s="25">
        <f>IF(AND(ISNUMBER(D302),ISNUMBER(E302)),E302-D302,"")</f>
        <v/>
      </c>
      <c r="J302" s="26">
        <f>IF(AND(ISNUMBER(I302),ISNUMBER(G302)),IF(I302&gt;0,G302/I302,""),"")</f>
        <v/>
      </c>
      <c r="K302" s="25">
        <f>IF(COUNTA(A302:H302)=0,"",IF(OR(A302="",B302="",C302="",D302="",E302="",F302="",G302="",H302=""),"HATA: eksik bilgi",IF(COUNTIF(OdaListesi,A302)=0,"HATA: geçersiz oda no",IF(OR(NOT(ISNUMBER(D302)),NOT(ISNUMBER(E302))),"HATA: tarih geçersiz",IF(E302&lt;=D302,"HATA: çıkış girişten sonra olmalı",IF(OR(NOT(ISNUMBER(C302)),C302&lt;1,C302&gt;MaxKisi,C302&lt;&gt;INT(C302)),"HATA: kişi sayısı geçersiz",IF(OR(NOT(ISNUMBER(G302)),G302&lt;0),"HATA: tutar geçersiz",IF(B302&lt;&gt;TRIM(B302),"HATA: isimde baştaki/sondaki boşluk",IF(COUNTIF(KaynakAralik,H302)=0,"HATA: kaynak listede yok",IF(AND(F302&lt;&gt;"Bekleniyor",F302&lt;&gt;"Geldi",F302&lt;&gt;"İptal"),"HATA: giriş durumu geçersiz",IF(AND(F302&lt;&gt;"İptal",COUNTIFS($A$6:$A$1005,A302,$D$6:$D$1005,"&lt;"&amp;E302,$E$6:$E$1005,"&gt;"&amp;D302,$F$6:$F$1005,"&lt;&gt;İptal")&gt;1),"HATA: oda bu tarihlerde çakışıyor",IF(AND(F302="Bekleniyor",D302&lt;RaporTarihi),"HATA: giriş günü geçti, Geldi veya İptal yapın","OK"))))))))))))</f>
        <v/>
      </c>
      <c r="L302" s="25">
        <f>IF(AND(ISNUMBER(A302),F302&lt;&gt;"İptal",ISNUMBER(D302),ISNUMBER(E302),D302&lt;=RaporTarihi,E302&gt;RaporTarihi),A302,"")</f>
        <v/>
      </c>
    </row>
    <row r="303">
      <c r="A303" s="22" t="n"/>
      <c r="B303" s="22" t="n"/>
      <c r="C303" s="22" t="n"/>
      <c r="D303" s="23" t="n"/>
      <c r="E303" s="23" t="n"/>
      <c r="F303" s="22" t="n"/>
      <c r="G303" s="24" t="n"/>
      <c r="H303" s="22" t="n"/>
      <c r="I303" s="25">
        <f>IF(AND(ISNUMBER(D303),ISNUMBER(E303)),E303-D303,"")</f>
        <v/>
      </c>
      <c r="J303" s="26">
        <f>IF(AND(ISNUMBER(I303),ISNUMBER(G303)),IF(I303&gt;0,G303/I303,""),"")</f>
        <v/>
      </c>
      <c r="K303" s="25">
        <f>IF(COUNTA(A303:H303)=0,"",IF(OR(A303="",B303="",C303="",D303="",E303="",F303="",G303="",H303=""),"HATA: eksik bilgi",IF(COUNTIF(OdaListesi,A303)=0,"HATA: geçersiz oda no",IF(OR(NOT(ISNUMBER(D303)),NOT(ISNUMBER(E303))),"HATA: tarih geçersiz",IF(E303&lt;=D303,"HATA: çıkış girişten sonra olmalı",IF(OR(NOT(ISNUMBER(C303)),C303&lt;1,C303&gt;MaxKisi,C303&lt;&gt;INT(C303)),"HATA: kişi sayısı geçersiz",IF(OR(NOT(ISNUMBER(G303)),G303&lt;0),"HATA: tutar geçersiz",IF(B303&lt;&gt;TRIM(B303),"HATA: isimde baştaki/sondaki boşluk",IF(COUNTIF(KaynakAralik,H303)=0,"HATA: kaynak listede yok",IF(AND(F303&lt;&gt;"Bekleniyor",F303&lt;&gt;"Geldi",F303&lt;&gt;"İptal"),"HATA: giriş durumu geçersiz",IF(AND(F303&lt;&gt;"İptal",COUNTIFS($A$6:$A$1005,A303,$D$6:$D$1005,"&lt;"&amp;E303,$E$6:$E$1005,"&gt;"&amp;D303,$F$6:$F$1005,"&lt;&gt;İptal")&gt;1),"HATA: oda bu tarihlerde çakışıyor",IF(AND(F303="Bekleniyor",D303&lt;RaporTarihi),"HATA: giriş günü geçti, Geldi veya İptal yapın","OK"))))))))))))</f>
        <v/>
      </c>
      <c r="L303" s="25">
        <f>IF(AND(ISNUMBER(A303),F303&lt;&gt;"İptal",ISNUMBER(D303),ISNUMBER(E303),D303&lt;=RaporTarihi,E303&gt;RaporTarihi),A303,"")</f>
        <v/>
      </c>
    </row>
    <row r="304">
      <c r="A304" s="22" t="n"/>
      <c r="B304" s="22" t="n"/>
      <c r="C304" s="22" t="n"/>
      <c r="D304" s="23" t="n"/>
      <c r="E304" s="23" t="n"/>
      <c r="F304" s="22" t="n"/>
      <c r="G304" s="24" t="n"/>
      <c r="H304" s="22" t="n"/>
      <c r="I304" s="25">
        <f>IF(AND(ISNUMBER(D304),ISNUMBER(E304)),E304-D304,"")</f>
        <v/>
      </c>
      <c r="J304" s="26">
        <f>IF(AND(ISNUMBER(I304),ISNUMBER(G304)),IF(I304&gt;0,G304/I304,""),"")</f>
        <v/>
      </c>
      <c r="K304" s="25">
        <f>IF(COUNTA(A304:H304)=0,"",IF(OR(A304="",B304="",C304="",D304="",E304="",F304="",G304="",H304=""),"HATA: eksik bilgi",IF(COUNTIF(OdaListesi,A304)=0,"HATA: geçersiz oda no",IF(OR(NOT(ISNUMBER(D304)),NOT(ISNUMBER(E304))),"HATA: tarih geçersiz",IF(E304&lt;=D304,"HATA: çıkış girişten sonra olmalı",IF(OR(NOT(ISNUMBER(C304)),C304&lt;1,C304&gt;MaxKisi,C304&lt;&gt;INT(C304)),"HATA: kişi sayısı geçersiz",IF(OR(NOT(ISNUMBER(G304)),G304&lt;0),"HATA: tutar geçersiz",IF(B304&lt;&gt;TRIM(B304),"HATA: isimde baştaki/sondaki boşluk",IF(COUNTIF(KaynakAralik,H304)=0,"HATA: kaynak listede yok",IF(AND(F304&lt;&gt;"Bekleniyor",F304&lt;&gt;"Geldi",F304&lt;&gt;"İptal"),"HATA: giriş durumu geçersiz",IF(AND(F304&lt;&gt;"İptal",COUNTIFS($A$6:$A$1005,A304,$D$6:$D$1005,"&lt;"&amp;E304,$E$6:$E$1005,"&gt;"&amp;D304,$F$6:$F$1005,"&lt;&gt;İptal")&gt;1),"HATA: oda bu tarihlerde çakışıyor",IF(AND(F304="Bekleniyor",D304&lt;RaporTarihi),"HATA: giriş günü geçti, Geldi veya İptal yapın","OK"))))))))))))</f>
        <v/>
      </c>
      <c r="L304" s="25">
        <f>IF(AND(ISNUMBER(A304),F304&lt;&gt;"İptal",ISNUMBER(D304),ISNUMBER(E304),D304&lt;=RaporTarihi,E304&gt;RaporTarihi),A304,"")</f>
        <v/>
      </c>
    </row>
    <row r="305">
      <c r="A305" s="22" t="n"/>
      <c r="B305" s="22" t="n"/>
      <c r="C305" s="22" t="n"/>
      <c r="D305" s="23" t="n"/>
      <c r="E305" s="23" t="n"/>
      <c r="F305" s="22" t="n"/>
      <c r="G305" s="24" t="n"/>
      <c r="H305" s="22" t="n"/>
      <c r="I305" s="25">
        <f>IF(AND(ISNUMBER(D305),ISNUMBER(E305)),E305-D305,"")</f>
        <v/>
      </c>
      <c r="J305" s="26">
        <f>IF(AND(ISNUMBER(I305),ISNUMBER(G305)),IF(I305&gt;0,G305/I305,""),"")</f>
        <v/>
      </c>
      <c r="K305" s="25">
        <f>IF(COUNTA(A305:H305)=0,"",IF(OR(A305="",B305="",C305="",D305="",E305="",F305="",G305="",H305=""),"HATA: eksik bilgi",IF(COUNTIF(OdaListesi,A305)=0,"HATA: geçersiz oda no",IF(OR(NOT(ISNUMBER(D305)),NOT(ISNUMBER(E305))),"HATA: tarih geçersiz",IF(E305&lt;=D305,"HATA: çıkış girişten sonra olmalı",IF(OR(NOT(ISNUMBER(C305)),C305&lt;1,C305&gt;MaxKisi,C305&lt;&gt;INT(C305)),"HATA: kişi sayısı geçersiz",IF(OR(NOT(ISNUMBER(G305)),G305&lt;0),"HATA: tutar geçersiz",IF(B305&lt;&gt;TRIM(B305),"HATA: isimde baştaki/sondaki boşluk",IF(COUNTIF(KaynakAralik,H305)=0,"HATA: kaynak listede yok",IF(AND(F305&lt;&gt;"Bekleniyor",F305&lt;&gt;"Geldi",F305&lt;&gt;"İptal"),"HATA: giriş durumu geçersiz",IF(AND(F305&lt;&gt;"İptal",COUNTIFS($A$6:$A$1005,A305,$D$6:$D$1005,"&lt;"&amp;E305,$E$6:$E$1005,"&gt;"&amp;D305,$F$6:$F$1005,"&lt;&gt;İptal")&gt;1),"HATA: oda bu tarihlerde çakışıyor",IF(AND(F305="Bekleniyor",D305&lt;RaporTarihi),"HATA: giriş günü geçti, Geldi veya İptal yapın","OK"))))))))))))</f>
        <v/>
      </c>
      <c r="L305" s="25">
        <f>IF(AND(ISNUMBER(A305),F305&lt;&gt;"İptal",ISNUMBER(D305),ISNUMBER(E305),D305&lt;=RaporTarihi,E305&gt;RaporTarihi),A305,"")</f>
        <v/>
      </c>
    </row>
    <row r="306">
      <c r="A306" s="22" t="n"/>
      <c r="B306" s="22" t="n"/>
      <c r="C306" s="22" t="n"/>
      <c r="D306" s="23" t="n"/>
      <c r="E306" s="23" t="n"/>
      <c r="F306" s="22" t="n"/>
      <c r="G306" s="24" t="n"/>
      <c r="H306" s="22" t="n"/>
      <c r="I306" s="25">
        <f>IF(AND(ISNUMBER(D306),ISNUMBER(E306)),E306-D306,"")</f>
        <v/>
      </c>
      <c r="J306" s="26">
        <f>IF(AND(ISNUMBER(I306),ISNUMBER(G306)),IF(I306&gt;0,G306/I306,""),"")</f>
        <v/>
      </c>
      <c r="K306" s="25">
        <f>IF(COUNTA(A306:H306)=0,"",IF(OR(A306="",B306="",C306="",D306="",E306="",F306="",G306="",H306=""),"HATA: eksik bilgi",IF(COUNTIF(OdaListesi,A306)=0,"HATA: geçersiz oda no",IF(OR(NOT(ISNUMBER(D306)),NOT(ISNUMBER(E306))),"HATA: tarih geçersiz",IF(E306&lt;=D306,"HATA: çıkış girişten sonra olmalı",IF(OR(NOT(ISNUMBER(C306)),C306&lt;1,C306&gt;MaxKisi,C306&lt;&gt;INT(C306)),"HATA: kişi sayısı geçersiz",IF(OR(NOT(ISNUMBER(G306)),G306&lt;0),"HATA: tutar geçersiz",IF(B306&lt;&gt;TRIM(B306),"HATA: isimde baştaki/sondaki boşluk",IF(COUNTIF(KaynakAralik,H306)=0,"HATA: kaynak listede yok",IF(AND(F306&lt;&gt;"Bekleniyor",F306&lt;&gt;"Geldi",F306&lt;&gt;"İptal"),"HATA: giriş durumu geçersiz",IF(AND(F306&lt;&gt;"İptal",COUNTIFS($A$6:$A$1005,A306,$D$6:$D$1005,"&lt;"&amp;E306,$E$6:$E$1005,"&gt;"&amp;D306,$F$6:$F$1005,"&lt;&gt;İptal")&gt;1),"HATA: oda bu tarihlerde çakışıyor",IF(AND(F306="Bekleniyor",D306&lt;RaporTarihi),"HATA: giriş günü geçti, Geldi veya İptal yapın","OK"))))))))))))</f>
        <v/>
      </c>
      <c r="L306" s="25">
        <f>IF(AND(ISNUMBER(A306),F306&lt;&gt;"İptal",ISNUMBER(D306),ISNUMBER(E306),D306&lt;=RaporTarihi,E306&gt;RaporTarihi),A306,"")</f>
        <v/>
      </c>
    </row>
    <row r="307">
      <c r="A307" s="22" t="n"/>
      <c r="B307" s="22" t="n"/>
      <c r="C307" s="22" t="n"/>
      <c r="D307" s="23" t="n"/>
      <c r="E307" s="23" t="n"/>
      <c r="F307" s="22" t="n"/>
      <c r="G307" s="24" t="n"/>
      <c r="H307" s="22" t="n"/>
      <c r="I307" s="25">
        <f>IF(AND(ISNUMBER(D307),ISNUMBER(E307)),E307-D307,"")</f>
        <v/>
      </c>
      <c r="J307" s="26">
        <f>IF(AND(ISNUMBER(I307),ISNUMBER(G307)),IF(I307&gt;0,G307/I307,""),"")</f>
        <v/>
      </c>
      <c r="K307" s="25">
        <f>IF(COUNTA(A307:H307)=0,"",IF(OR(A307="",B307="",C307="",D307="",E307="",F307="",G307="",H307=""),"HATA: eksik bilgi",IF(COUNTIF(OdaListesi,A307)=0,"HATA: geçersiz oda no",IF(OR(NOT(ISNUMBER(D307)),NOT(ISNUMBER(E307))),"HATA: tarih geçersiz",IF(E307&lt;=D307,"HATA: çıkış girişten sonra olmalı",IF(OR(NOT(ISNUMBER(C307)),C307&lt;1,C307&gt;MaxKisi,C307&lt;&gt;INT(C307)),"HATA: kişi sayısı geçersiz",IF(OR(NOT(ISNUMBER(G307)),G307&lt;0),"HATA: tutar geçersiz",IF(B307&lt;&gt;TRIM(B307),"HATA: isimde baştaki/sondaki boşluk",IF(COUNTIF(KaynakAralik,H307)=0,"HATA: kaynak listede yok",IF(AND(F307&lt;&gt;"Bekleniyor",F307&lt;&gt;"Geldi",F307&lt;&gt;"İptal"),"HATA: giriş durumu geçersiz",IF(AND(F307&lt;&gt;"İptal",COUNTIFS($A$6:$A$1005,A307,$D$6:$D$1005,"&lt;"&amp;E307,$E$6:$E$1005,"&gt;"&amp;D307,$F$6:$F$1005,"&lt;&gt;İptal")&gt;1),"HATA: oda bu tarihlerde çakışıyor",IF(AND(F307="Bekleniyor",D307&lt;RaporTarihi),"HATA: giriş günü geçti, Geldi veya İptal yapın","OK"))))))))))))</f>
        <v/>
      </c>
      <c r="L307" s="25">
        <f>IF(AND(ISNUMBER(A307),F307&lt;&gt;"İptal",ISNUMBER(D307),ISNUMBER(E307),D307&lt;=RaporTarihi,E307&gt;RaporTarihi),A307,"")</f>
        <v/>
      </c>
    </row>
    <row r="308">
      <c r="A308" s="22" t="n"/>
      <c r="B308" s="22" t="n"/>
      <c r="C308" s="22" t="n"/>
      <c r="D308" s="23" t="n"/>
      <c r="E308" s="23" t="n"/>
      <c r="F308" s="22" t="n"/>
      <c r="G308" s="24" t="n"/>
      <c r="H308" s="22" t="n"/>
      <c r="I308" s="25">
        <f>IF(AND(ISNUMBER(D308),ISNUMBER(E308)),E308-D308,"")</f>
        <v/>
      </c>
      <c r="J308" s="26">
        <f>IF(AND(ISNUMBER(I308),ISNUMBER(G308)),IF(I308&gt;0,G308/I308,""),"")</f>
        <v/>
      </c>
      <c r="K308" s="25">
        <f>IF(COUNTA(A308:H308)=0,"",IF(OR(A308="",B308="",C308="",D308="",E308="",F308="",G308="",H308=""),"HATA: eksik bilgi",IF(COUNTIF(OdaListesi,A308)=0,"HATA: geçersiz oda no",IF(OR(NOT(ISNUMBER(D308)),NOT(ISNUMBER(E308))),"HATA: tarih geçersiz",IF(E308&lt;=D308,"HATA: çıkış girişten sonra olmalı",IF(OR(NOT(ISNUMBER(C308)),C308&lt;1,C308&gt;MaxKisi,C308&lt;&gt;INT(C308)),"HATA: kişi sayısı geçersiz",IF(OR(NOT(ISNUMBER(G308)),G308&lt;0),"HATA: tutar geçersiz",IF(B308&lt;&gt;TRIM(B308),"HATA: isimde baştaki/sondaki boşluk",IF(COUNTIF(KaynakAralik,H308)=0,"HATA: kaynak listede yok",IF(AND(F308&lt;&gt;"Bekleniyor",F308&lt;&gt;"Geldi",F308&lt;&gt;"İptal"),"HATA: giriş durumu geçersiz",IF(AND(F308&lt;&gt;"İptal",COUNTIFS($A$6:$A$1005,A308,$D$6:$D$1005,"&lt;"&amp;E308,$E$6:$E$1005,"&gt;"&amp;D308,$F$6:$F$1005,"&lt;&gt;İptal")&gt;1),"HATA: oda bu tarihlerde çakışıyor",IF(AND(F308="Bekleniyor",D308&lt;RaporTarihi),"HATA: giriş günü geçti, Geldi veya İptal yapın","OK"))))))))))))</f>
        <v/>
      </c>
      <c r="L308" s="25">
        <f>IF(AND(ISNUMBER(A308),F308&lt;&gt;"İptal",ISNUMBER(D308),ISNUMBER(E308),D308&lt;=RaporTarihi,E308&gt;RaporTarihi),A308,"")</f>
        <v/>
      </c>
    </row>
    <row r="309">
      <c r="A309" s="22" t="n"/>
      <c r="B309" s="22" t="n"/>
      <c r="C309" s="22" t="n"/>
      <c r="D309" s="23" t="n"/>
      <c r="E309" s="23" t="n"/>
      <c r="F309" s="22" t="n"/>
      <c r="G309" s="24" t="n"/>
      <c r="H309" s="22" t="n"/>
      <c r="I309" s="25">
        <f>IF(AND(ISNUMBER(D309),ISNUMBER(E309)),E309-D309,"")</f>
        <v/>
      </c>
      <c r="J309" s="26">
        <f>IF(AND(ISNUMBER(I309),ISNUMBER(G309)),IF(I309&gt;0,G309/I309,""),"")</f>
        <v/>
      </c>
      <c r="K309" s="25">
        <f>IF(COUNTA(A309:H309)=0,"",IF(OR(A309="",B309="",C309="",D309="",E309="",F309="",G309="",H309=""),"HATA: eksik bilgi",IF(COUNTIF(OdaListesi,A309)=0,"HATA: geçersiz oda no",IF(OR(NOT(ISNUMBER(D309)),NOT(ISNUMBER(E309))),"HATA: tarih geçersiz",IF(E309&lt;=D309,"HATA: çıkış girişten sonra olmalı",IF(OR(NOT(ISNUMBER(C309)),C309&lt;1,C309&gt;MaxKisi,C309&lt;&gt;INT(C309)),"HATA: kişi sayısı geçersiz",IF(OR(NOT(ISNUMBER(G309)),G309&lt;0),"HATA: tutar geçersiz",IF(B309&lt;&gt;TRIM(B309),"HATA: isimde baştaki/sondaki boşluk",IF(COUNTIF(KaynakAralik,H309)=0,"HATA: kaynak listede yok",IF(AND(F309&lt;&gt;"Bekleniyor",F309&lt;&gt;"Geldi",F309&lt;&gt;"İptal"),"HATA: giriş durumu geçersiz",IF(AND(F309&lt;&gt;"İptal",COUNTIFS($A$6:$A$1005,A309,$D$6:$D$1005,"&lt;"&amp;E309,$E$6:$E$1005,"&gt;"&amp;D309,$F$6:$F$1005,"&lt;&gt;İptal")&gt;1),"HATA: oda bu tarihlerde çakışıyor",IF(AND(F309="Bekleniyor",D309&lt;RaporTarihi),"HATA: giriş günü geçti, Geldi veya İptal yapın","OK"))))))))))))</f>
        <v/>
      </c>
      <c r="L309" s="25">
        <f>IF(AND(ISNUMBER(A309),F309&lt;&gt;"İptal",ISNUMBER(D309),ISNUMBER(E309),D309&lt;=RaporTarihi,E309&gt;RaporTarihi),A309,"")</f>
        <v/>
      </c>
    </row>
    <row r="310">
      <c r="A310" s="22" t="n"/>
      <c r="B310" s="22" t="n"/>
      <c r="C310" s="22" t="n"/>
      <c r="D310" s="23" t="n"/>
      <c r="E310" s="23" t="n"/>
      <c r="F310" s="22" t="n"/>
      <c r="G310" s="24" t="n"/>
      <c r="H310" s="22" t="n"/>
      <c r="I310" s="25">
        <f>IF(AND(ISNUMBER(D310),ISNUMBER(E310)),E310-D310,"")</f>
        <v/>
      </c>
      <c r="J310" s="26">
        <f>IF(AND(ISNUMBER(I310),ISNUMBER(G310)),IF(I310&gt;0,G310/I310,""),"")</f>
        <v/>
      </c>
      <c r="K310" s="25">
        <f>IF(COUNTA(A310:H310)=0,"",IF(OR(A310="",B310="",C310="",D310="",E310="",F310="",G310="",H310=""),"HATA: eksik bilgi",IF(COUNTIF(OdaListesi,A310)=0,"HATA: geçersiz oda no",IF(OR(NOT(ISNUMBER(D310)),NOT(ISNUMBER(E310))),"HATA: tarih geçersiz",IF(E310&lt;=D310,"HATA: çıkış girişten sonra olmalı",IF(OR(NOT(ISNUMBER(C310)),C310&lt;1,C310&gt;MaxKisi,C310&lt;&gt;INT(C310)),"HATA: kişi sayısı geçersiz",IF(OR(NOT(ISNUMBER(G310)),G310&lt;0),"HATA: tutar geçersiz",IF(B310&lt;&gt;TRIM(B310),"HATA: isimde baştaki/sondaki boşluk",IF(COUNTIF(KaynakAralik,H310)=0,"HATA: kaynak listede yok",IF(AND(F310&lt;&gt;"Bekleniyor",F310&lt;&gt;"Geldi",F310&lt;&gt;"İptal"),"HATA: giriş durumu geçersiz",IF(AND(F310&lt;&gt;"İptal",COUNTIFS($A$6:$A$1005,A310,$D$6:$D$1005,"&lt;"&amp;E310,$E$6:$E$1005,"&gt;"&amp;D310,$F$6:$F$1005,"&lt;&gt;İptal")&gt;1),"HATA: oda bu tarihlerde çakışıyor",IF(AND(F310="Bekleniyor",D310&lt;RaporTarihi),"HATA: giriş günü geçti, Geldi veya İptal yapın","OK"))))))))))))</f>
        <v/>
      </c>
      <c r="L310" s="25">
        <f>IF(AND(ISNUMBER(A310),F310&lt;&gt;"İptal",ISNUMBER(D310),ISNUMBER(E310),D310&lt;=RaporTarihi,E310&gt;RaporTarihi),A310,"")</f>
        <v/>
      </c>
    </row>
    <row r="311">
      <c r="A311" s="22" t="n"/>
      <c r="B311" s="22" t="n"/>
      <c r="C311" s="22" t="n"/>
      <c r="D311" s="23" t="n"/>
      <c r="E311" s="23" t="n"/>
      <c r="F311" s="22" t="n"/>
      <c r="G311" s="24" t="n"/>
      <c r="H311" s="22" t="n"/>
      <c r="I311" s="25">
        <f>IF(AND(ISNUMBER(D311),ISNUMBER(E311)),E311-D311,"")</f>
        <v/>
      </c>
      <c r="J311" s="26">
        <f>IF(AND(ISNUMBER(I311),ISNUMBER(G311)),IF(I311&gt;0,G311/I311,""),"")</f>
        <v/>
      </c>
      <c r="K311" s="25">
        <f>IF(COUNTA(A311:H311)=0,"",IF(OR(A311="",B311="",C311="",D311="",E311="",F311="",G311="",H311=""),"HATA: eksik bilgi",IF(COUNTIF(OdaListesi,A311)=0,"HATA: geçersiz oda no",IF(OR(NOT(ISNUMBER(D311)),NOT(ISNUMBER(E311))),"HATA: tarih geçersiz",IF(E311&lt;=D311,"HATA: çıkış girişten sonra olmalı",IF(OR(NOT(ISNUMBER(C311)),C311&lt;1,C311&gt;MaxKisi,C311&lt;&gt;INT(C311)),"HATA: kişi sayısı geçersiz",IF(OR(NOT(ISNUMBER(G311)),G311&lt;0),"HATA: tutar geçersiz",IF(B311&lt;&gt;TRIM(B311),"HATA: isimde baştaki/sondaki boşluk",IF(COUNTIF(KaynakAralik,H311)=0,"HATA: kaynak listede yok",IF(AND(F311&lt;&gt;"Bekleniyor",F311&lt;&gt;"Geldi",F311&lt;&gt;"İptal"),"HATA: giriş durumu geçersiz",IF(AND(F311&lt;&gt;"İptal",COUNTIFS($A$6:$A$1005,A311,$D$6:$D$1005,"&lt;"&amp;E311,$E$6:$E$1005,"&gt;"&amp;D311,$F$6:$F$1005,"&lt;&gt;İptal")&gt;1),"HATA: oda bu tarihlerde çakışıyor",IF(AND(F311="Bekleniyor",D311&lt;RaporTarihi),"HATA: giriş günü geçti, Geldi veya İptal yapın","OK"))))))))))))</f>
        <v/>
      </c>
      <c r="L311" s="25">
        <f>IF(AND(ISNUMBER(A311),F311&lt;&gt;"İptal",ISNUMBER(D311),ISNUMBER(E311),D311&lt;=RaporTarihi,E311&gt;RaporTarihi),A311,"")</f>
        <v/>
      </c>
    </row>
    <row r="312">
      <c r="A312" s="22" t="n"/>
      <c r="B312" s="22" t="n"/>
      <c r="C312" s="22" t="n"/>
      <c r="D312" s="23" t="n"/>
      <c r="E312" s="23" t="n"/>
      <c r="F312" s="22" t="n"/>
      <c r="G312" s="24" t="n"/>
      <c r="H312" s="22" t="n"/>
      <c r="I312" s="25">
        <f>IF(AND(ISNUMBER(D312),ISNUMBER(E312)),E312-D312,"")</f>
        <v/>
      </c>
      <c r="J312" s="26">
        <f>IF(AND(ISNUMBER(I312),ISNUMBER(G312)),IF(I312&gt;0,G312/I312,""),"")</f>
        <v/>
      </c>
      <c r="K312" s="25">
        <f>IF(COUNTA(A312:H312)=0,"",IF(OR(A312="",B312="",C312="",D312="",E312="",F312="",G312="",H312=""),"HATA: eksik bilgi",IF(COUNTIF(OdaListesi,A312)=0,"HATA: geçersiz oda no",IF(OR(NOT(ISNUMBER(D312)),NOT(ISNUMBER(E312))),"HATA: tarih geçersiz",IF(E312&lt;=D312,"HATA: çıkış girişten sonra olmalı",IF(OR(NOT(ISNUMBER(C312)),C312&lt;1,C312&gt;MaxKisi,C312&lt;&gt;INT(C312)),"HATA: kişi sayısı geçersiz",IF(OR(NOT(ISNUMBER(G312)),G312&lt;0),"HATA: tutar geçersiz",IF(B312&lt;&gt;TRIM(B312),"HATA: isimde baştaki/sondaki boşluk",IF(COUNTIF(KaynakAralik,H312)=0,"HATA: kaynak listede yok",IF(AND(F312&lt;&gt;"Bekleniyor",F312&lt;&gt;"Geldi",F312&lt;&gt;"İptal"),"HATA: giriş durumu geçersiz",IF(AND(F312&lt;&gt;"İptal",COUNTIFS($A$6:$A$1005,A312,$D$6:$D$1005,"&lt;"&amp;E312,$E$6:$E$1005,"&gt;"&amp;D312,$F$6:$F$1005,"&lt;&gt;İptal")&gt;1),"HATA: oda bu tarihlerde çakışıyor",IF(AND(F312="Bekleniyor",D312&lt;RaporTarihi),"HATA: giriş günü geçti, Geldi veya İptal yapın","OK"))))))))))))</f>
        <v/>
      </c>
      <c r="L312" s="25">
        <f>IF(AND(ISNUMBER(A312),F312&lt;&gt;"İptal",ISNUMBER(D312),ISNUMBER(E312),D312&lt;=RaporTarihi,E312&gt;RaporTarihi),A312,"")</f>
        <v/>
      </c>
    </row>
    <row r="313">
      <c r="A313" s="22" t="n"/>
      <c r="B313" s="22" t="n"/>
      <c r="C313" s="22" t="n"/>
      <c r="D313" s="23" t="n"/>
      <c r="E313" s="23" t="n"/>
      <c r="F313" s="22" t="n"/>
      <c r="G313" s="24" t="n"/>
      <c r="H313" s="22" t="n"/>
      <c r="I313" s="25">
        <f>IF(AND(ISNUMBER(D313),ISNUMBER(E313)),E313-D313,"")</f>
        <v/>
      </c>
      <c r="J313" s="26">
        <f>IF(AND(ISNUMBER(I313),ISNUMBER(G313)),IF(I313&gt;0,G313/I313,""),"")</f>
        <v/>
      </c>
      <c r="K313" s="25">
        <f>IF(COUNTA(A313:H313)=0,"",IF(OR(A313="",B313="",C313="",D313="",E313="",F313="",G313="",H313=""),"HATA: eksik bilgi",IF(COUNTIF(OdaListesi,A313)=0,"HATA: geçersiz oda no",IF(OR(NOT(ISNUMBER(D313)),NOT(ISNUMBER(E313))),"HATA: tarih geçersiz",IF(E313&lt;=D313,"HATA: çıkış girişten sonra olmalı",IF(OR(NOT(ISNUMBER(C313)),C313&lt;1,C313&gt;MaxKisi,C313&lt;&gt;INT(C313)),"HATA: kişi sayısı geçersiz",IF(OR(NOT(ISNUMBER(G313)),G313&lt;0),"HATA: tutar geçersiz",IF(B313&lt;&gt;TRIM(B313),"HATA: isimde baştaki/sondaki boşluk",IF(COUNTIF(KaynakAralik,H313)=0,"HATA: kaynak listede yok",IF(AND(F313&lt;&gt;"Bekleniyor",F313&lt;&gt;"Geldi",F313&lt;&gt;"İptal"),"HATA: giriş durumu geçersiz",IF(AND(F313&lt;&gt;"İptal",COUNTIFS($A$6:$A$1005,A313,$D$6:$D$1005,"&lt;"&amp;E313,$E$6:$E$1005,"&gt;"&amp;D313,$F$6:$F$1005,"&lt;&gt;İptal")&gt;1),"HATA: oda bu tarihlerde çakışıyor",IF(AND(F313="Bekleniyor",D313&lt;RaporTarihi),"HATA: giriş günü geçti, Geldi veya İptal yapın","OK"))))))))))))</f>
        <v/>
      </c>
      <c r="L313" s="25">
        <f>IF(AND(ISNUMBER(A313),F313&lt;&gt;"İptal",ISNUMBER(D313),ISNUMBER(E313),D313&lt;=RaporTarihi,E313&gt;RaporTarihi),A313,"")</f>
        <v/>
      </c>
    </row>
    <row r="314">
      <c r="A314" s="22" t="n"/>
      <c r="B314" s="22" t="n"/>
      <c r="C314" s="22" t="n"/>
      <c r="D314" s="23" t="n"/>
      <c r="E314" s="23" t="n"/>
      <c r="F314" s="22" t="n"/>
      <c r="G314" s="24" t="n"/>
      <c r="H314" s="22" t="n"/>
      <c r="I314" s="25">
        <f>IF(AND(ISNUMBER(D314),ISNUMBER(E314)),E314-D314,"")</f>
        <v/>
      </c>
      <c r="J314" s="26">
        <f>IF(AND(ISNUMBER(I314),ISNUMBER(G314)),IF(I314&gt;0,G314/I314,""),"")</f>
        <v/>
      </c>
      <c r="K314" s="25">
        <f>IF(COUNTA(A314:H314)=0,"",IF(OR(A314="",B314="",C314="",D314="",E314="",F314="",G314="",H314=""),"HATA: eksik bilgi",IF(COUNTIF(OdaListesi,A314)=0,"HATA: geçersiz oda no",IF(OR(NOT(ISNUMBER(D314)),NOT(ISNUMBER(E314))),"HATA: tarih geçersiz",IF(E314&lt;=D314,"HATA: çıkış girişten sonra olmalı",IF(OR(NOT(ISNUMBER(C314)),C314&lt;1,C314&gt;MaxKisi,C314&lt;&gt;INT(C314)),"HATA: kişi sayısı geçersiz",IF(OR(NOT(ISNUMBER(G314)),G314&lt;0),"HATA: tutar geçersiz",IF(B314&lt;&gt;TRIM(B314),"HATA: isimde baştaki/sondaki boşluk",IF(COUNTIF(KaynakAralik,H314)=0,"HATA: kaynak listede yok",IF(AND(F314&lt;&gt;"Bekleniyor",F314&lt;&gt;"Geldi",F314&lt;&gt;"İptal"),"HATA: giriş durumu geçersiz",IF(AND(F314&lt;&gt;"İptal",COUNTIFS($A$6:$A$1005,A314,$D$6:$D$1005,"&lt;"&amp;E314,$E$6:$E$1005,"&gt;"&amp;D314,$F$6:$F$1005,"&lt;&gt;İptal")&gt;1),"HATA: oda bu tarihlerde çakışıyor",IF(AND(F314="Bekleniyor",D314&lt;RaporTarihi),"HATA: giriş günü geçti, Geldi veya İptal yapın","OK"))))))))))))</f>
        <v/>
      </c>
      <c r="L314" s="25">
        <f>IF(AND(ISNUMBER(A314),F314&lt;&gt;"İptal",ISNUMBER(D314),ISNUMBER(E314),D314&lt;=RaporTarihi,E314&gt;RaporTarihi),A314,"")</f>
        <v/>
      </c>
    </row>
    <row r="315">
      <c r="A315" s="22" t="n"/>
      <c r="B315" s="22" t="n"/>
      <c r="C315" s="22" t="n"/>
      <c r="D315" s="23" t="n"/>
      <c r="E315" s="23" t="n"/>
      <c r="F315" s="22" t="n"/>
      <c r="G315" s="24" t="n"/>
      <c r="H315" s="22" t="n"/>
      <c r="I315" s="25">
        <f>IF(AND(ISNUMBER(D315),ISNUMBER(E315)),E315-D315,"")</f>
        <v/>
      </c>
      <c r="J315" s="26">
        <f>IF(AND(ISNUMBER(I315),ISNUMBER(G315)),IF(I315&gt;0,G315/I315,""),"")</f>
        <v/>
      </c>
      <c r="K315" s="25">
        <f>IF(COUNTA(A315:H315)=0,"",IF(OR(A315="",B315="",C315="",D315="",E315="",F315="",G315="",H315=""),"HATA: eksik bilgi",IF(COUNTIF(OdaListesi,A315)=0,"HATA: geçersiz oda no",IF(OR(NOT(ISNUMBER(D315)),NOT(ISNUMBER(E315))),"HATA: tarih geçersiz",IF(E315&lt;=D315,"HATA: çıkış girişten sonra olmalı",IF(OR(NOT(ISNUMBER(C315)),C315&lt;1,C315&gt;MaxKisi,C315&lt;&gt;INT(C315)),"HATA: kişi sayısı geçersiz",IF(OR(NOT(ISNUMBER(G315)),G315&lt;0),"HATA: tutar geçersiz",IF(B315&lt;&gt;TRIM(B315),"HATA: isimde baştaki/sondaki boşluk",IF(COUNTIF(KaynakAralik,H315)=0,"HATA: kaynak listede yok",IF(AND(F315&lt;&gt;"Bekleniyor",F315&lt;&gt;"Geldi",F315&lt;&gt;"İptal"),"HATA: giriş durumu geçersiz",IF(AND(F315&lt;&gt;"İptal",COUNTIFS($A$6:$A$1005,A315,$D$6:$D$1005,"&lt;"&amp;E315,$E$6:$E$1005,"&gt;"&amp;D315,$F$6:$F$1005,"&lt;&gt;İptal")&gt;1),"HATA: oda bu tarihlerde çakışıyor",IF(AND(F315="Bekleniyor",D315&lt;RaporTarihi),"HATA: giriş günü geçti, Geldi veya İptal yapın","OK"))))))))))))</f>
        <v/>
      </c>
      <c r="L315" s="25">
        <f>IF(AND(ISNUMBER(A315),F315&lt;&gt;"İptal",ISNUMBER(D315),ISNUMBER(E315),D315&lt;=RaporTarihi,E315&gt;RaporTarihi),A315,"")</f>
        <v/>
      </c>
    </row>
    <row r="316">
      <c r="A316" s="22" t="n"/>
      <c r="B316" s="22" t="n"/>
      <c r="C316" s="22" t="n"/>
      <c r="D316" s="23" t="n"/>
      <c r="E316" s="23" t="n"/>
      <c r="F316" s="22" t="n"/>
      <c r="G316" s="24" t="n"/>
      <c r="H316" s="22" t="n"/>
      <c r="I316" s="25">
        <f>IF(AND(ISNUMBER(D316),ISNUMBER(E316)),E316-D316,"")</f>
        <v/>
      </c>
      <c r="J316" s="26">
        <f>IF(AND(ISNUMBER(I316),ISNUMBER(G316)),IF(I316&gt;0,G316/I316,""),"")</f>
        <v/>
      </c>
      <c r="K316" s="25">
        <f>IF(COUNTA(A316:H316)=0,"",IF(OR(A316="",B316="",C316="",D316="",E316="",F316="",G316="",H316=""),"HATA: eksik bilgi",IF(COUNTIF(OdaListesi,A316)=0,"HATA: geçersiz oda no",IF(OR(NOT(ISNUMBER(D316)),NOT(ISNUMBER(E316))),"HATA: tarih geçersiz",IF(E316&lt;=D316,"HATA: çıkış girişten sonra olmalı",IF(OR(NOT(ISNUMBER(C316)),C316&lt;1,C316&gt;MaxKisi,C316&lt;&gt;INT(C316)),"HATA: kişi sayısı geçersiz",IF(OR(NOT(ISNUMBER(G316)),G316&lt;0),"HATA: tutar geçersiz",IF(B316&lt;&gt;TRIM(B316),"HATA: isimde baştaki/sondaki boşluk",IF(COUNTIF(KaynakAralik,H316)=0,"HATA: kaynak listede yok",IF(AND(F316&lt;&gt;"Bekleniyor",F316&lt;&gt;"Geldi",F316&lt;&gt;"İptal"),"HATA: giriş durumu geçersiz",IF(AND(F316&lt;&gt;"İptal",COUNTIFS($A$6:$A$1005,A316,$D$6:$D$1005,"&lt;"&amp;E316,$E$6:$E$1005,"&gt;"&amp;D316,$F$6:$F$1005,"&lt;&gt;İptal")&gt;1),"HATA: oda bu tarihlerde çakışıyor",IF(AND(F316="Bekleniyor",D316&lt;RaporTarihi),"HATA: giriş günü geçti, Geldi veya İptal yapın","OK"))))))))))))</f>
        <v/>
      </c>
      <c r="L316" s="25">
        <f>IF(AND(ISNUMBER(A316),F316&lt;&gt;"İptal",ISNUMBER(D316),ISNUMBER(E316),D316&lt;=RaporTarihi,E316&gt;RaporTarihi),A316,"")</f>
        <v/>
      </c>
    </row>
    <row r="317">
      <c r="A317" s="22" t="n"/>
      <c r="B317" s="22" t="n"/>
      <c r="C317" s="22" t="n"/>
      <c r="D317" s="23" t="n"/>
      <c r="E317" s="23" t="n"/>
      <c r="F317" s="22" t="n"/>
      <c r="G317" s="24" t="n"/>
      <c r="H317" s="22" t="n"/>
      <c r="I317" s="25">
        <f>IF(AND(ISNUMBER(D317),ISNUMBER(E317)),E317-D317,"")</f>
        <v/>
      </c>
      <c r="J317" s="26">
        <f>IF(AND(ISNUMBER(I317),ISNUMBER(G317)),IF(I317&gt;0,G317/I317,""),"")</f>
        <v/>
      </c>
      <c r="K317" s="25">
        <f>IF(COUNTA(A317:H317)=0,"",IF(OR(A317="",B317="",C317="",D317="",E317="",F317="",G317="",H317=""),"HATA: eksik bilgi",IF(COUNTIF(OdaListesi,A317)=0,"HATA: geçersiz oda no",IF(OR(NOT(ISNUMBER(D317)),NOT(ISNUMBER(E317))),"HATA: tarih geçersiz",IF(E317&lt;=D317,"HATA: çıkış girişten sonra olmalı",IF(OR(NOT(ISNUMBER(C317)),C317&lt;1,C317&gt;MaxKisi,C317&lt;&gt;INT(C317)),"HATA: kişi sayısı geçersiz",IF(OR(NOT(ISNUMBER(G317)),G317&lt;0),"HATA: tutar geçersiz",IF(B317&lt;&gt;TRIM(B317),"HATA: isimde baştaki/sondaki boşluk",IF(COUNTIF(KaynakAralik,H317)=0,"HATA: kaynak listede yok",IF(AND(F317&lt;&gt;"Bekleniyor",F317&lt;&gt;"Geldi",F317&lt;&gt;"İptal"),"HATA: giriş durumu geçersiz",IF(AND(F317&lt;&gt;"İptal",COUNTIFS($A$6:$A$1005,A317,$D$6:$D$1005,"&lt;"&amp;E317,$E$6:$E$1005,"&gt;"&amp;D317,$F$6:$F$1005,"&lt;&gt;İptal")&gt;1),"HATA: oda bu tarihlerde çakışıyor",IF(AND(F317="Bekleniyor",D317&lt;RaporTarihi),"HATA: giriş günü geçti, Geldi veya İptal yapın","OK"))))))))))))</f>
        <v/>
      </c>
      <c r="L317" s="25">
        <f>IF(AND(ISNUMBER(A317),F317&lt;&gt;"İptal",ISNUMBER(D317),ISNUMBER(E317),D317&lt;=RaporTarihi,E317&gt;RaporTarihi),A317,"")</f>
        <v/>
      </c>
    </row>
    <row r="318">
      <c r="A318" s="22" t="n"/>
      <c r="B318" s="22" t="n"/>
      <c r="C318" s="22" t="n"/>
      <c r="D318" s="23" t="n"/>
      <c r="E318" s="23" t="n"/>
      <c r="F318" s="22" t="n"/>
      <c r="G318" s="24" t="n"/>
      <c r="H318" s="22" t="n"/>
      <c r="I318" s="25">
        <f>IF(AND(ISNUMBER(D318),ISNUMBER(E318)),E318-D318,"")</f>
        <v/>
      </c>
      <c r="J318" s="26">
        <f>IF(AND(ISNUMBER(I318),ISNUMBER(G318)),IF(I318&gt;0,G318/I318,""),"")</f>
        <v/>
      </c>
      <c r="K318" s="25">
        <f>IF(COUNTA(A318:H318)=0,"",IF(OR(A318="",B318="",C318="",D318="",E318="",F318="",G318="",H318=""),"HATA: eksik bilgi",IF(COUNTIF(OdaListesi,A318)=0,"HATA: geçersiz oda no",IF(OR(NOT(ISNUMBER(D318)),NOT(ISNUMBER(E318))),"HATA: tarih geçersiz",IF(E318&lt;=D318,"HATA: çıkış girişten sonra olmalı",IF(OR(NOT(ISNUMBER(C318)),C318&lt;1,C318&gt;MaxKisi,C318&lt;&gt;INT(C318)),"HATA: kişi sayısı geçersiz",IF(OR(NOT(ISNUMBER(G318)),G318&lt;0),"HATA: tutar geçersiz",IF(B318&lt;&gt;TRIM(B318),"HATA: isimde baştaki/sondaki boşluk",IF(COUNTIF(KaynakAralik,H318)=0,"HATA: kaynak listede yok",IF(AND(F318&lt;&gt;"Bekleniyor",F318&lt;&gt;"Geldi",F318&lt;&gt;"İptal"),"HATA: giriş durumu geçersiz",IF(AND(F318&lt;&gt;"İptal",COUNTIFS($A$6:$A$1005,A318,$D$6:$D$1005,"&lt;"&amp;E318,$E$6:$E$1005,"&gt;"&amp;D318,$F$6:$F$1005,"&lt;&gt;İptal")&gt;1),"HATA: oda bu tarihlerde çakışıyor",IF(AND(F318="Bekleniyor",D318&lt;RaporTarihi),"HATA: giriş günü geçti, Geldi veya İptal yapın","OK"))))))))))))</f>
        <v/>
      </c>
      <c r="L318" s="25">
        <f>IF(AND(ISNUMBER(A318),F318&lt;&gt;"İptal",ISNUMBER(D318),ISNUMBER(E318),D318&lt;=RaporTarihi,E318&gt;RaporTarihi),A318,"")</f>
        <v/>
      </c>
    </row>
    <row r="319">
      <c r="A319" s="22" t="n"/>
      <c r="B319" s="22" t="n"/>
      <c r="C319" s="22" t="n"/>
      <c r="D319" s="23" t="n"/>
      <c r="E319" s="23" t="n"/>
      <c r="F319" s="22" t="n"/>
      <c r="G319" s="24" t="n"/>
      <c r="H319" s="22" t="n"/>
      <c r="I319" s="25">
        <f>IF(AND(ISNUMBER(D319),ISNUMBER(E319)),E319-D319,"")</f>
        <v/>
      </c>
      <c r="J319" s="26">
        <f>IF(AND(ISNUMBER(I319),ISNUMBER(G319)),IF(I319&gt;0,G319/I319,""),"")</f>
        <v/>
      </c>
      <c r="K319" s="25">
        <f>IF(COUNTA(A319:H319)=0,"",IF(OR(A319="",B319="",C319="",D319="",E319="",F319="",G319="",H319=""),"HATA: eksik bilgi",IF(COUNTIF(OdaListesi,A319)=0,"HATA: geçersiz oda no",IF(OR(NOT(ISNUMBER(D319)),NOT(ISNUMBER(E319))),"HATA: tarih geçersiz",IF(E319&lt;=D319,"HATA: çıkış girişten sonra olmalı",IF(OR(NOT(ISNUMBER(C319)),C319&lt;1,C319&gt;MaxKisi,C319&lt;&gt;INT(C319)),"HATA: kişi sayısı geçersiz",IF(OR(NOT(ISNUMBER(G319)),G319&lt;0),"HATA: tutar geçersiz",IF(B319&lt;&gt;TRIM(B319),"HATA: isimde baştaki/sondaki boşluk",IF(COUNTIF(KaynakAralik,H319)=0,"HATA: kaynak listede yok",IF(AND(F319&lt;&gt;"Bekleniyor",F319&lt;&gt;"Geldi",F319&lt;&gt;"İptal"),"HATA: giriş durumu geçersiz",IF(AND(F319&lt;&gt;"İptal",COUNTIFS($A$6:$A$1005,A319,$D$6:$D$1005,"&lt;"&amp;E319,$E$6:$E$1005,"&gt;"&amp;D319,$F$6:$F$1005,"&lt;&gt;İptal")&gt;1),"HATA: oda bu tarihlerde çakışıyor",IF(AND(F319="Bekleniyor",D319&lt;RaporTarihi),"HATA: giriş günü geçti, Geldi veya İptal yapın","OK"))))))))))))</f>
        <v/>
      </c>
      <c r="L319" s="25">
        <f>IF(AND(ISNUMBER(A319),F319&lt;&gt;"İptal",ISNUMBER(D319),ISNUMBER(E319),D319&lt;=RaporTarihi,E319&gt;RaporTarihi),A319,"")</f>
        <v/>
      </c>
    </row>
    <row r="320">
      <c r="A320" s="22" t="n"/>
      <c r="B320" s="22" t="n"/>
      <c r="C320" s="22" t="n"/>
      <c r="D320" s="23" t="n"/>
      <c r="E320" s="23" t="n"/>
      <c r="F320" s="22" t="n"/>
      <c r="G320" s="24" t="n"/>
      <c r="H320" s="22" t="n"/>
      <c r="I320" s="25">
        <f>IF(AND(ISNUMBER(D320),ISNUMBER(E320)),E320-D320,"")</f>
        <v/>
      </c>
      <c r="J320" s="26">
        <f>IF(AND(ISNUMBER(I320),ISNUMBER(G320)),IF(I320&gt;0,G320/I320,""),"")</f>
        <v/>
      </c>
      <c r="K320" s="25">
        <f>IF(COUNTA(A320:H320)=0,"",IF(OR(A320="",B320="",C320="",D320="",E320="",F320="",G320="",H320=""),"HATA: eksik bilgi",IF(COUNTIF(OdaListesi,A320)=0,"HATA: geçersiz oda no",IF(OR(NOT(ISNUMBER(D320)),NOT(ISNUMBER(E320))),"HATA: tarih geçersiz",IF(E320&lt;=D320,"HATA: çıkış girişten sonra olmalı",IF(OR(NOT(ISNUMBER(C320)),C320&lt;1,C320&gt;MaxKisi,C320&lt;&gt;INT(C320)),"HATA: kişi sayısı geçersiz",IF(OR(NOT(ISNUMBER(G320)),G320&lt;0),"HATA: tutar geçersiz",IF(B320&lt;&gt;TRIM(B320),"HATA: isimde baştaki/sondaki boşluk",IF(COUNTIF(KaynakAralik,H320)=0,"HATA: kaynak listede yok",IF(AND(F320&lt;&gt;"Bekleniyor",F320&lt;&gt;"Geldi",F320&lt;&gt;"İptal"),"HATA: giriş durumu geçersiz",IF(AND(F320&lt;&gt;"İptal",COUNTIFS($A$6:$A$1005,A320,$D$6:$D$1005,"&lt;"&amp;E320,$E$6:$E$1005,"&gt;"&amp;D320,$F$6:$F$1005,"&lt;&gt;İptal")&gt;1),"HATA: oda bu tarihlerde çakışıyor",IF(AND(F320="Bekleniyor",D320&lt;RaporTarihi),"HATA: giriş günü geçti, Geldi veya İptal yapın","OK"))))))))))))</f>
        <v/>
      </c>
      <c r="L320" s="25">
        <f>IF(AND(ISNUMBER(A320),F320&lt;&gt;"İptal",ISNUMBER(D320),ISNUMBER(E320),D320&lt;=RaporTarihi,E320&gt;RaporTarihi),A320,"")</f>
        <v/>
      </c>
    </row>
    <row r="321">
      <c r="A321" s="22" t="n"/>
      <c r="B321" s="22" t="n"/>
      <c r="C321" s="22" t="n"/>
      <c r="D321" s="23" t="n"/>
      <c r="E321" s="23" t="n"/>
      <c r="F321" s="22" t="n"/>
      <c r="G321" s="24" t="n"/>
      <c r="H321" s="22" t="n"/>
      <c r="I321" s="25">
        <f>IF(AND(ISNUMBER(D321),ISNUMBER(E321)),E321-D321,"")</f>
        <v/>
      </c>
      <c r="J321" s="26">
        <f>IF(AND(ISNUMBER(I321),ISNUMBER(G321)),IF(I321&gt;0,G321/I321,""),"")</f>
        <v/>
      </c>
      <c r="K321" s="25">
        <f>IF(COUNTA(A321:H321)=0,"",IF(OR(A321="",B321="",C321="",D321="",E321="",F321="",G321="",H321=""),"HATA: eksik bilgi",IF(COUNTIF(OdaListesi,A321)=0,"HATA: geçersiz oda no",IF(OR(NOT(ISNUMBER(D321)),NOT(ISNUMBER(E321))),"HATA: tarih geçersiz",IF(E321&lt;=D321,"HATA: çıkış girişten sonra olmalı",IF(OR(NOT(ISNUMBER(C321)),C321&lt;1,C321&gt;MaxKisi,C321&lt;&gt;INT(C321)),"HATA: kişi sayısı geçersiz",IF(OR(NOT(ISNUMBER(G321)),G321&lt;0),"HATA: tutar geçersiz",IF(B321&lt;&gt;TRIM(B321),"HATA: isimde baştaki/sondaki boşluk",IF(COUNTIF(KaynakAralik,H321)=0,"HATA: kaynak listede yok",IF(AND(F321&lt;&gt;"Bekleniyor",F321&lt;&gt;"Geldi",F321&lt;&gt;"İptal"),"HATA: giriş durumu geçersiz",IF(AND(F321&lt;&gt;"İptal",COUNTIFS($A$6:$A$1005,A321,$D$6:$D$1005,"&lt;"&amp;E321,$E$6:$E$1005,"&gt;"&amp;D321,$F$6:$F$1005,"&lt;&gt;İptal")&gt;1),"HATA: oda bu tarihlerde çakışıyor",IF(AND(F321="Bekleniyor",D321&lt;RaporTarihi),"HATA: giriş günü geçti, Geldi veya İptal yapın","OK"))))))))))))</f>
        <v/>
      </c>
      <c r="L321" s="25">
        <f>IF(AND(ISNUMBER(A321),F321&lt;&gt;"İptal",ISNUMBER(D321),ISNUMBER(E321),D321&lt;=RaporTarihi,E321&gt;RaporTarihi),A321,"")</f>
        <v/>
      </c>
    </row>
    <row r="322">
      <c r="A322" s="22" t="n"/>
      <c r="B322" s="22" t="n"/>
      <c r="C322" s="22" t="n"/>
      <c r="D322" s="23" t="n"/>
      <c r="E322" s="23" t="n"/>
      <c r="F322" s="22" t="n"/>
      <c r="G322" s="24" t="n"/>
      <c r="H322" s="22" t="n"/>
      <c r="I322" s="25">
        <f>IF(AND(ISNUMBER(D322),ISNUMBER(E322)),E322-D322,"")</f>
        <v/>
      </c>
      <c r="J322" s="26">
        <f>IF(AND(ISNUMBER(I322),ISNUMBER(G322)),IF(I322&gt;0,G322/I322,""),"")</f>
        <v/>
      </c>
      <c r="K322" s="25">
        <f>IF(COUNTA(A322:H322)=0,"",IF(OR(A322="",B322="",C322="",D322="",E322="",F322="",G322="",H322=""),"HATA: eksik bilgi",IF(COUNTIF(OdaListesi,A322)=0,"HATA: geçersiz oda no",IF(OR(NOT(ISNUMBER(D322)),NOT(ISNUMBER(E322))),"HATA: tarih geçersiz",IF(E322&lt;=D322,"HATA: çıkış girişten sonra olmalı",IF(OR(NOT(ISNUMBER(C322)),C322&lt;1,C322&gt;MaxKisi,C322&lt;&gt;INT(C322)),"HATA: kişi sayısı geçersiz",IF(OR(NOT(ISNUMBER(G322)),G322&lt;0),"HATA: tutar geçersiz",IF(B322&lt;&gt;TRIM(B322),"HATA: isimde baştaki/sondaki boşluk",IF(COUNTIF(KaynakAralik,H322)=0,"HATA: kaynak listede yok",IF(AND(F322&lt;&gt;"Bekleniyor",F322&lt;&gt;"Geldi",F322&lt;&gt;"İptal"),"HATA: giriş durumu geçersiz",IF(AND(F322&lt;&gt;"İptal",COUNTIFS($A$6:$A$1005,A322,$D$6:$D$1005,"&lt;"&amp;E322,$E$6:$E$1005,"&gt;"&amp;D322,$F$6:$F$1005,"&lt;&gt;İptal")&gt;1),"HATA: oda bu tarihlerde çakışıyor",IF(AND(F322="Bekleniyor",D322&lt;RaporTarihi),"HATA: giriş günü geçti, Geldi veya İptal yapın","OK"))))))))))))</f>
        <v/>
      </c>
      <c r="L322" s="25">
        <f>IF(AND(ISNUMBER(A322),F322&lt;&gt;"İptal",ISNUMBER(D322),ISNUMBER(E322),D322&lt;=RaporTarihi,E322&gt;RaporTarihi),A322,"")</f>
        <v/>
      </c>
    </row>
    <row r="323">
      <c r="A323" s="22" t="n"/>
      <c r="B323" s="22" t="n"/>
      <c r="C323" s="22" t="n"/>
      <c r="D323" s="23" t="n"/>
      <c r="E323" s="23" t="n"/>
      <c r="F323" s="22" t="n"/>
      <c r="G323" s="24" t="n"/>
      <c r="H323" s="22" t="n"/>
      <c r="I323" s="25">
        <f>IF(AND(ISNUMBER(D323),ISNUMBER(E323)),E323-D323,"")</f>
        <v/>
      </c>
      <c r="J323" s="26">
        <f>IF(AND(ISNUMBER(I323),ISNUMBER(G323)),IF(I323&gt;0,G323/I323,""),"")</f>
        <v/>
      </c>
      <c r="K323" s="25">
        <f>IF(COUNTA(A323:H323)=0,"",IF(OR(A323="",B323="",C323="",D323="",E323="",F323="",G323="",H323=""),"HATA: eksik bilgi",IF(COUNTIF(OdaListesi,A323)=0,"HATA: geçersiz oda no",IF(OR(NOT(ISNUMBER(D323)),NOT(ISNUMBER(E323))),"HATA: tarih geçersiz",IF(E323&lt;=D323,"HATA: çıkış girişten sonra olmalı",IF(OR(NOT(ISNUMBER(C323)),C323&lt;1,C323&gt;MaxKisi,C323&lt;&gt;INT(C323)),"HATA: kişi sayısı geçersiz",IF(OR(NOT(ISNUMBER(G323)),G323&lt;0),"HATA: tutar geçersiz",IF(B323&lt;&gt;TRIM(B323),"HATA: isimde baştaki/sondaki boşluk",IF(COUNTIF(KaynakAralik,H323)=0,"HATA: kaynak listede yok",IF(AND(F323&lt;&gt;"Bekleniyor",F323&lt;&gt;"Geldi",F323&lt;&gt;"İptal"),"HATA: giriş durumu geçersiz",IF(AND(F323&lt;&gt;"İptal",COUNTIFS($A$6:$A$1005,A323,$D$6:$D$1005,"&lt;"&amp;E323,$E$6:$E$1005,"&gt;"&amp;D323,$F$6:$F$1005,"&lt;&gt;İptal")&gt;1),"HATA: oda bu tarihlerde çakışıyor",IF(AND(F323="Bekleniyor",D323&lt;RaporTarihi),"HATA: giriş günü geçti, Geldi veya İptal yapın","OK"))))))))))))</f>
        <v/>
      </c>
      <c r="L323" s="25">
        <f>IF(AND(ISNUMBER(A323),F323&lt;&gt;"İptal",ISNUMBER(D323),ISNUMBER(E323),D323&lt;=RaporTarihi,E323&gt;RaporTarihi),A323,"")</f>
        <v/>
      </c>
    </row>
    <row r="324">
      <c r="A324" s="22" t="n"/>
      <c r="B324" s="22" t="n"/>
      <c r="C324" s="22" t="n"/>
      <c r="D324" s="23" t="n"/>
      <c r="E324" s="23" t="n"/>
      <c r="F324" s="22" t="n"/>
      <c r="G324" s="24" t="n"/>
      <c r="H324" s="22" t="n"/>
      <c r="I324" s="25">
        <f>IF(AND(ISNUMBER(D324),ISNUMBER(E324)),E324-D324,"")</f>
        <v/>
      </c>
      <c r="J324" s="26">
        <f>IF(AND(ISNUMBER(I324),ISNUMBER(G324)),IF(I324&gt;0,G324/I324,""),"")</f>
        <v/>
      </c>
      <c r="K324" s="25">
        <f>IF(COUNTA(A324:H324)=0,"",IF(OR(A324="",B324="",C324="",D324="",E324="",F324="",G324="",H324=""),"HATA: eksik bilgi",IF(COUNTIF(OdaListesi,A324)=0,"HATA: geçersiz oda no",IF(OR(NOT(ISNUMBER(D324)),NOT(ISNUMBER(E324))),"HATA: tarih geçersiz",IF(E324&lt;=D324,"HATA: çıkış girişten sonra olmalı",IF(OR(NOT(ISNUMBER(C324)),C324&lt;1,C324&gt;MaxKisi,C324&lt;&gt;INT(C324)),"HATA: kişi sayısı geçersiz",IF(OR(NOT(ISNUMBER(G324)),G324&lt;0),"HATA: tutar geçersiz",IF(B324&lt;&gt;TRIM(B324),"HATA: isimde baştaki/sondaki boşluk",IF(COUNTIF(KaynakAralik,H324)=0,"HATA: kaynak listede yok",IF(AND(F324&lt;&gt;"Bekleniyor",F324&lt;&gt;"Geldi",F324&lt;&gt;"İptal"),"HATA: giriş durumu geçersiz",IF(AND(F324&lt;&gt;"İptal",COUNTIFS($A$6:$A$1005,A324,$D$6:$D$1005,"&lt;"&amp;E324,$E$6:$E$1005,"&gt;"&amp;D324,$F$6:$F$1005,"&lt;&gt;İptal")&gt;1),"HATA: oda bu tarihlerde çakışıyor",IF(AND(F324="Bekleniyor",D324&lt;RaporTarihi),"HATA: giriş günü geçti, Geldi veya İptal yapın","OK"))))))))))))</f>
        <v/>
      </c>
      <c r="L324" s="25">
        <f>IF(AND(ISNUMBER(A324),F324&lt;&gt;"İptal",ISNUMBER(D324),ISNUMBER(E324),D324&lt;=RaporTarihi,E324&gt;RaporTarihi),A324,"")</f>
        <v/>
      </c>
    </row>
    <row r="325">
      <c r="A325" s="22" t="n"/>
      <c r="B325" s="22" t="n"/>
      <c r="C325" s="22" t="n"/>
      <c r="D325" s="23" t="n"/>
      <c r="E325" s="23" t="n"/>
      <c r="F325" s="22" t="n"/>
      <c r="G325" s="24" t="n"/>
      <c r="H325" s="22" t="n"/>
      <c r="I325" s="25">
        <f>IF(AND(ISNUMBER(D325),ISNUMBER(E325)),E325-D325,"")</f>
        <v/>
      </c>
      <c r="J325" s="26">
        <f>IF(AND(ISNUMBER(I325),ISNUMBER(G325)),IF(I325&gt;0,G325/I325,""),"")</f>
        <v/>
      </c>
      <c r="K325" s="25">
        <f>IF(COUNTA(A325:H325)=0,"",IF(OR(A325="",B325="",C325="",D325="",E325="",F325="",G325="",H325=""),"HATA: eksik bilgi",IF(COUNTIF(OdaListesi,A325)=0,"HATA: geçersiz oda no",IF(OR(NOT(ISNUMBER(D325)),NOT(ISNUMBER(E325))),"HATA: tarih geçersiz",IF(E325&lt;=D325,"HATA: çıkış girişten sonra olmalı",IF(OR(NOT(ISNUMBER(C325)),C325&lt;1,C325&gt;MaxKisi,C325&lt;&gt;INT(C325)),"HATA: kişi sayısı geçersiz",IF(OR(NOT(ISNUMBER(G325)),G325&lt;0),"HATA: tutar geçersiz",IF(B325&lt;&gt;TRIM(B325),"HATA: isimde baştaki/sondaki boşluk",IF(COUNTIF(KaynakAralik,H325)=0,"HATA: kaynak listede yok",IF(AND(F325&lt;&gt;"Bekleniyor",F325&lt;&gt;"Geldi",F325&lt;&gt;"İptal"),"HATA: giriş durumu geçersiz",IF(AND(F325&lt;&gt;"İptal",COUNTIFS($A$6:$A$1005,A325,$D$6:$D$1005,"&lt;"&amp;E325,$E$6:$E$1005,"&gt;"&amp;D325,$F$6:$F$1005,"&lt;&gt;İptal")&gt;1),"HATA: oda bu tarihlerde çakışıyor",IF(AND(F325="Bekleniyor",D325&lt;RaporTarihi),"HATA: giriş günü geçti, Geldi veya İptal yapın","OK"))))))))))))</f>
        <v/>
      </c>
      <c r="L325" s="25">
        <f>IF(AND(ISNUMBER(A325),F325&lt;&gt;"İptal",ISNUMBER(D325),ISNUMBER(E325),D325&lt;=RaporTarihi,E325&gt;RaporTarihi),A325,"")</f>
        <v/>
      </c>
    </row>
    <row r="326">
      <c r="A326" s="22" t="n"/>
      <c r="B326" s="22" t="n"/>
      <c r="C326" s="22" t="n"/>
      <c r="D326" s="23" t="n"/>
      <c r="E326" s="23" t="n"/>
      <c r="F326" s="22" t="n"/>
      <c r="G326" s="24" t="n"/>
      <c r="H326" s="22" t="n"/>
      <c r="I326" s="25">
        <f>IF(AND(ISNUMBER(D326),ISNUMBER(E326)),E326-D326,"")</f>
        <v/>
      </c>
      <c r="J326" s="26">
        <f>IF(AND(ISNUMBER(I326),ISNUMBER(G326)),IF(I326&gt;0,G326/I326,""),"")</f>
        <v/>
      </c>
      <c r="K326" s="25">
        <f>IF(COUNTA(A326:H326)=0,"",IF(OR(A326="",B326="",C326="",D326="",E326="",F326="",G326="",H326=""),"HATA: eksik bilgi",IF(COUNTIF(OdaListesi,A326)=0,"HATA: geçersiz oda no",IF(OR(NOT(ISNUMBER(D326)),NOT(ISNUMBER(E326))),"HATA: tarih geçersiz",IF(E326&lt;=D326,"HATA: çıkış girişten sonra olmalı",IF(OR(NOT(ISNUMBER(C326)),C326&lt;1,C326&gt;MaxKisi,C326&lt;&gt;INT(C326)),"HATA: kişi sayısı geçersiz",IF(OR(NOT(ISNUMBER(G326)),G326&lt;0),"HATA: tutar geçersiz",IF(B326&lt;&gt;TRIM(B326),"HATA: isimde baştaki/sondaki boşluk",IF(COUNTIF(KaynakAralik,H326)=0,"HATA: kaynak listede yok",IF(AND(F326&lt;&gt;"Bekleniyor",F326&lt;&gt;"Geldi",F326&lt;&gt;"İptal"),"HATA: giriş durumu geçersiz",IF(AND(F326&lt;&gt;"İptal",COUNTIFS($A$6:$A$1005,A326,$D$6:$D$1005,"&lt;"&amp;E326,$E$6:$E$1005,"&gt;"&amp;D326,$F$6:$F$1005,"&lt;&gt;İptal")&gt;1),"HATA: oda bu tarihlerde çakışıyor",IF(AND(F326="Bekleniyor",D326&lt;RaporTarihi),"HATA: giriş günü geçti, Geldi veya İptal yapın","OK"))))))))))))</f>
        <v/>
      </c>
      <c r="L326" s="25">
        <f>IF(AND(ISNUMBER(A326),F326&lt;&gt;"İptal",ISNUMBER(D326),ISNUMBER(E326),D326&lt;=RaporTarihi,E326&gt;RaporTarihi),A326,"")</f>
        <v/>
      </c>
    </row>
    <row r="327">
      <c r="A327" s="22" t="n"/>
      <c r="B327" s="22" t="n"/>
      <c r="C327" s="22" t="n"/>
      <c r="D327" s="23" t="n"/>
      <c r="E327" s="23" t="n"/>
      <c r="F327" s="22" t="n"/>
      <c r="G327" s="24" t="n"/>
      <c r="H327" s="22" t="n"/>
      <c r="I327" s="25">
        <f>IF(AND(ISNUMBER(D327),ISNUMBER(E327)),E327-D327,"")</f>
        <v/>
      </c>
      <c r="J327" s="26">
        <f>IF(AND(ISNUMBER(I327),ISNUMBER(G327)),IF(I327&gt;0,G327/I327,""),"")</f>
        <v/>
      </c>
      <c r="K327" s="25">
        <f>IF(COUNTA(A327:H327)=0,"",IF(OR(A327="",B327="",C327="",D327="",E327="",F327="",G327="",H327=""),"HATA: eksik bilgi",IF(COUNTIF(OdaListesi,A327)=0,"HATA: geçersiz oda no",IF(OR(NOT(ISNUMBER(D327)),NOT(ISNUMBER(E327))),"HATA: tarih geçersiz",IF(E327&lt;=D327,"HATA: çıkış girişten sonra olmalı",IF(OR(NOT(ISNUMBER(C327)),C327&lt;1,C327&gt;MaxKisi,C327&lt;&gt;INT(C327)),"HATA: kişi sayısı geçersiz",IF(OR(NOT(ISNUMBER(G327)),G327&lt;0),"HATA: tutar geçersiz",IF(B327&lt;&gt;TRIM(B327),"HATA: isimde baştaki/sondaki boşluk",IF(COUNTIF(KaynakAralik,H327)=0,"HATA: kaynak listede yok",IF(AND(F327&lt;&gt;"Bekleniyor",F327&lt;&gt;"Geldi",F327&lt;&gt;"İptal"),"HATA: giriş durumu geçersiz",IF(AND(F327&lt;&gt;"İptal",COUNTIFS($A$6:$A$1005,A327,$D$6:$D$1005,"&lt;"&amp;E327,$E$6:$E$1005,"&gt;"&amp;D327,$F$6:$F$1005,"&lt;&gt;İptal")&gt;1),"HATA: oda bu tarihlerde çakışıyor",IF(AND(F327="Bekleniyor",D327&lt;RaporTarihi),"HATA: giriş günü geçti, Geldi veya İptal yapın","OK"))))))))))))</f>
        <v/>
      </c>
      <c r="L327" s="25">
        <f>IF(AND(ISNUMBER(A327),F327&lt;&gt;"İptal",ISNUMBER(D327),ISNUMBER(E327),D327&lt;=RaporTarihi,E327&gt;RaporTarihi),A327,"")</f>
        <v/>
      </c>
    </row>
    <row r="328">
      <c r="A328" s="22" t="n"/>
      <c r="B328" s="22" t="n"/>
      <c r="C328" s="22" t="n"/>
      <c r="D328" s="23" t="n"/>
      <c r="E328" s="23" t="n"/>
      <c r="F328" s="22" t="n"/>
      <c r="G328" s="24" t="n"/>
      <c r="H328" s="22" t="n"/>
      <c r="I328" s="25">
        <f>IF(AND(ISNUMBER(D328),ISNUMBER(E328)),E328-D328,"")</f>
        <v/>
      </c>
      <c r="J328" s="26">
        <f>IF(AND(ISNUMBER(I328),ISNUMBER(G328)),IF(I328&gt;0,G328/I328,""),"")</f>
        <v/>
      </c>
      <c r="K328" s="25">
        <f>IF(COUNTA(A328:H328)=0,"",IF(OR(A328="",B328="",C328="",D328="",E328="",F328="",G328="",H328=""),"HATA: eksik bilgi",IF(COUNTIF(OdaListesi,A328)=0,"HATA: geçersiz oda no",IF(OR(NOT(ISNUMBER(D328)),NOT(ISNUMBER(E328))),"HATA: tarih geçersiz",IF(E328&lt;=D328,"HATA: çıkış girişten sonra olmalı",IF(OR(NOT(ISNUMBER(C328)),C328&lt;1,C328&gt;MaxKisi,C328&lt;&gt;INT(C328)),"HATA: kişi sayısı geçersiz",IF(OR(NOT(ISNUMBER(G328)),G328&lt;0),"HATA: tutar geçersiz",IF(B328&lt;&gt;TRIM(B328),"HATA: isimde baştaki/sondaki boşluk",IF(COUNTIF(KaynakAralik,H328)=0,"HATA: kaynak listede yok",IF(AND(F328&lt;&gt;"Bekleniyor",F328&lt;&gt;"Geldi",F328&lt;&gt;"İptal"),"HATA: giriş durumu geçersiz",IF(AND(F328&lt;&gt;"İptal",COUNTIFS($A$6:$A$1005,A328,$D$6:$D$1005,"&lt;"&amp;E328,$E$6:$E$1005,"&gt;"&amp;D328,$F$6:$F$1005,"&lt;&gt;İptal")&gt;1),"HATA: oda bu tarihlerde çakışıyor",IF(AND(F328="Bekleniyor",D328&lt;RaporTarihi),"HATA: giriş günü geçti, Geldi veya İptal yapın","OK"))))))))))))</f>
        <v/>
      </c>
      <c r="L328" s="25">
        <f>IF(AND(ISNUMBER(A328),F328&lt;&gt;"İptal",ISNUMBER(D328),ISNUMBER(E328),D328&lt;=RaporTarihi,E328&gt;RaporTarihi),A328,"")</f>
        <v/>
      </c>
    </row>
    <row r="329">
      <c r="A329" s="22" t="n"/>
      <c r="B329" s="22" t="n"/>
      <c r="C329" s="22" t="n"/>
      <c r="D329" s="23" t="n"/>
      <c r="E329" s="23" t="n"/>
      <c r="F329" s="22" t="n"/>
      <c r="G329" s="24" t="n"/>
      <c r="H329" s="22" t="n"/>
      <c r="I329" s="25">
        <f>IF(AND(ISNUMBER(D329),ISNUMBER(E329)),E329-D329,"")</f>
        <v/>
      </c>
      <c r="J329" s="26">
        <f>IF(AND(ISNUMBER(I329),ISNUMBER(G329)),IF(I329&gt;0,G329/I329,""),"")</f>
        <v/>
      </c>
      <c r="K329" s="25">
        <f>IF(COUNTA(A329:H329)=0,"",IF(OR(A329="",B329="",C329="",D329="",E329="",F329="",G329="",H329=""),"HATA: eksik bilgi",IF(COUNTIF(OdaListesi,A329)=0,"HATA: geçersiz oda no",IF(OR(NOT(ISNUMBER(D329)),NOT(ISNUMBER(E329))),"HATA: tarih geçersiz",IF(E329&lt;=D329,"HATA: çıkış girişten sonra olmalı",IF(OR(NOT(ISNUMBER(C329)),C329&lt;1,C329&gt;MaxKisi,C329&lt;&gt;INT(C329)),"HATA: kişi sayısı geçersiz",IF(OR(NOT(ISNUMBER(G329)),G329&lt;0),"HATA: tutar geçersiz",IF(B329&lt;&gt;TRIM(B329),"HATA: isimde baştaki/sondaki boşluk",IF(COUNTIF(KaynakAralik,H329)=0,"HATA: kaynak listede yok",IF(AND(F329&lt;&gt;"Bekleniyor",F329&lt;&gt;"Geldi",F329&lt;&gt;"İptal"),"HATA: giriş durumu geçersiz",IF(AND(F329&lt;&gt;"İptal",COUNTIFS($A$6:$A$1005,A329,$D$6:$D$1005,"&lt;"&amp;E329,$E$6:$E$1005,"&gt;"&amp;D329,$F$6:$F$1005,"&lt;&gt;İptal")&gt;1),"HATA: oda bu tarihlerde çakışıyor",IF(AND(F329="Bekleniyor",D329&lt;RaporTarihi),"HATA: giriş günü geçti, Geldi veya İptal yapın","OK"))))))))))))</f>
        <v/>
      </c>
      <c r="L329" s="25">
        <f>IF(AND(ISNUMBER(A329),F329&lt;&gt;"İptal",ISNUMBER(D329),ISNUMBER(E329),D329&lt;=RaporTarihi,E329&gt;RaporTarihi),A329,"")</f>
        <v/>
      </c>
    </row>
    <row r="330">
      <c r="A330" s="22" t="n"/>
      <c r="B330" s="22" t="n"/>
      <c r="C330" s="22" t="n"/>
      <c r="D330" s="23" t="n"/>
      <c r="E330" s="23" t="n"/>
      <c r="F330" s="22" t="n"/>
      <c r="G330" s="24" t="n"/>
      <c r="H330" s="22" t="n"/>
      <c r="I330" s="25">
        <f>IF(AND(ISNUMBER(D330),ISNUMBER(E330)),E330-D330,"")</f>
        <v/>
      </c>
      <c r="J330" s="26">
        <f>IF(AND(ISNUMBER(I330),ISNUMBER(G330)),IF(I330&gt;0,G330/I330,""),"")</f>
        <v/>
      </c>
      <c r="K330" s="25">
        <f>IF(COUNTA(A330:H330)=0,"",IF(OR(A330="",B330="",C330="",D330="",E330="",F330="",G330="",H330=""),"HATA: eksik bilgi",IF(COUNTIF(OdaListesi,A330)=0,"HATA: geçersiz oda no",IF(OR(NOT(ISNUMBER(D330)),NOT(ISNUMBER(E330))),"HATA: tarih geçersiz",IF(E330&lt;=D330,"HATA: çıkış girişten sonra olmalı",IF(OR(NOT(ISNUMBER(C330)),C330&lt;1,C330&gt;MaxKisi,C330&lt;&gt;INT(C330)),"HATA: kişi sayısı geçersiz",IF(OR(NOT(ISNUMBER(G330)),G330&lt;0),"HATA: tutar geçersiz",IF(B330&lt;&gt;TRIM(B330),"HATA: isimde baştaki/sondaki boşluk",IF(COUNTIF(KaynakAralik,H330)=0,"HATA: kaynak listede yok",IF(AND(F330&lt;&gt;"Bekleniyor",F330&lt;&gt;"Geldi",F330&lt;&gt;"İptal"),"HATA: giriş durumu geçersiz",IF(AND(F330&lt;&gt;"İptal",COUNTIFS($A$6:$A$1005,A330,$D$6:$D$1005,"&lt;"&amp;E330,$E$6:$E$1005,"&gt;"&amp;D330,$F$6:$F$1005,"&lt;&gt;İptal")&gt;1),"HATA: oda bu tarihlerde çakışıyor",IF(AND(F330="Bekleniyor",D330&lt;RaporTarihi),"HATA: giriş günü geçti, Geldi veya İptal yapın","OK"))))))))))))</f>
        <v/>
      </c>
      <c r="L330" s="25">
        <f>IF(AND(ISNUMBER(A330),F330&lt;&gt;"İptal",ISNUMBER(D330),ISNUMBER(E330),D330&lt;=RaporTarihi,E330&gt;RaporTarihi),A330,"")</f>
        <v/>
      </c>
    </row>
    <row r="331">
      <c r="A331" s="22" t="n"/>
      <c r="B331" s="22" t="n"/>
      <c r="C331" s="22" t="n"/>
      <c r="D331" s="23" t="n"/>
      <c r="E331" s="23" t="n"/>
      <c r="F331" s="22" t="n"/>
      <c r="G331" s="24" t="n"/>
      <c r="H331" s="22" t="n"/>
      <c r="I331" s="25">
        <f>IF(AND(ISNUMBER(D331),ISNUMBER(E331)),E331-D331,"")</f>
        <v/>
      </c>
      <c r="J331" s="26">
        <f>IF(AND(ISNUMBER(I331),ISNUMBER(G331)),IF(I331&gt;0,G331/I331,""),"")</f>
        <v/>
      </c>
      <c r="K331" s="25">
        <f>IF(COUNTA(A331:H331)=0,"",IF(OR(A331="",B331="",C331="",D331="",E331="",F331="",G331="",H331=""),"HATA: eksik bilgi",IF(COUNTIF(OdaListesi,A331)=0,"HATA: geçersiz oda no",IF(OR(NOT(ISNUMBER(D331)),NOT(ISNUMBER(E331))),"HATA: tarih geçersiz",IF(E331&lt;=D331,"HATA: çıkış girişten sonra olmalı",IF(OR(NOT(ISNUMBER(C331)),C331&lt;1,C331&gt;MaxKisi,C331&lt;&gt;INT(C331)),"HATA: kişi sayısı geçersiz",IF(OR(NOT(ISNUMBER(G331)),G331&lt;0),"HATA: tutar geçersiz",IF(B331&lt;&gt;TRIM(B331),"HATA: isimde baştaki/sondaki boşluk",IF(COUNTIF(KaynakAralik,H331)=0,"HATA: kaynak listede yok",IF(AND(F331&lt;&gt;"Bekleniyor",F331&lt;&gt;"Geldi",F331&lt;&gt;"İptal"),"HATA: giriş durumu geçersiz",IF(AND(F331&lt;&gt;"İptal",COUNTIFS($A$6:$A$1005,A331,$D$6:$D$1005,"&lt;"&amp;E331,$E$6:$E$1005,"&gt;"&amp;D331,$F$6:$F$1005,"&lt;&gt;İptal")&gt;1),"HATA: oda bu tarihlerde çakışıyor",IF(AND(F331="Bekleniyor",D331&lt;RaporTarihi),"HATA: giriş günü geçti, Geldi veya İptal yapın","OK"))))))))))))</f>
        <v/>
      </c>
      <c r="L331" s="25">
        <f>IF(AND(ISNUMBER(A331),F331&lt;&gt;"İptal",ISNUMBER(D331),ISNUMBER(E331),D331&lt;=RaporTarihi,E331&gt;RaporTarihi),A331,"")</f>
        <v/>
      </c>
    </row>
    <row r="332">
      <c r="A332" s="22" t="n"/>
      <c r="B332" s="22" t="n"/>
      <c r="C332" s="22" t="n"/>
      <c r="D332" s="23" t="n"/>
      <c r="E332" s="23" t="n"/>
      <c r="F332" s="22" t="n"/>
      <c r="G332" s="24" t="n"/>
      <c r="H332" s="22" t="n"/>
      <c r="I332" s="25">
        <f>IF(AND(ISNUMBER(D332),ISNUMBER(E332)),E332-D332,"")</f>
        <v/>
      </c>
      <c r="J332" s="26">
        <f>IF(AND(ISNUMBER(I332),ISNUMBER(G332)),IF(I332&gt;0,G332/I332,""),"")</f>
        <v/>
      </c>
      <c r="K332" s="25">
        <f>IF(COUNTA(A332:H332)=0,"",IF(OR(A332="",B332="",C332="",D332="",E332="",F332="",G332="",H332=""),"HATA: eksik bilgi",IF(COUNTIF(OdaListesi,A332)=0,"HATA: geçersiz oda no",IF(OR(NOT(ISNUMBER(D332)),NOT(ISNUMBER(E332))),"HATA: tarih geçersiz",IF(E332&lt;=D332,"HATA: çıkış girişten sonra olmalı",IF(OR(NOT(ISNUMBER(C332)),C332&lt;1,C332&gt;MaxKisi,C332&lt;&gt;INT(C332)),"HATA: kişi sayısı geçersiz",IF(OR(NOT(ISNUMBER(G332)),G332&lt;0),"HATA: tutar geçersiz",IF(B332&lt;&gt;TRIM(B332),"HATA: isimde baştaki/sondaki boşluk",IF(COUNTIF(KaynakAralik,H332)=0,"HATA: kaynak listede yok",IF(AND(F332&lt;&gt;"Bekleniyor",F332&lt;&gt;"Geldi",F332&lt;&gt;"İptal"),"HATA: giriş durumu geçersiz",IF(AND(F332&lt;&gt;"İptal",COUNTIFS($A$6:$A$1005,A332,$D$6:$D$1005,"&lt;"&amp;E332,$E$6:$E$1005,"&gt;"&amp;D332,$F$6:$F$1005,"&lt;&gt;İptal")&gt;1),"HATA: oda bu tarihlerde çakışıyor",IF(AND(F332="Bekleniyor",D332&lt;RaporTarihi),"HATA: giriş günü geçti, Geldi veya İptal yapın","OK"))))))))))))</f>
        <v/>
      </c>
      <c r="L332" s="25">
        <f>IF(AND(ISNUMBER(A332),F332&lt;&gt;"İptal",ISNUMBER(D332),ISNUMBER(E332),D332&lt;=RaporTarihi,E332&gt;RaporTarihi),A332,"")</f>
        <v/>
      </c>
    </row>
    <row r="333">
      <c r="A333" s="22" t="n"/>
      <c r="B333" s="22" t="n"/>
      <c r="C333" s="22" t="n"/>
      <c r="D333" s="23" t="n"/>
      <c r="E333" s="23" t="n"/>
      <c r="F333" s="22" t="n"/>
      <c r="G333" s="24" t="n"/>
      <c r="H333" s="22" t="n"/>
      <c r="I333" s="25">
        <f>IF(AND(ISNUMBER(D333),ISNUMBER(E333)),E333-D333,"")</f>
        <v/>
      </c>
      <c r="J333" s="26">
        <f>IF(AND(ISNUMBER(I333),ISNUMBER(G333)),IF(I333&gt;0,G333/I333,""),"")</f>
        <v/>
      </c>
      <c r="K333" s="25">
        <f>IF(COUNTA(A333:H333)=0,"",IF(OR(A333="",B333="",C333="",D333="",E333="",F333="",G333="",H333=""),"HATA: eksik bilgi",IF(COUNTIF(OdaListesi,A333)=0,"HATA: geçersiz oda no",IF(OR(NOT(ISNUMBER(D333)),NOT(ISNUMBER(E333))),"HATA: tarih geçersiz",IF(E333&lt;=D333,"HATA: çıkış girişten sonra olmalı",IF(OR(NOT(ISNUMBER(C333)),C333&lt;1,C333&gt;MaxKisi,C333&lt;&gt;INT(C333)),"HATA: kişi sayısı geçersiz",IF(OR(NOT(ISNUMBER(G333)),G333&lt;0),"HATA: tutar geçersiz",IF(B333&lt;&gt;TRIM(B333),"HATA: isimde baştaki/sondaki boşluk",IF(COUNTIF(KaynakAralik,H333)=0,"HATA: kaynak listede yok",IF(AND(F333&lt;&gt;"Bekleniyor",F333&lt;&gt;"Geldi",F333&lt;&gt;"İptal"),"HATA: giriş durumu geçersiz",IF(AND(F333&lt;&gt;"İptal",COUNTIFS($A$6:$A$1005,A333,$D$6:$D$1005,"&lt;"&amp;E333,$E$6:$E$1005,"&gt;"&amp;D333,$F$6:$F$1005,"&lt;&gt;İptal")&gt;1),"HATA: oda bu tarihlerde çakışıyor",IF(AND(F333="Bekleniyor",D333&lt;RaporTarihi),"HATA: giriş günü geçti, Geldi veya İptal yapın","OK"))))))))))))</f>
        <v/>
      </c>
      <c r="L333" s="25">
        <f>IF(AND(ISNUMBER(A333),F333&lt;&gt;"İptal",ISNUMBER(D333),ISNUMBER(E333),D333&lt;=RaporTarihi,E333&gt;RaporTarihi),A333,"")</f>
        <v/>
      </c>
    </row>
    <row r="334">
      <c r="A334" s="22" t="n"/>
      <c r="B334" s="22" t="n"/>
      <c r="C334" s="22" t="n"/>
      <c r="D334" s="23" t="n"/>
      <c r="E334" s="23" t="n"/>
      <c r="F334" s="22" t="n"/>
      <c r="G334" s="24" t="n"/>
      <c r="H334" s="22" t="n"/>
      <c r="I334" s="25">
        <f>IF(AND(ISNUMBER(D334),ISNUMBER(E334)),E334-D334,"")</f>
        <v/>
      </c>
      <c r="J334" s="26">
        <f>IF(AND(ISNUMBER(I334),ISNUMBER(G334)),IF(I334&gt;0,G334/I334,""),"")</f>
        <v/>
      </c>
      <c r="K334" s="25">
        <f>IF(COUNTA(A334:H334)=0,"",IF(OR(A334="",B334="",C334="",D334="",E334="",F334="",G334="",H334=""),"HATA: eksik bilgi",IF(COUNTIF(OdaListesi,A334)=0,"HATA: geçersiz oda no",IF(OR(NOT(ISNUMBER(D334)),NOT(ISNUMBER(E334))),"HATA: tarih geçersiz",IF(E334&lt;=D334,"HATA: çıkış girişten sonra olmalı",IF(OR(NOT(ISNUMBER(C334)),C334&lt;1,C334&gt;MaxKisi,C334&lt;&gt;INT(C334)),"HATA: kişi sayısı geçersiz",IF(OR(NOT(ISNUMBER(G334)),G334&lt;0),"HATA: tutar geçersiz",IF(B334&lt;&gt;TRIM(B334),"HATA: isimde baştaki/sondaki boşluk",IF(COUNTIF(KaynakAralik,H334)=0,"HATA: kaynak listede yok",IF(AND(F334&lt;&gt;"Bekleniyor",F334&lt;&gt;"Geldi",F334&lt;&gt;"İptal"),"HATA: giriş durumu geçersiz",IF(AND(F334&lt;&gt;"İptal",COUNTIFS($A$6:$A$1005,A334,$D$6:$D$1005,"&lt;"&amp;E334,$E$6:$E$1005,"&gt;"&amp;D334,$F$6:$F$1005,"&lt;&gt;İptal")&gt;1),"HATA: oda bu tarihlerde çakışıyor",IF(AND(F334="Bekleniyor",D334&lt;RaporTarihi),"HATA: giriş günü geçti, Geldi veya İptal yapın","OK"))))))))))))</f>
        <v/>
      </c>
      <c r="L334" s="25">
        <f>IF(AND(ISNUMBER(A334),F334&lt;&gt;"İptal",ISNUMBER(D334),ISNUMBER(E334),D334&lt;=RaporTarihi,E334&gt;RaporTarihi),A334,"")</f>
        <v/>
      </c>
    </row>
    <row r="335">
      <c r="A335" s="22" t="n"/>
      <c r="B335" s="22" t="n"/>
      <c r="C335" s="22" t="n"/>
      <c r="D335" s="23" t="n"/>
      <c r="E335" s="23" t="n"/>
      <c r="F335" s="22" t="n"/>
      <c r="G335" s="24" t="n"/>
      <c r="H335" s="22" t="n"/>
      <c r="I335" s="25">
        <f>IF(AND(ISNUMBER(D335),ISNUMBER(E335)),E335-D335,"")</f>
        <v/>
      </c>
      <c r="J335" s="26">
        <f>IF(AND(ISNUMBER(I335),ISNUMBER(G335)),IF(I335&gt;0,G335/I335,""),"")</f>
        <v/>
      </c>
      <c r="K335" s="25">
        <f>IF(COUNTA(A335:H335)=0,"",IF(OR(A335="",B335="",C335="",D335="",E335="",F335="",G335="",H335=""),"HATA: eksik bilgi",IF(COUNTIF(OdaListesi,A335)=0,"HATA: geçersiz oda no",IF(OR(NOT(ISNUMBER(D335)),NOT(ISNUMBER(E335))),"HATA: tarih geçersiz",IF(E335&lt;=D335,"HATA: çıkış girişten sonra olmalı",IF(OR(NOT(ISNUMBER(C335)),C335&lt;1,C335&gt;MaxKisi,C335&lt;&gt;INT(C335)),"HATA: kişi sayısı geçersiz",IF(OR(NOT(ISNUMBER(G335)),G335&lt;0),"HATA: tutar geçersiz",IF(B335&lt;&gt;TRIM(B335),"HATA: isimde baştaki/sondaki boşluk",IF(COUNTIF(KaynakAralik,H335)=0,"HATA: kaynak listede yok",IF(AND(F335&lt;&gt;"Bekleniyor",F335&lt;&gt;"Geldi",F335&lt;&gt;"İptal"),"HATA: giriş durumu geçersiz",IF(AND(F335&lt;&gt;"İptal",COUNTIFS($A$6:$A$1005,A335,$D$6:$D$1005,"&lt;"&amp;E335,$E$6:$E$1005,"&gt;"&amp;D335,$F$6:$F$1005,"&lt;&gt;İptal")&gt;1),"HATA: oda bu tarihlerde çakışıyor",IF(AND(F335="Bekleniyor",D335&lt;RaporTarihi),"HATA: giriş günü geçti, Geldi veya İptal yapın","OK"))))))))))))</f>
        <v/>
      </c>
      <c r="L335" s="25">
        <f>IF(AND(ISNUMBER(A335),F335&lt;&gt;"İptal",ISNUMBER(D335),ISNUMBER(E335),D335&lt;=RaporTarihi,E335&gt;RaporTarihi),A335,"")</f>
        <v/>
      </c>
    </row>
    <row r="336">
      <c r="A336" s="22" t="n"/>
      <c r="B336" s="22" t="n"/>
      <c r="C336" s="22" t="n"/>
      <c r="D336" s="23" t="n"/>
      <c r="E336" s="23" t="n"/>
      <c r="F336" s="22" t="n"/>
      <c r="G336" s="24" t="n"/>
      <c r="H336" s="22" t="n"/>
      <c r="I336" s="25">
        <f>IF(AND(ISNUMBER(D336),ISNUMBER(E336)),E336-D336,"")</f>
        <v/>
      </c>
      <c r="J336" s="26">
        <f>IF(AND(ISNUMBER(I336),ISNUMBER(G336)),IF(I336&gt;0,G336/I336,""),"")</f>
        <v/>
      </c>
      <c r="K336" s="25">
        <f>IF(COUNTA(A336:H336)=0,"",IF(OR(A336="",B336="",C336="",D336="",E336="",F336="",G336="",H336=""),"HATA: eksik bilgi",IF(COUNTIF(OdaListesi,A336)=0,"HATA: geçersiz oda no",IF(OR(NOT(ISNUMBER(D336)),NOT(ISNUMBER(E336))),"HATA: tarih geçersiz",IF(E336&lt;=D336,"HATA: çıkış girişten sonra olmalı",IF(OR(NOT(ISNUMBER(C336)),C336&lt;1,C336&gt;MaxKisi,C336&lt;&gt;INT(C336)),"HATA: kişi sayısı geçersiz",IF(OR(NOT(ISNUMBER(G336)),G336&lt;0),"HATA: tutar geçersiz",IF(B336&lt;&gt;TRIM(B336),"HATA: isimde baştaki/sondaki boşluk",IF(COUNTIF(KaynakAralik,H336)=0,"HATA: kaynak listede yok",IF(AND(F336&lt;&gt;"Bekleniyor",F336&lt;&gt;"Geldi",F336&lt;&gt;"İptal"),"HATA: giriş durumu geçersiz",IF(AND(F336&lt;&gt;"İptal",COUNTIFS($A$6:$A$1005,A336,$D$6:$D$1005,"&lt;"&amp;E336,$E$6:$E$1005,"&gt;"&amp;D336,$F$6:$F$1005,"&lt;&gt;İptal")&gt;1),"HATA: oda bu tarihlerde çakışıyor",IF(AND(F336="Bekleniyor",D336&lt;RaporTarihi),"HATA: giriş günü geçti, Geldi veya İptal yapın","OK"))))))))))))</f>
        <v/>
      </c>
      <c r="L336" s="25">
        <f>IF(AND(ISNUMBER(A336),F336&lt;&gt;"İptal",ISNUMBER(D336),ISNUMBER(E336),D336&lt;=RaporTarihi,E336&gt;RaporTarihi),A336,"")</f>
        <v/>
      </c>
    </row>
    <row r="337">
      <c r="A337" s="22" t="n"/>
      <c r="B337" s="22" t="n"/>
      <c r="C337" s="22" t="n"/>
      <c r="D337" s="23" t="n"/>
      <c r="E337" s="23" t="n"/>
      <c r="F337" s="22" t="n"/>
      <c r="G337" s="24" t="n"/>
      <c r="H337" s="22" t="n"/>
      <c r="I337" s="25">
        <f>IF(AND(ISNUMBER(D337),ISNUMBER(E337)),E337-D337,"")</f>
        <v/>
      </c>
      <c r="J337" s="26">
        <f>IF(AND(ISNUMBER(I337),ISNUMBER(G337)),IF(I337&gt;0,G337/I337,""),"")</f>
        <v/>
      </c>
      <c r="K337" s="25">
        <f>IF(COUNTA(A337:H337)=0,"",IF(OR(A337="",B337="",C337="",D337="",E337="",F337="",G337="",H337=""),"HATA: eksik bilgi",IF(COUNTIF(OdaListesi,A337)=0,"HATA: geçersiz oda no",IF(OR(NOT(ISNUMBER(D337)),NOT(ISNUMBER(E337))),"HATA: tarih geçersiz",IF(E337&lt;=D337,"HATA: çıkış girişten sonra olmalı",IF(OR(NOT(ISNUMBER(C337)),C337&lt;1,C337&gt;MaxKisi,C337&lt;&gt;INT(C337)),"HATA: kişi sayısı geçersiz",IF(OR(NOT(ISNUMBER(G337)),G337&lt;0),"HATA: tutar geçersiz",IF(B337&lt;&gt;TRIM(B337),"HATA: isimde baştaki/sondaki boşluk",IF(COUNTIF(KaynakAralik,H337)=0,"HATA: kaynak listede yok",IF(AND(F337&lt;&gt;"Bekleniyor",F337&lt;&gt;"Geldi",F337&lt;&gt;"İptal"),"HATA: giriş durumu geçersiz",IF(AND(F337&lt;&gt;"İptal",COUNTIFS($A$6:$A$1005,A337,$D$6:$D$1005,"&lt;"&amp;E337,$E$6:$E$1005,"&gt;"&amp;D337,$F$6:$F$1005,"&lt;&gt;İptal")&gt;1),"HATA: oda bu tarihlerde çakışıyor",IF(AND(F337="Bekleniyor",D337&lt;RaporTarihi),"HATA: giriş günü geçti, Geldi veya İptal yapın","OK"))))))))))))</f>
        <v/>
      </c>
      <c r="L337" s="25">
        <f>IF(AND(ISNUMBER(A337),F337&lt;&gt;"İptal",ISNUMBER(D337),ISNUMBER(E337),D337&lt;=RaporTarihi,E337&gt;RaporTarihi),A337,"")</f>
        <v/>
      </c>
    </row>
    <row r="338">
      <c r="A338" s="22" t="n"/>
      <c r="B338" s="22" t="n"/>
      <c r="C338" s="22" t="n"/>
      <c r="D338" s="23" t="n"/>
      <c r="E338" s="23" t="n"/>
      <c r="F338" s="22" t="n"/>
      <c r="G338" s="24" t="n"/>
      <c r="H338" s="22" t="n"/>
      <c r="I338" s="25">
        <f>IF(AND(ISNUMBER(D338),ISNUMBER(E338)),E338-D338,"")</f>
        <v/>
      </c>
      <c r="J338" s="26">
        <f>IF(AND(ISNUMBER(I338),ISNUMBER(G338)),IF(I338&gt;0,G338/I338,""),"")</f>
        <v/>
      </c>
      <c r="K338" s="25">
        <f>IF(COUNTA(A338:H338)=0,"",IF(OR(A338="",B338="",C338="",D338="",E338="",F338="",G338="",H338=""),"HATA: eksik bilgi",IF(COUNTIF(OdaListesi,A338)=0,"HATA: geçersiz oda no",IF(OR(NOT(ISNUMBER(D338)),NOT(ISNUMBER(E338))),"HATA: tarih geçersiz",IF(E338&lt;=D338,"HATA: çıkış girişten sonra olmalı",IF(OR(NOT(ISNUMBER(C338)),C338&lt;1,C338&gt;MaxKisi,C338&lt;&gt;INT(C338)),"HATA: kişi sayısı geçersiz",IF(OR(NOT(ISNUMBER(G338)),G338&lt;0),"HATA: tutar geçersiz",IF(B338&lt;&gt;TRIM(B338),"HATA: isimde baştaki/sondaki boşluk",IF(COUNTIF(KaynakAralik,H338)=0,"HATA: kaynak listede yok",IF(AND(F338&lt;&gt;"Bekleniyor",F338&lt;&gt;"Geldi",F338&lt;&gt;"İptal"),"HATA: giriş durumu geçersiz",IF(AND(F338&lt;&gt;"İptal",COUNTIFS($A$6:$A$1005,A338,$D$6:$D$1005,"&lt;"&amp;E338,$E$6:$E$1005,"&gt;"&amp;D338,$F$6:$F$1005,"&lt;&gt;İptal")&gt;1),"HATA: oda bu tarihlerde çakışıyor",IF(AND(F338="Bekleniyor",D338&lt;RaporTarihi),"HATA: giriş günü geçti, Geldi veya İptal yapın","OK"))))))))))))</f>
        <v/>
      </c>
      <c r="L338" s="25">
        <f>IF(AND(ISNUMBER(A338),F338&lt;&gt;"İptal",ISNUMBER(D338),ISNUMBER(E338),D338&lt;=RaporTarihi,E338&gt;RaporTarihi),A338,"")</f>
        <v/>
      </c>
    </row>
    <row r="339">
      <c r="A339" s="22" t="n"/>
      <c r="B339" s="22" t="n"/>
      <c r="C339" s="22" t="n"/>
      <c r="D339" s="23" t="n"/>
      <c r="E339" s="23" t="n"/>
      <c r="F339" s="22" t="n"/>
      <c r="G339" s="24" t="n"/>
      <c r="H339" s="22" t="n"/>
      <c r="I339" s="25">
        <f>IF(AND(ISNUMBER(D339),ISNUMBER(E339)),E339-D339,"")</f>
        <v/>
      </c>
      <c r="J339" s="26">
        <f>IF(AND(ISNUMBER(I339),ISNUMBER(G339)),IF(I339&gt;0,G339/I339,""),"")</f>
        <v/>
      </c>
      <c r="K339" s="25">
        <f>IF(COUNTA(A339:H339)=0,"",IF(OR(A339="",B339="",C339="",D339="",E339="",F339="",G339="",H339=""),"HATA: eksik bilgi",IF(COUNTIF(OdaListesi,A339)=0,"HATA: geçersiz oda no",IF(OR(NOT(ISNUMBER(D339)),NOT(ISNUMBER(E339))),"HATA: tarih geçersiz",IF(E339&lt;=D339,"HATA: çıkış girişten sonra olmalı",IF(OR(NOT(ISNUMBER(C339)),C339&lt;1,C339&gt;MaxKisi,C339&lt;&gt;INT(C339)),"HATA: kişi sayısı geçersiz",IF(OR(NOT(ISNUMBER(G339)),G339&lt;0),"HATA: tutar geçersiz",IF(B339&lt;&gt;TRIM(B339),"HATA: isimde baştaki/sondaki boşluk",IF(COUNTIF(KaynakAralik,H339)=0,"HATA: kaynak listede yok",IF(AND(F339&lt;&gt;"Bekleniyor",F339&lt;&gt;"Geldi",F339&lt;&gt;"İptal"),"HATA: giriş durumu geçersiz",IF(AND(F339&lt;&gt;"İptal",COUNTIFS($A$6:$A$1005,A339,$D$6:$D$1005,"&lt;"&amp;E339,$E$6:$E$1005,"&gt;"&amp;D339,$F$6:$F$1005,"&lt;&gt;İptal")&gt;1),"HATA: oda bu tarihlerde çakışıyor",IF(AND(F339="Bekleniyor",D339&lt;RaporTarihi),"HATA: giriş günü geçti, Geldi veya İptal yapın","OK"))))))))))))</f>
        <v/>
      </c>
      <c r="L339" s="25">
        <f>IF(AND(ISNUMBER(A339),F339&lt;&gt;"İptal",ISNUMBER(D339),ISNUMBER(E339),D339&lt;=RaporTarihi,E339&gt;RaporTarihi),A339,"")</f>
        <v/>
      </c>
    </row>
    <row r="340">
      <c r="A340" s="22" t="n"/>
      <c r="B340" s="22" t="n"/>
      <c r="C340" s="22" t="n"/>
      <c r="D340" s="23" t="n"/>
      <c r="E340" s="23" t="n"/>
      <c r="F340" s="22" t="n"/>
      <c r="G340" s="24" t="n"/>
      <c r="H340" s="22" t="n"/>
      <c r="I340" s="25">
        <f>IF(AND(ISNUMBER(D340),ISNUMBER(E340)),E340-D340,"")</f>
        <v/>
      </c>
      <c r="J340" s="26">
        <f>IF(AND(ISNUMBER(I340),ISNUMBER(G340)),IF(I340&gt;0,G340/I340,""),"")</f>
        <v/>
      </c>
      <c r="K340" s="25">
        <f>IF(COUNTA(A340:H340)=0,"",IF(OR(A340="",B340="",C340="",D340="",E340="",F340="",G340="",H340=""),"HATA: eksik bilgi",IF(COUNTIF(OdaListesi,A340)=0,"HATA: geçersiz oda no",IF(OR(NOT(ISNUMBER(D340)),NOT(ISNUMBER(E340))),"HATA: tarih geçersiz",IF(E340&lt;=D340,"HATA: çıkış girişten sonra olmalı",IF(OR(NOT(ISNUMBER(C340)),C340&lt;1,C340&gt;MaxKisi,C340&lt;&gt;INT(C340)),"HATA: kişi sayısı geçersiz",IF(OR(NOT(ISNUMBER(G340)),G340&lt;0),"HATA: tutar geçersiz",IF(B340&lt;&gt;TRIM(B340),"HATA: isimde baştaki/sondaki boşluk",IF(COUNTIF(KaynakAralik,H340)=0,"HATA: kaynak listede yok",IF(AND(F340&lt;&gt;"Bekleniyor",F340&lt;&gt;"Geldi",F340&lt;&gt;"İptal"),"HATA: giriş durumu geçersiz",IF(AND(F340&lt;&gt;"İptal",COUNTIFS($A$6:$A$1005,A340,$D$6:$D$1005,"&lt;"&amp;E340,$E$6:$E$1005,"&gt;"&amp;D340,$F$6:$F$1005,"&lt;&gt;İptal")&gt;1),"HATA: oda bu tarihlerde çakışıyor",IF(AND(F340="Bekleniyor",D340&lt;RaporTarihi),"HATA: giriş günü geçti, Geldi veya İptal yapın","OK"))))))))))))</f>
        <v/>
      </c>
      <c r="L340" s="25">
        <f>IF(AND(ISNUMBER(A340),F340&lt;&gt;"İptal",ISNUMBER(D340),ISNUMBER(E340),D340&lt;=RaporTarihi,E340&gt;RaporTarihi),A340,"")</f>
        <v/>
      </c>
    </row>
    <row r="341">
      <c r="A341" s="22" t="n"/>
      <c r="B341" s="22" t="n"/>
      <c r="C341" s="22" t="n"/>
      <c r="D341" s="23" t="n"/>
      <c r="E341" s="23" t="n"/>
      <c r="F341" s="22" t="n"/>
      <c r="G341" s="24" t="n"/>
      <c r="H341" s="22" t="n"/>
      <c r="I341" s="25">
        <f>IF(AND(ISNUMBER(D341),ISNUMBER(E341)),E341-D341,"")</f>
        <v/>
      </c>
      <c r="J341" s="26">
        <f>IF(AND(ISNUMBER(I341),ISNUMBER(G341)),IF(I341&gt;0,G341/I341,""),"")</f>
        <v/>
      </c>
      <c r="K341" s="25">
        <f>IF(COUNTA(A341:H341)=0,"",IF(OR(A341="",B341="",C341="",D341="",E341="",F341="",G341="",H341=""),"HATA: eksik bilgi",IF(COUNTIF(OdaListesi,A341)=0,"HATA: geçersiz oda no",IF(OR(NOT(ISNUMBER(D341)),NOT(ISNUMBER(E341))),"HATA: tarih geçersiz",IF(E341&lt;=D341,"HATA: çıkış girişten sonra olmalı",IF(OR(NOT(ISNUMBER(C341)),C341&lt;1,C341&gt;MaxKisi,C341&lt;&gt;INT(C341)),"HATA: kişi sayısı geçersiz",IF(OR(NOT(ISNUMBER(G341)),G341&lt;0),"HATA: tutar geçersiz",IF(B341&lt;&gt;TRIM(B341),"HATA: isimde baştaki/sondaki boşluk",IF(COUNTIF(KaynakAralik,H341)=0,"HATA: kaynak listede yok",IF(AND(F341&lt;&gt;"Bekleniyor",F341&lt;&gt;"Geldi",F341&lt;&gt;"İptal"),"HATA: giriş durumu geçersiz",IF(AND(F341&lt;&gt;"İptal",COUNTIFS($A$6:$A$1005,A341,$D$6:$D$1005,"&lt;"&amp;E341,$E$6:$E$1005,"&gt;"&amp;D341,$F$6:$F$1005,"&lt;&gt;İptal")&gt;1),"HATA: oda bu tarihlerde çakışıyor",IF(AND(F341="Bekleniyor",D341&lt;RaporTarihi),"HATA: giriş günü geçti, Geldi veya İptal yapın","OK"))))))))))))</f>
        <v/>
      </c>
      <c r="L341" s="25">
        <f>IF(AND(ISNUMBER(A341),F341&lt;&gt;"İptal",ISNUMBER(D341),ISNUMBER(E341),D341&lt;=RaporTarihi,E341&gt;RaporTarihi),A341,"")</f>
        <v/>
      </c>
    </row>
    <row r="342">
      <c r="A342" s="22" t="n"/>
      <c r="B342" s="22" t="n"/>
      <c r="C342" s="22" t="n"/>
      <c r="D342" s="23" t="n"/>
      <c r="E342" s="23" t="n"/>
      <c r="F342" s="22" t="n"/>
      <c r="G342" s="24" t="n"/>
      <c r="H342" s="22" t="n"/>
      <c r="I342" s="25">
        <f>IF(AND(ISNUMBER(D342),ISNUMBER(E342)),E342-D342,"")</f>
        <v/>
      </c>
      <c r="J342" s="26">
        <f>IF(AND(ISNUMBER(I342),ISNUMBER(G342)),IF(I342&gt;0,G342/I342,""),"")</f>
        <v/>
      </c>
      <c r="K342" s="25">
        <f>IF(COUNTA(A342:H342)=0,"",IF(OR(A342="",B342="",C342="",D342="",E342="",F342="",G342="",H342=""),"HATA: eksik bilgi",IF(COUNTIF(OdaListesi,A342)=0,"HATA: geçersiz oda no",IF(OR(NOT(ISNUMBER(D342)),NOT(ISNUMBER(E342))),"HATA: tarih geçersiz",IF(E342&lt;=D342,"HATA: çıkış girişten sonra olmalı",IF(OR(NOT(ISNUMBER(C342)),C342&lt;1,C342&gt;MaxKisi,C342&lt;&gt;INT(C342)),"HATA: kişi sayısı geçersiz",IF(OR(NOT(ISNUMBER(G342)),G342&lt;0),"HATA: tutar geçersiz",IF(B342&lt;&gt;TRIM(B342),"HATA: isimde baştaki/sondaki boşluk",IF(COUNTIF(KaynakAralik,H342)=0,"HATA: kaynak listede yok",IF(AND(F342&lt;&gt;"Bekleniyor",F342&lt;&gt;"Geldi",F342&lt;&gt;"İptal"),"HATA: giriş durumu geçersiz",IF(AND(F342&lt;&gt;"İptal",COUNTIFS($A$6:$A$1005,A342,$D$6:$D$1005,"&lt;"&amp;E342,$E$6:$E$1005,"&gt;"&amp;D342,$F$6:$F$1005,"&lt;&gt;İptal")&gt;1),"HATA: oda bu tarihlerde çakışıyor",IF(AND(F342="Bekleniyor",D342&lt;RaporTarihi),"HATA: giriş günü geçti, Geldi veya İptal yapın","OK"))))))))))))</f>
        <v/>
      </c>
      <c r="L342" s="25">
        <f>IF(AND(ISNUMBER(A342),F342&lt;&gt;"İptal",ISNUMBER(D342),ISNUMBER(E342),D342&lt;=RaporTarihi,E342&gt;RaporTarihi),A342,"")</f>
        <v/>
      </c>
    </row>
    <row r="343">
      <c r="A343" s="22" t="n"/>
      <c r="B343" s="22" t="n"/>
      <c r="C343" s="22" t="n"/>
      <c r="D343" s="23" t="n"/>
      <c r="E343" s="23" t="n"/>
      <c r="F343" s="22" t="n"/>
      <c r="G343" s="24" t="n"/>
      <c r="H343" s="22" t="n"/>
      <c r="I343" s="25">
        <f>IF(AND(ISNUMBER(D343),ISNUMBER(E343)),E343-D343,"")</f>
        <v/>
      </c>
      <c r="J343" s="26">
        <f>IF(AND(ISNUMBER(I343),ISNUMBER(G343)),IF(I343&gt;0,G343/I343,""),"")</f>
        <v/>
      </c>
      <c r="K343" s="25">
        <f>IF(COUNTA(A343:H343)=0,"",IF(OR(A343="",B343="",C343="",D343="",E343="",F343="",G343="",H343=""),"HATA: eksik bilgi",IF(COUNTIF(OdaListesi,A343)=0,"HATA: geçersiz oda no",IF(OR(NOT(ISNUMBER(D343)),NOT(ISNUMBER(E343))),"HATA: tarih geçersiz",IF(E343&lt;=D343,"HATA: çıkış girişten sonra olmalı",IF(OR(NOT(ISNUMBER(C343)),C343&lt;1,C343&gt;MaxKisi,C343&lt;&gt;INT(C343)),"HATA: kişi sayısı geçersiz",IF(OR(NOT(ISNUMBER(G343)),G343&lt;0),"HATA: tutar geçersiz",IF(B343&lt;&gt;TRIM(B343),"HATA: isimde baştaki/sondaki boşluk",IF(COUNTIF(KaynakAralik,H343)=0,"HATA: kaynak listede yok",IF(AND(F343&lt;&gt;"Bekleniyor",F343&lt;&gt;"Geldi",F343&lt;&gt;"İptal"),"HATA: giriş durumu geçersiz",IF(AND(F343&lt;&gt;"İptal",COUNTIFS($A$6:$A$1005,A343,$D$6:$D$1005,"&lt;"&amp;E343,$E$6:$E$1005,"&gt;"&amp;D343,$F$6:$F$1005,"&lt;&gt;İptal")&gt;1),"HATA: oda bu tarihlerde çakışıyor",IF(AND(F343="Bekleniyor",D343&lt;RaporTarihi),"HATA: giriş günü geçti, Geldi veya İptal yapın","OK"))))))))))))</f>
        <v/>
      </c>
      <c r="L343" s="25">
        <f>IF(AND(ISNUMBER(A343),F343&lt;&gt;"İptal",ISNUMBER(D343),ISNUMBER(E343),D343&lt;=RaporTarihi,E343&gt;RaporTarihi),A343,"")</f>
        <v/>
      </c>
    </row>
    <row r="344">
      <c r="A344" s="22" t="n"/>
      <c r="B344" s="22" t="n"/>
      <c r="C344" s="22" t="n"/>
      <c r="D344" s="23" t="n"/>
      <c r="E344" s="23" t="n"/>
      <c r="F344" s="22" t="n"/>
      <c r="G344" s="24" t="n"/>
      <c r="H344" s="22" t="n"/>
      <c r="I344" s="25">
        <f>IF(AND(ISNUMBER(D344),ISNUMBER(E344)),E344-D344,"")</f>
        <v/>
      </c>
      <c r="J344" s="26">
        <f>IF(AND(ISNUMBER(I344),ISNUMBER(G344)),IF(I344&gt;0,G344/I344,""),"")</f>
        <v/>
      </c>
      <c r="K344" s="25">
        <f>IF(COUNTA(A344:H344)=0,"",IF(OR(A344="",B344="",C344="",D344="",E344="",F344="",G344="",H344=""),"HATA: eksik bilgi",IF(COUNTIF(OdaListesi,A344)=0,"HATA: geçersiz oda no",IF(OR(NOT(ISNUMBER(D344)),NOT(ISNUMBER(E344))),"HATA: tarih geçersiz",IF(E344&lt;=D344,"HATA: çıkış girişten sonra olmalı",IF(OR(NOT(ISNUMBER(C344)),C344&lt;1,C344&gt;MaxKisi,C344&lt;&gt;INT(C344)),"HATA: kişi sayısı geçersiz",IF(OR(NOT(ISNUMBER(G344)),G344&lt;0),"HATA: tutar geçersiz",IF(B344&lt;&gt;TRIM(B344),"HATA: isimde baştaki/sondaki boşluk",IF(COUNTIF(KaynakAralik,H344)=0,"HATA: kaynak listede yok",IF(AND(F344&lt;&gt;"Bekleniyor",F344&lt;&gt;"Geldi",F344&lt;&gt;"İptal"),"HATA: giriş durumu geçersiz",IF(AND(F344&lt;&gt;"İptal",COUNTIFS($A$6:$A$1005,A344,$D$6:$D$1005,"&lt;"&amp;E344,$E$6:$E$1005,"&gt;"&amp;D344,$F$6:$F$1005,"&lt;&gt;İptal")&gt;1),"HATA: oda bu tarihlerde çakışıyor",IF(AND(F344="Bekleniyor",D344&lt;RaporTarihi),"HATA: giriş günü geçti, Geldi veya İptal yapın","OK"))))))))))))</f>
        <v/>
      </c>
      <c r="L344" s="25">
        <f>IF(AND(ISNUMBER(A344),F344&lt;&gt;"İptal",ISNUMBER(D344),ISNUMBER(E344),D344&lt;=RaporTarihi,E344&gt;RaporTarihi),A344,"")</f>
        <v/>
      </c>
    </row>
    <row r="345">
      <c r="A345" s="22" t="n"/>
      <c r="B345" s="22" t="n"/>
      <c r="C345" s="22" t="n"/>
      <c r="D345" s="23" t="n"/>
      <c r="E345" s="23" t="n"/>
      <c r="F345" s="22" t="n"/>
      <c r="G345" s="24" t="n"/>
      <c r="H345" s="22" t="n"/>
      <c r="I345" s="25">
        <f>IF(AND(ISNUMBER(D345),ISNUMBER(E345)),E345-D345,"")</f>
        <v/>
      </c>
      <c r="J345" s="26">
        <f>IF(AND(ISNUMBER(I345),ISNUMBER(G345)),IF(I345&gt;0,G345/I345,""),"")</f>
        <v/>
      </c>
      <c r="K345" s="25">
        <f>IF(COUNTA(A345:H345)=0,"",IF(OR(A345="",B345="",C345="",D345="",E345="",F345="",G345="",H345=""),"HATA: eksik bilgi",IF(COUNTIF(OdaListesi,A345)=0,"HATA: geçersiz oda no",IF(OR(NOT(ISNUMBER(D345)),NOT(ISNUMBER(E345))),"HATA: tarih geçersiz",IF(E345&lt;=D345,"HATA: çıkış girişten sonra olmalı",IF(OR(NOT(ISNUMBER(C345)),C345&lt;1,C345&gt;MaxKisi,C345&lt;&gt;INT(C345)),"HATA: kişi sayısı geçersiz",IF(OR(NOT(ISNUMBER(G345)),G345&lt;0),"HATA: tutar geçersiz",IF(B345&lt;&gt;TRIM(B345),"HATA: isimde baştaki/sondaki boşluk",IF(COUNTIF(KaynakAralik,H345)=0,"HATA: kaynak listede yok",IF(AND(F345&lt;&gt;"Bekleniyor",F345&lt;&gt;"Geldi",F345&lt;&gt;"İptal"),"HATA: giriş durumu geçersiz",IF(AND(F345&lt;&gt;"İptal",COUNTIFS($A$6:$A$1005,A345,$D$6:$D$1005,"&lt;"&amp;E345,$E$6:$E$1005,"&gt;"&amp;D345,$F$6:$F$1005,"&lt;&gt;İptal")&gt;1),"HATA: oda bu tarihlerde çakışıyor",IF(AND(F345="Bekleniyor",D345&lt;RaporTarihi),"HATA: giriş günü geçti, Geldi veya İptal yapın","OK"))))))))))))</f>
        <v/>
      </c>
      <c r="L345" s="25">
        <f>IF(AND(ISNUMBER(A345),F345&lt;&gt;"İptal",ISNUMBER(D345),ISNUMBER(E345),D345&lt;=RaporTarihi,E345&gt;RaporTarihi),A345,"")</f>
        <v/>
      </c>
    </row>
    <row r="346">
      <c r="A346" s="22" t="n"/>
      <c r="B346" s="22" t="n"/>
      <c r="C346" s="22" t="n"/>
      <c r="D346" s="23" t="n"/>
      <c r="E346" s="23" t="n"/>
      <c r="F346" s="22" t="n"/>
      <c r="G346" s="24" t="n"/>
      <c r="H346" s="22" t="n"/>
      <c r="I346" s="25">
        <f>IF(AND(ISNUMBER(D346),ISNUMBER(E346)),E346-D346,"")</f>
        <v/>
      </c>
      <c r="J346" s="26">
        <f>IF(AND(ISNUMBER(I346),ISNUMBER(G346)),IF(I346&gt;0,G346/I346,""),"")</f>
        <v/>
      </c>
      <c r="K346" s="25">
        <f>IF(COUNTA(A346:H346)=0,"",IF(OR(A346="",B346="",C346="",D346="",E346="",F346="",G346="",H346=""),"HATA: eksik bilgi",IF(COUNTIF(OdaListesi,A346)=0,"HATA: geçersiz oda no",IF(OR(NOT(ISNUMBER(D346)),NOT(ISNUMBER(E346))),"HATA: tarih geçersiz",IF(E346&lt;=D346,"HATA: çıkış girişten sonra olmalı",IF(OR(NOT(ISNUMBER(C346)),C346&lt;1,C346&gt;MaxKisi,C346&lt;&gt;INT(C346)),"HATA: kişi sayısı geçersiz",IF(OR(NOT(ISNUMBER(G346)),G346&lt;0),"HATA: tutar geçersiz",IF(B346&lt;&gt;TRIM(B346),"HATA: isimde baştaki/sondaki boşluk",IF(COUNTIF(KaynakAralik,H346)=0,"HATA: kaynak listede yok",IF(AND(F346&lt;&gt;"Bekleniyor",F346&lt;&gt;"Geldi",F346&lt;&gt;"İptal"),"HATA: giriş durumu geçersiz",IF(AND(F346&lt;&gt;"İptal",COUNTIFS($A$6:$A$1005,A346,$D$6:$D$1005,"&lt;"&amp;E346,$E$6:$E$1005,"&gt;"&amp;D346,$F$6:$F$1005,"&lt;&gt;İptal")&gt;1),"HATA: oda bu tarihlerde çakışıyor",IF(AND(F346="Bekleniyor",D346&lt;RaporTarihi),"HATA: giriş günü geçti, Geldi veya İptal yapın","OK"))))))))))))</f>
        <v/>
      </c>
      <c r="L346" s="25">
        <f>IF(AND(ISNUMBER(A346),F346&lt;&gt;"İptal",ISNUMBER(D346),ISNUMBER(E346),D346&lt;=RaporTarihi,E346&gt;RaporTarihi),A346,"")</f>
        <v/>
      </c>
    </row>
    <row r="347">
      <c r="A347" s="22" t="n"/>
      <c r="B347" s="22" t="n"/>
      <c r="C347" s="22" t="n"/>
      <c r="D347" s="23" t="n"/>
      <c r="E347" s="23" t="n"/>
      <c r="F347" s="22" t="n"/>
      <c r="G347" s="24" t="n"/>
      <c r="H347" s="22" t="n"/>
      <c r="I347" s="25">
        <f>IF(AND(ISNUMBER(D347),ISNUMBER(E347)),E347-D347,"")</f>
        <v/>
      </c>
      <c r="J347" s="26">
        <f>IF(AND(ISNUMBER(I347),ISNUMBER(G347)),IF(I347&gt;0,G347/I347,""),"")</f>
        <v/>
      </c>
      <c r="K347" s="25">
        <f>IF(COUNTA(A347:H347)=0,"",IF(OR(A347="",B347="",C347="",D347="",E347="",F347="",G347="",H347=""),"HATA: eksik bilgi",IF(COUNTIF(OdaListesi,A347)=0,"HATA: geçersiz oda no",IF(OR(NOT(ISNUMBER(D347)),NOT(ISNUMBER(E347))),"HATA: tarih geçersiz",IF(E347&lt;=D347,"HATA: çıkış girişten sonra olmalı",IF(OR(NOT(ISNUMBER(C347)),C347&lt;1,C347&gt;MaxKisi,C347&lt;&gt;INT(C347)),"HATA: kişi sayısı geçersiz",IF(OR(NOT(ISNUMBER(G347)),G347&lt;0),"HATA: tutar geçersiz",IF(B347&lt;&gt;TRIM(B347),"HATA: isimde baştaki/sondaki boşluk",IF(COUNTIF(KaynakAralik,H347)=0,"HATA: kaynak listede yok",IF(AND(F347&lt;&gt;"Bekleniyor",F347&lt;&gt;"Geldi",F347&lt;&gt;"İptal"),"HATA: giriş durumu geçersiz",IF(AND(F347&lt;&gt;"İptal",COUNTIFS($A$6:$A$1005,A347,$D$6:$D$1005,"&lt;"&amp;E347,$E$6:$E$1005,"&gt;"&amp;D347,$F$6:$F$1005,"&lt;&gt;İptal")&gt;1),"HATA: oda bu tarihlerde çakışıyor",IF(AND(F347="Bekleniyor",D347&lt;RaporTarihi),"HATA: giriş günü geçti, Geldi veya İptal yapın","OK"))))))))))))</f>
        <v/>
      </c>
      <c r="L347" s="25">
        <f>IF(AND(ISNUMBER(A347),F347&lt;&gt;"İptal",ISNUMBER(D347),ISNUMBER(E347),D347&lt;=RaporTarihi,E347&gt;RaporTarihi),A347,"")</f>
        <v/>
      </c>
    </row>
    <row r="348">
      <c r="A348" s="22" t="n"/>
      <c r="B348" s="22" t="n"/>
      <c r="C348" s="22" t="n"/>
      <c r="D348" s="23" t="n"/>
      <c r="E348" s="23" t="n"/>
      <c r="F348" s="22" t="n"/>
      <c r="G348" s="24" t="n"/>
      <c r="H348" s="22" t="n"/>
      <c r="I348" s="25">
        <f>IF(AND(ISNUMBER(D348),ISNUMBER(E348)),E348-D348,"")</f>
        <v/>
      </c>
      <c r="J348" s="26">
        <f>IF(AND(ISNUMBER(I348),ISNUMBER(G348)),IF(I348&gt;0,G348/I348,""),"")</f>
        <v/>
      </c>
      <c r="K348" s="25">
        <f>IF(COUNTA(A348:H348)=0,"",IF(OR(A348="",B348="",C348="",D348="",E348="",F348="",G348="",H348=""),"HATA: eksik bilgi",IF(COUNTIF(OdaListesi,A348)=0,"HATA: geçersiz oda no",IF(OR(NOT(ISNUMBER(D348)),NOT(ISNUMBER(E348))),"HATA: tarih geçersiz",IF(E348&lt;=D348,"HATA: çıkış girişten sonra olmalı",IF(OR(NOT(ISNUMBER(C348)),C348&lt;1,C348&gt;MaxKisi,C348&lt;&gt;INT(C348)),"HATA: kişi sayısı geçersiz",IF(OR(NOT(ISNUMBER(G348)),G348&lt;0),"HATA: tutar geçersiz",IF(B348&lt;&gt;TRIM(B348),"HATA: isimde baştaki/sondaki boşluk",IF(COUNTIF(KaynakAralik,H348)=0,"HATA: kaynak listede yok",IF(AND(F348&lt;&gt;"Bekleniyor",F348&lt;&gt;"Geldi",F348&lt;&gt;"İptal"),"HATA: giriş durumu geçersiz",IF(AND(F348&lt;&gt;"İptal",COUNTIFS($A$6:$A$1005,A348,$D$6:$D$1005,"&lt;"&amp;E348,$E$6:$E$1005,"&gt;"&amp;D348,$F$6:$F$1005,"&lt;&gt;İptal")&gt;1),"HATA: oda bu tarihlerde çakışıyor",IF(AND(F348="Bekleniyor",D348&lt;RaporTarihi),"HATA: giriş günü geçti, Geldi veya İptal yapın","OK"))))))))))))</f>
        <v/>
      </c>
      <c r="L348" s="25">
        <f>IF(AND(ISNUMBER(A348),F348&lt;&gt;"İptal",ISNUMBER(D348),ISNUMBER(E348),D348&lt;=RaporTarihi,E348&gt;RaporTarihi),A348,"")</f>
        <v/>
      </c>
    </row>
    <row r="349">
      <c r="A349" s="22" t="n"/>
      <c r="B349" s="22" t="n"/>
      <c r="C349" s="22" t="n"/>
      <c r="D349" s="23" t="n"/>
      <c r="E349" s="23" t="n"/>
      <c r="F349" s="22" t="n"/>
      <c r="G349" s="24" t="n"/>
      <c r="H349" s="22" t="n"/>
      <c r="I349" s="25">
        <f>IF(AND(ISNUMBER(D349),ISNUMBER(E349)),E349-D349,"")</f>
        <v/>
      </c>
      <c r="J349" s="26">
        <f>IF(AND(ISNUMBER(I349),ISNUMBER(G349)),IF(I349&gt;0,G349/I349,""),"")</f>
        <v/>
      </c>
      <c r="K349" s="25">
        <f>IF(COUNTA(A349:H349)=0,"",IF(OR(A349="",B349="",C349="",D349="",E349="",F349="",G349="",H349=""),"HATA: eksik bilgi",IF(COUNTIF(OdaListesi,A349)=0,"HATA: geçersiz oda no",IF(OR(NOT(ISNUMBER(D349)),NOT(ISNUMBER(E349))),"HATA: tarih geçersiz",IF(E349&lt;=D349,"HATA: çıkış girişten sonra olmalı",IF(OR(NOT(ISNUMBER(C349)),C349&lt;1,C349&gt;MaxKisi,C349&lt;&gt;INT(C349)),"HATA: kişi sayısı geçersiz",IF(OR(NOT(ISNUMBER(G349)),G349&lt;0),"HATA: tutar geçersiz",IF(B349&lt;&gt;TRIM(B349),"HATA: isimde baştaki/sondaki boşluk",IF(COUNTIF(KaynakAralik,H349)=0,"HATA: kaynak listede yok",IF(AND(F349&lt;&gt;"Bekleniyor",F349&lt;&gt;"Geldi",F349&lt;&gt;"İptal"),"HATA: giriş durumu geçersiz",IF(AND(F349&lt;&gt;"İptal",COUNTIFS($A$6:$A$1005,A349,$D$6:$D$1005,"&lt;"&amp;E349,$E$6:$E$1005,"&gt;"&amp;D349,$F$6:$F$1005,"&lt;&gt;İptal")&gt;1),"HATA: oda bu tarihlerde çakışıyor",IF(AND(F349="Bekleniyor",D349&lt;RaporTarihi),"HATA: giriş günü geçti, Geldi veya İptal yapın","OK"))))))))))))</f>
        <v/>
      </c>
      <c r="L349" s="25">
        <f>IF(AND(ISNUMBER(A349),F349&lt;&gt;"İptal",ISNUMBER(D349),ISNUMBER(E349),D349&lt;=RaporTarihi,E349&gt;RaporTarihi),A349,"")</f>
        <v/>
      </c>
    </row>
    <row r="350">
      <c r="A350" s="22" t="n"/>
      <c r="B350" s="22" t="n"/>
      <c r="C350" s="22" t="n"/>
      <c r="D350" s="23" t="n"/>
      <c r="E350" s="23" t="n"/>
      <c r="F350" s="22" t="n"/>
      <c r="G350" s="24" t="n"/>
      <c r="H350" s="22" t="n"/>
      <c r="I350" s="25">
        <f>IF(AND(ISNUMBER(D350),ISNUMBER(E350)),E350-D350,"")</f>
        <v/>
      </c>
      <c r="J350" s="26">
        <f>IF(AND(ISNUMBER(I350),ISNUMBER(G350)),IF(I350&gt;0,G350/I350,""),"")</f>
        <v/>
      </c>
      <c r="K350" s="25">
        <f>IF(COUNTA(A350:H350)=0,"",IF(OR(A350="",B350="",C350="",D350="",E350="",F350="",G350="",H350=""),"HATA: eksik bilgi",IF(COUNTIF(OdaListesi,A350)=0,"HATA: geçersiz oda no",IF(OR(NOT(ISNUMBER(D350)),NOT(ISNUMBER(E350))),"HATA: tarih geçersiz",IF(E350&lt;=D350,"HATA: çıkış girişten sonra olmalı",IF(OR(NOT(ISNUMBER(C350)),C350&lt;1,C350&gt;MaxKisi,C350&lt;&gt;INT(C350)),"HATA: kişi sayısı geçersiz",IF(OR(NOT(ISNUMBER(G350)),G350&lt;0),"HATA: tutar geçersiz",IF(B350&lt;&gt;TRIM(B350),"HATA: isimde baştaki/sondaki boşluk",IF(COUNTIF(KaynakAralik,H350)=0,"HATA: kaynak listede yok",IF(AND(F350&lt;&gt;"Bekleniyor",F350&lt;&gt;"Geldi",F350&lt;&gt;"İptal"),"HATA: giriş durumu geçersiz",IF(AND(F350&lt;&gt;"İptal",COUNTIFS($A$6:$A$1005,A350,$D$6:$D$1005,"&lt;"&amp;E350,$E$6:$E$1005,"&gt;"&amp;D350,$F$6:$F$1005,"&lt;&gt;İptal")&gt;1),"HATA: oda bu tarihlerde çakışıyor",IF(AND(F350="Bekleniyor",D350&lt;RaporTarihi),"HATA: giriş günü geçti, Geldi veya İptal yapın","OK"))))))))))))</f>
        <v/>
      </c>
      <c r="L350" s="25">
        <f>IF(AND(ISNUMBER(A350),F350&lt;&gt;"İptal",ISNUMBER(D350),ISNUMBER(E350),D350&lt;=RaporTarihi,E350&gt;RaporTarihi),A350,"")</f>
        <v/>
      </c>
    </row>
    <row r="351">
      <c r="A351" s="22" t="n"/>
      <c r="B351" s="22" t="n"/>
      <c r="C351" s="22" t="n"/>
      <c r="D351" s="23" t="n"/>
      <c r="E351" s="23" t="n"/>
      <c r="F351" s="22" t="n"/>
      <c r="G351" s="24" t="n"/>
      <c r="H351" s="22" t="n"/>
      <c r="I351" s="25">
        <f>IF(AND(ISNUMBER(D351),ISNUMBER(E351)),E351-D351,"")</f>
        <v/>
      </c>
      <c r="J351" s="26">
        <f>IF(AND(ISNUMBER(I351),ISNUMBER(G351)),IF(I351&gt;0,G351/I351,""),"")</f>
        <v/>
      </c>
      <c r="K351" s="25">
        <f>IF(COUNTA(A351:H351)=0,"",IF(OR(A351="",B351="",C351="",D351="",E351="",F351="",G351="",H351=""),"HATA: eksik bilgi",IF(COUNTIF(OdaListesi,A351)=0,"HATA: geçersiz oda no",IF(OR(NOT(ISNUMBER(D351)),NOT(ISNUMBER(E351))),"HATA: tarih geçersiz",IF(E351&lt;=D351,"HATA: çıkış girişten sonra olmalı",IF(OR(NOT(ISNUMBER(C351)),C351&lt;1,C351&gt;MaxKisi,C351&lt;&gt;INT(C351)),"HATA: kişi sayısı geçersiz",IF(OR(NOT(ISNUMBER(G351)),G351&lt;0),"HATA: tutar geçersiz",IF(B351&lt;&gt;TRIM(B351),"HATA: isimde baştaki/sondaki boşluk",IF(COUNTIF(KaynakAralik,H351)=0,"HATA: kaynak listede yok",IF(AND(F351&lt;&gt;"Bekleniyor",F351&lt;&gt;"Geldi",F351&lt;&gt;"İptal"),"HATA: giriş durumu geçersiz",IF(AND(F351&lt;&gt;"İptal",COUNTIFS($A$6:$A$1005,A351,$D$6:$D$1005,"&lt;"&amp;E351,$E$6:$E$1005,"&gt;"&amp;D351,$F$6:$F$1005,"&lt;&gt;İptal")&gt;1),"HATA: oda bu tarihlerde çakışıyor",IF(AND(F351="Bekleniyor",D351&lt;RaporTarihi),"HATA: giriş günü geçti, Geldi veya İptal yapın","OK"))))))))))))</f>
        <v/>
      </c>
      <c r="L351" s="25">
        <f>IF(AND(ISNUMBER(A351),F351&lt;&gt;"İptal",ISNUMBER(D351),ISNUMBER(E351),D351&lt;=RaporTarihi,E351&gt;RaporTarihi),A351,"")</f>
        <v/>
      </c>
    </row>
    <row r="352">
      <c r="A352" s="22" t="n"/>
      <c r="B352" s="22" t="n"/>
      <c r="C352" s="22" t="n"/>
      <c r="D352" s="23" t="n"/>
      <c r="E352" s="23" t="n"/>
      <c r="F352" s="22" t="n"/>
      <c r="G352" s="24" t="n"/>
      <c r="H352" s="22" t="n"/>
      <c r="I352" s="25">
        <f>IF(AND(ISNUMBER(D352),ISNUMBER(E352)),E352-D352,"")</f>
        <v/>
      </c>
      <c r="J352" s="26">
        <f>IF(AND(ISNUMBER(I352),ISNUMBER(G352)),IF(I352&gt;0,G352/I352,""),"")</f>
        <v/>
      </c>
      <c r="K352" s="25">
        <f>IF(COUNTA(A352:H352)=0,"",IF(OR(A352="",B352="",C352="",D352="",E352="",F352="",G352="",H352=""),"HATA: eksik bilgi",IF(COUNTIF(OdaListesi,A352)=0,"HATA: geçersiz oda no",IF(OR(NOT(ISNUMBER(D352)),NOT(ISNUMBER(E352))),"HATA: tarih geçersiz",IF(E352&lt;=D352,"HATA: çıkış girişten sonra olmalı",IF(OR(NOT(ISNUMBER(C352)),C352&lt;1,C352&gt;MaxKisi,C352&lt;&gt;INT(C352)),"HATA: kişi sayısı geçersiz",IF(OR(NOT(ISNUMBER(G352)),G352&lt;0),"HATA: tutar geçersiz",IF(B352&lt;&gt;TRIM(B352),"HATA: isimde baştaki/sondaki boşluk",IF(COUNTIF(KaynakAralik,H352)=0,"HATA: kaynak listede yok",IF(AND(F352&lt;&gt;"Bekleniyor",F352&lt;&gt;"Geldi",F352&lt;&gt;"İptal"),"HATA: giriş durumu geçersiz",IF(AND(F352&lt;&gt;"İptal",COUNTIFS($A$6:$A$1005,A352,$D$6:$D$1005,"&lt;"&amp;E352,$E$6:$E$1005,"&gt;"&amp;D352,$F$6:$F$1005,"&lt;&gt;İptal")&gt;1),"HATA: oda bu tarihlerde çakışıyor",IF(AND(F352="Bekleniyor",D352&lt;RaporTarihi),"HATA: giriş günü geçti, Geldi veya İptal yapın","OK"))))))))))))</f>
        <v/>
      </c>
      <c r="L352" s="25">
        <f>IF(AND(ISNUMBER(A352),F352&lt;&gt;"İptal",ISNUMBER(D352),ISNUMBER(E352),D352&lt;=RaporTarihi,E352&gt;RaporTarihi),A352,"")</f>
        <v/>
      </c>
    </row>
    <row r="353">
      <c r="A353" s="22" t="n"/>
      <c r="B353" s="22" t="n"/>
      <c r="C353" s="22" t="n"/>
      <c r="D353" s="23" t="n"/>
      <c r="E353" s="23" t="n"/>
      <c r="F353" s="22" t="n"/>
      <c r="G353" s="24" t="n"/>
      <c r="H353" s="22" t="n"/>
      <c r="I353" s="25">
        <f>IF(AND(ISNUMBER(D353),ISNUMBER(E353)),E353-D353,"")</f>
        <v/>
      </c>
      <c r="J353" s="26">
        <f>IF(AND(ISNUMBER(I353),ISNUMBER(G353)),IF(I353&gt;0,G353/I353,""),"")</f>
        <v/>
      </c>
      <c r="K353" s="25">
        <f>IF(COUNTA(A353:H353)=0,"",IF(OR(A353="",B353="",C353="",D353="",E353="",F353="",G353="",H353=""),"HATA: eksik bilgi",IF(COUNTIF(OdaListesi,A353)=0,"HATA: geçersiz oda no",IF(OR(NOT(ISNUMBER(D353)),NOT(ISNUMBER(E353))),"HATA: tarih geçersiz",IF(E353&lt;=D353,"HATA: çıkış girişten sonra olmalı",IF(OR(NOT(ISNUMBER(C353)),C353&lt;1,C353&gt;MaxKisi,C353&lt;&gt;INT(C353)),"HATA: kişi sayısı geçersiz",IF(OR(NOT(ISNUMBER(G353)),G353&lt;0),"HATA: tutar geçersiz",IF(B353&lt;&gt;TRIM(B353),"HATA: isimde baştaki/sondaki boşluk",IF(COUNTIF(KaynakAralik,H353)=0,"HATA: kaynak listede yok",IF(AND(F353&lt;&gt;"Bekleniyor",F353&lt;&gt;"Geldi",F353&lt;&gt;"İptal"),"HATA: giriş durumu geçersiz",IF(AND(F353&lt;&gt;"İptal",COUNTIFS($A$6:$A$1005,A353,$D$6:$D$1005,"&lt;"&amp;E353,$E$6:$E$1005,"&gt;"&amp;D353,$F$6:$F$1005,"&lt;&gt;İptal")&gt;1),"HATA: oda bu tarihlerde çakışıyor",IF(AND(F353="Bekleniyor",D353&lt;RaporTarihi),"HATA: giriş günü geçti, Geldi veya İptal yapın","OK"))))))))))))</f>
        <v/>
      </c>
      <c r="L353" s="25">
        <f>IF(AND(ISNUMBER(A353),F353&lt;&gt;"İptal",ISNUMBER(D353),ISNUMBER(E353),D353&lt;=RaporTarihi,E353&gt;RaporTarihi),A353,"")</f>
        <v/>
      </c>
    </row>
    <row r="354">
      <c r="A354" s="22" t="n"/>
      <c r="B354" s="22" t="n"/>
      <c r="C354" s="22" t="n"/>
      <c r="D354" s="23" t="n"/>
      <c r="E354" s="23" t="n"/>
      <c r="F354" s="22" t="n"/>
      <c r="G354" s="24" t="n"/>
      <c r="H354" s="22" t="n"/>
      <c r="I354" s="25">
        <f>IF(AND(ISNUMBER(D354),ISNUMBER(E354)),E354-D354,"")</f>
        <v/>
      </c>
      <c r="J354" s="26">
        <f>IF(AND(ISNUMBER(I354),ISNUMBER(G354)),IF(I354&gt;0,G354/I354,""),"")</f>
        <v/>
      </c>
      <c r="K354" s="25">
        <f>IF(COUNTA(A354:H354)=0,"",IF(OR(A354="",B354="",C354="",D354="",E354="",F354="",G354="",H354=""),"HATA: eksik bilgi",IF(COUNTIF(OdaListesi,A354)=0,"HATA: geçersiz oda no",IF(OR(NOT(ISNUMBER(D354)),NOT(ISNUMBER(E354))),"HATA: tarih geçersiz",IF(E354&lt;=D354,"HATA: çıkış girişten sonra olmalı",IF(OR(NOT(ISNUMBER(C354)),C354&lt;1,C354&gt;MaxKisi,C354&lt;&gt;INT(C354)),"HATA: kişi sayısı geçersiz",IF(OR(NOT(ISNUMBER(G354)),G354&lt;0),"HATA: tutar geçersiz",IF(B354&lt;&gt;TRIM(B354),"HATA: isimde baştaki/sondaki boşluk",IF(COUNTIF(KaynakAralik,H354)=0,"HATA: kaynak listede yok",IF(AND(F354&lt;&gt;"Bekleniyor",F354&lt;&gt;"Geldi",F354&lt;&gt;"İptal"),"HATA: giriş durumu geçersiz",IF(AND(F354&lt;&gt;"İptal",COUNTIFS($A$6:$A$1005,A354,$D$6:$D$1005,"&lt;"&amp;E354,$E$6:$E$1005,"&gt;"&amp;D354,$F$6:$F$1005,"&lt;&gt;İptal")&gt;1),"HATA: oda bu tarihlerde çakışıyor",IF(AND(F354="Bekleniyor",D354&lt;RaporTarihi),"HATA: giriş günü geçti, Geldi veya İptal yapın","OK"))))))))))))</f>
        <v/>
      </c>
      <c r="L354" s="25">
        <f>IF(AND(ISNUMBER(A354),F354&lt;&gt;"İptal",ISNUMBER(D354),ISNUMBER(E354),D354&lt;=RaporTarihi,E354&gt;RaporTarihi),A354,"")</f>
        <v/>
      </c>
    </row>
    <row r="355">
      <c r="A355" s="22" t="n"/>
      <c r="B355" s="22" t="n"/>
      <c r="C355" s="22" t="n"/>
      <c r="D355" s="23" t="n"/>
      <c r="E355" s="23" t="n"/>
      <c r="F355" s="22" t="n"/>
      <c r="G355" s="24" t="n"/>
      <c r="H355" s="22" t="n"/>
      <c r="I355" s="25">
        <f>IF(AND(ISNUMBER(D355),ISNUMBER(E355)),E355-D355,"")</f>
        <v/>
      </c>
      <c r="J355" s="26">
        <f>IF(AND(ISNUMBER(I355),ISNUMBER(G355)),IF(I355&gt;0,G355/I355,""),"")</f>
        <v/>
      </c>
      <c r="K355" s="25">
        <f>IF(COUNTA(A355:H355)=0,"",IF(OR(A355="",B355="",C355="",D355="",E355="",F355="",G355="",H355=""),"HATA: eksik bilgi",IF(COUNTIF(OdaListesi,A355)=0,"HATA: geçersiz oda no",IF(OR(NOT(ISNUMBER(D355)),NOT(ISNUMBER(E355))),"HATA: tarih geçersiz",IF(E355&lt;=D355,"HATA: çıkış girişten sonra olmalı",IF(OR(NOT(ISNUMBER(C355)),C355&lt;1,C355&gt;MaxKisi,C355&lt;&gt;INT(C355)),"HATA: kişi sayısı geçersiz",IF(OR(NOT(ISNUMBER(G355)),G355&lt;0),"HATA: tutar geçersiz",IF(B355&lt;&gt;TRIM(B355),"HATA: isimde baştaki/sondaki boşluk",IF(COUNTIF(KaynakAralik,H355)=0,"HATA: kaynak listede yok",IF(AND(F355&lt;&gt;"Bekleniyor",F355&lt;&gt;"Geldi",F355&lt;&gt;"İptal"),"HATA: giriş durumu geçersiz",IF(AND(F355&lt;&gt;"İptal",COUNTIFS($A$6:$A$1005,A355,$D$6:$D$1005,"&lt;"&amp;E355,$E$6:$E$1005,"&gt;"&amp;D355,$F$6:$F$1005,"&lt;&gt;İptal")&gt;1),"HATA: oda bu tarihlerde çakışıyor",IF(AND(F355="Bekleniyor",D355&lt;RaporTarihi),"HATA: giriş günü geçti, Geldi veya İptal yapın","OK"))))))))))))</f>
        <v/>
      </c>
      <c r="L355" s="25">
        <f>IF(AND(ISNUMBER(A355),F355&lt;&gt;"İptal",ISNUMBER(D355),ISNUMBER(E355),D355&lt;=RaporTarihi,E355&gt;RaporTarihi),A355,"")</f>
        <v/>
      </c>
    </row>
    <row r="356">
      <c r="A356" s="22" t="n"/>
      <c r="B356" s="22" t="n"/>
      <c r="C356" s="22" t="n"/>
      <c r="D356" s="23" t="n"/>
      <c r="E356" s="23" t="n"/>
      <c r="F356" s="22" t="n"/>
      <c r="G356" s="24" t="n"/>
      <c r="H356" s="22" t="n"/>
      <c r="I356" s="25">
        <f>IF(AND(ISNUMBER(D356),ISNUMBER(E356)),E356-D356,"")</f>
        <v/>
      </c>
      <c r="J356" s="26">
        <f>IF(AND(ISNUMBER(I356),ISNUMBER(G356)),IF(I356&gt;0,G356/I356,""),"")</f>
        <v/>
      </c>
      <c r="K356" s="25">
        <f>IF(COUNTA(A356:H356)=0,"",IF(OR(A356="",B356="",C356="",D356="",E356="",F356="",G356="",H356=""),"HATA: eksik bilgi",IF(COUNTIF(OdaListesi,A356)=0,"HATA: geçersiz oda no",IF(OR(NOT(ISNUMBER(D356)),NOT(ISNUMBER(E356))),"HATA: tarih geçersiz",IF(E356&lt;=D356,"HATA: çıkış girişten sonra olmalı",IF(OR(NOT(ISNUMBER(C356)),C356&lt;1,C356&gt;MaxKisi,C356&lt;&gt;INT(C356)),"HATA: kişi sayısı geçersiz",IF(OR(NOT(ISNUMBER(G356)),G356&lt;0),"HATA: tutar geçersiz",IF(B356&lt;&gt;TRIM(B356),"HATA: isimde baştaki/sondaki boşluk",IF(COUNTIF(KaynakAralik,H356)=0,"HATA: kaynak listede yok",IF(AND(F356&lt;&gt;"Bekleniyor",F356&lt;&gt;"Geldi",F356&lt;&gt;"İptal"),"HATA: giriş durumu geçersiz",IF(AND(F356&lt;&gt;"İptal",COUNTIFS($A$6:$A$1005,A356,$D$6:$D$1005,"&lt;"&amp;E356,$E$6:$E$1005,"&gt;"&amp;D356,$F$6:$F$1005,"&lt;&gt;İptal")&gt;1),"HATA: oda bu tarihlerde çakışıyor",IF(AND(F356="Bekleniyor",D356&lt;RaporTarihi),"HATA: giriş günü geçti, Geldi veya İptal yapın","OK"))))))))))))</f>
        <v/>
      </c>
      <c r="L356" s="25">
        <f>IF(AND(ISNUMBER(A356),F356&lt;&gt;"İptal",ISNUMBER(D356),ISNUMBER(E356),D356&lt;=RaporTarihi,E356&gt;RaporTarihi),A356,"")</f>
        <v/>
      </c>
    </row>
    <row r="357">
      <c r="A357" s="22" t="n"/>
      <c r="B357" s="22" t="n"/>
      <c r="C357" s="22" t="n"/>
      <c r="D357" s="23" t="n"/>
      <c r="E357" s="23" t="n"/>
      <c r="F357" s="22" t="n"/>
      <c r="G357" s="24" t="n"/>
      <c r="H357" s="22" t="n"/>
      <c r="I357" s="25">
        <f>IF(AND(ISNUMBER(D357),ISNUMBER(E357)),E357-D357,"")</f>
        <v/>
      </c>
      <c r="J357" s="26">
        <f>IF(AND(ISNUMBER(I357),ISNUMBER(G357)),IF(I357&gt;0,G357/I357,""),"")</f>
        <v/>
      </c>
      <c r="K357" s="25">
        <f>IF(COUNTA(A357:H357)=0,"",IF(OR(A357="",B357="",C357="",D357="",E357="",F357="",G357="",H357=""),"HATA: eksik bilgi",IF(COUNTIF(OdaListesi,A357)=0,"HATA: geçersiz oda no",IF(OR(NOT(ISNUMBER(D357)),NOT(ISNUMBER(E357))),"HATA: tarih geçersiz",IF(E357&lt;=D357,"HATA: çıkış girişten sonra olmalı",IF(OR(NOT(ISNUMBER(C357)),C357&lt;1,C357&gt;MaxKisi,C357&lt;&gt;INT(C357)),"HATA: kişi sayısı geçersiz",IF(OR(NOT(ISNUMBER(G357)),G357&lt;0),"HATA: tutar geçersiz",IF(B357&lt;&gt;TRIM(B357),"HATA: isimde baştaki/sondaki boşluk",IF(COUNTIF(KaynakAralik,H357)=0,"HATA: kaynak listede yok",IF(AND(F357&lt;&gt;"Bekleniyor",F357&lt;&gt;"Geldi",F357&lt;&gt;"İptal"),"HATA: giriş durumu geçersiz",IF(AND(F357&lt;&gt;"İptal",COUNTIFS($A$6:$A$1005,A357,$D$6:$D$1005,"&lt;"&amp;E357,$E$6:$E$1005,"&gt;"&amp;D357,$F$6:$F$1005,"&lt;&gt;İptal")&gt;1),"HATA: oda bu tarihlerde çakışıyor",IF(AND(F357="Bekleniyor",D357&lt;RaporTarihi),"HATA: giriş günü geçti, Geldi veya İptal yapın","OK"))))))))))))</f>
        <v/>
      </c>
      <c r="L357" s="25">
        <f>IF(AND(ISNUMBER(A357),F357&lt;&gt;"İptal",ISNUMBER(D357),ISNUMBER(E357),D357&lt;=RaporTarihi,E357&gt;RaporTarihi),A357,"")</f>
        <v/>
      </c>
    </row>
    <row r="358">
      <c r="A358" s="22" t="n"/>
      <c r="B358" s="22" t="n"/>
      <c r="C358" s="22" t="n"/>
      <c r="D358" s="23" t="n"/>
      <c r="E358" s="23" t="n"/>
      <c r="F358" s="22" t="n"/>
      <c r="G358" s="24" t="n"/>
      <c r="H358" s="22" t="n"/>
      <c r="I358" s="25">
        <f>IF(AND(ISNUMBER(D358),ISNUMBER(E358)),E358-D358,"")</f>
        <v/>
      </c>
      <c r="J358" s="26">
        <f>IF(AND(ISNUMBER(I358),ISNUMBER(G358)),IF(I358&gt;0,G358/I358,""),"")</f>
        <v/>
      </c>
      <c r="K358" s="25">
        <f>IF(COUNTA(A358:H358)=0,"",IF(OR(A358="",B358="",C358="",D358="",E358="",F358="",G358="",H358=""),"HATA: eksik bilgi",IF(COUNTIF(OdaListesi,A358)=0,"HATA: geçersiz oda no",IF(OR(NOT(ISNUMBER(D358)),NOT(ISNUMBER(E358))),"HATA: tarih geçersiz",IF(E358&lt;=D358,"HATA: çıkış girişten sonra olmalı",IF(OR(NOT(ISNUMBER(C358)),C358&lt;1,C358&gt;MaxKisi,C358&lt;&gt;INT(C358)),"HATA: kişi sayısı geçersiz",IF(OR(NOT(ISNUMBER(G358)),G358&lt;0),"HATA: tutar geçersiz",IF(B358&lt;&gt;TRIM(B358),"HATA: isimde baştaki/sondaki boşluk",IF(COUNTIF(KaynakAralik,H358)=0,"HATA: kaynak listede yok",IF(AND(F358&lt;&gt;"Bekleniyor",F358&lt;&gt;"Geldi",F358&lt;&gt;"İptal"),"HATA: giriş durumu geçersiz",IF(AND(F358&lt;&gt;"İptal",COUNTIFS($A$6:$A$1005,A358,$D$6:$D$1005,"&lt;"&amp;E358,$E$6:$E$1005,"&gt;"&amp;D358,$F$6:$F$1005,"&lt;&gt;İptal")&gt;1),"HATA: oda bu tarihlerde çakışıyor",IF(AND(F358="Bekleniyor",D358&lt;RaporTarihi),"HATA: giriş günü geçti, Geldi veya İptal yapın","OK"))))))))))))</f>
        <v/>
      </c>
      <c r="L358" s="25">
        <f>IF(AND(ISNUMBER(A358),F358&lt;&gt;"İptal",ISNUMBER(D358),ISNUMBER(E358),D358&lt;=RaporTarihi,E358&gt;RaporTarihi),A358,"")</f>
        <v/>
      </c>
    </row>
    <row r="359">
      <c r="A359" s="22" t="n"/>
      <c r="B359" s="22" t="n"/>
      <c r="C359" s="22" t="n"/>
      <c r="D359" s="23" t="n"/>
      <c r="E359" s="23" t="n"/>
      <c r="F359" s="22" t="n"/>
      <c r="G359" s="24" t="n"/>
      <c r="H359" s="22" t="n"/>
      <c r="I359" s="25">
        <f>IF(AND(ISNUMBER(D359),ISNUMBER(E359)),E359-D359,"")</f>
        <v/>
      </c>
      <c r="J359" s="26">
        <f>IF(AND(ISNUMBER(I359),ISNUMBER(G359)),IF(I359&gt;0,G359/I359,""),"")</f>
        <v/>
      </c>
      <c r="K359" s="25">
        <f>IF(COUNTA(A359:H359)=0,"",IF(OR(A359="",B359="",C359="",D359="",E359="",F359="",G359="",H359=""),"HATA: eksik bilgi",IF(COUNTIF(OdaListesi,A359)=0,"HATA: geçersiz oda no",IF(OR(NOT(ISNUMBER(D359)),NOT(ISNUMBER(E359))),"HATA: tarih geçersiz",IF(E359&lt;=D359,"HATA: çıkış girişten sonra olmalı",IF(OR(NOT(ISNUMBER(C359)),C359&lt;1,C359&gt;MaxKisi,C359&lt;&gt;INT(C359)),"HATA: kişi sayısı geçersiz",IF(OR(NOT(ISNUMBER(G359)),G359&lt;0),"HATA: tutar geçersiz",IF(B359&lt;&gt;TRIM(B359),"HATA: isimde baştaki/sondaki boşluk",IF(COUNTIF(KaynakAralik,H359)=0,"HATA: kaynak listede yok",IF(AND(F359&lt;&gt;"Bekleniyor",F359&lt;&gt;"Geldi",F359&lt;&gt;"İptal"),"HATA: giriş durumu geçersiz",IF(AND(F359&lt;&gt;"İptal",COUNTIFS($A$6:$A$1005,A359,$D$6:$D$1005,"&lt;"&amp;E359,$E$6:$E$1005,"&gt;"&amp;D359,$F$6:$F$1005,"&lt;&gt;İptal")&gt;1),"HATA: oda bu tarihlerde çakışıyor",IF(AND(F359="Bekleniyor",D359&lt;RaporTarihi),"HATA: giriş günü geçti, Geldi veya İptal yapın","OK"))))))))))))</f>
        <v/>
      </c>
      <c r="L359" s="25">
        <f>IF(AND(ISNUMBER(A359),F359&lt;&gt;"İptal",ISNUMBER(D359),ISNUMBER(E359),D359&lt;=RaporTarihi,E359&gt;RaporTarihi),A359,"")</f>
        <v/>
      </c>
    </row>
    <row r="360">
      <c r="A360" s="22" t="n"/>
      <c r="B360" s="22" t="n"/>
      <c r="C360" s="22" t="n"/>
      <c r="D360" s="23" t="n"/>
      <c r="E360" s="23" t="n"/>
      <c r="F360" s="22" t="n"/>
      <c r="G360" s="24" t="n"/>
      <c r="H360" s="22" t="n"/>
      <c r="I360" s="25">
        <f>IF(AND(ISNUMBER(D360),ISNUMBER(E360)),E360-D360,"")</f>
        <v/>
      </c>
      <c r="J360" s="26">
        <f>IF(AND(ISNUMBER(I360),ISNUMBER(G360)),IF(I360&gt;0,G360/I360,""),"")</f>
        <v/>
      </c>
      <c r="K360" s="25">
        <f>IF(COUNTA(A360:H360)=0,"",IF(OR(A360="",B360="",C360="",D360="",E360="",F360="",G360="",H360=""),"HATA: eksik bilgi",IF(COUNTIF(OdaListesi,A360)=0,"HATA: geçersiz oda no",IF(OR(NOT(ISNUMBER(D360)),NOT(ISNUMBER(E360))),"HATA: tarih geçersiz",IF(E360&lt;=D360,"HATA: çıkış girişten sonra olmalı",IF(OR(NOT(ISNUMBER(C360)),C360&lt;1,C360&gt;MaxKisi,C360&lt;&gt;INT(C360)),"HATA: kişi sayısı geçersiz",IF(OR(NOT(ISNUMBER(G360)),G360&lt;0),"HATA: tutar geçersiz",IF(B360&lt;&gt;TRIM(B360),"HATA: isimde baştaki/sondaki boşluk",IF(COUNTIF(KaynakAralik,H360)=0,"HATA: kaynak listede yok",IF(AND(F360&lt;&gt;"Bekleniyor",F360&lt;&gt;"Geldi",F360&lt;&gt;"İptal"),"HATA: giriş durumu geçersiz",IF(AND(F360&lt;&gt;"İptal",COUNTIFS($A$6:$A$1005,A360,$D$6:$D$1005,"&lt;"&amp;E360,$E$6:$E$1005,"&gt;"&amp;D360,$F$6:$F$1005,"&lt;&gt;İptal")&gt;1),"HATA: oda bu tarihlerde çakışıyor",IF(AND(F360="Bekleniyor",D360&lt;RaporTarihi),"HATA: giriş günü geçti, Geldi veya İptal yapın","OK"))))))))))))</f>
        <v/>
      </c>
      <c r="L360" s="25">
        <f>IF(AND(ISNUMBER(A360),F360&lt;&gt;"İptal",ISNUMBER(D360),ISNUMBER(E360),D360&lt;=RaporTarihi,E360&gt;RaporTarihi),A360,"")</f>
        <v/>
      </c>
    </row>
    <row r="361">
      <c r="A361" s="22" t="n"/>
      <c r="B361" s="22" t="n"/>
      <c r="C361" s="22" t="n"/>
      <c r="D361" s="23" t="n"/>
      <c r="E361" s="23" t="n"/>
      <c r="F361" s="22" t="n"/>
      <c r="G361" s="24" t="n"/>
      <c r="H361" s="22" t="n"/>
      <c r="I361" s="25">
        <f>IF(AND(ISNUMBER(D361),ISNUMBER(E361)),E361-D361,"")</f>
        <v/>
      </c>
      <c r="J361" s="26">
        <f>IF(AND(ISNUMBER(I361),ISNUMBER(G361)),IF(I361&gt;0,G361/I361,""),"")</f>
        <v/>
      </c>
      <c r="K361" s="25">
        <f>IF(COUNTA(A361:H361)=0,"",IF(OR(A361="",B361="",C361="",D361="",E361="",F361="",G361="",H361=""),"HATA: eksik bilgi",IF(COUNTIF(OdaListesi,A361)=0,"HATA: geçersiz oda no",IF(OR(NOT(ISNUMBER(D361)),NOT(ISNUMBER(E361))),"HATA: tarih geçersiz",IF(E361&lt;=D361,"HATA: çıkış girişten sonra olmalı",IF(OR(NOT(ISNUMBER(C361)),C361&lt;1,C361&gt;MaxKisi,C361&lt;&gt;INT(C361)),"HATA: kişi sayısı geçersiz",IF(OR(NOT(ISNUMBER(G361)),G361&lt;0),"HATA: tutar geçersiz",IF(B361&lt;&gt;TRIM(B361),"HATA: isimde baştaki/sondaki boşluk",IF(COUNTIF(KaynakAralik,H361)=0,"HATA: kaynak listede yok",IF(AND(F361&lt;&gt;"Bekleniyor",F361&lt;&gt;"Geldi",F361&lt;&gt;"İptal"),"HATA: giriş durumu geçersiz",IF(AND(F361&lt;&gt;"İptal",COUNTIFS($A$6:$A$1005,A361,$D$6:$D$1005,"&lt;"&amp;E361,$E$6:$E$1005,"&gt;"&amp;D361,$F$6:$F$1005,"&lt;&gt;İptal")&gt;1),"HATA: oda bu tarihlerde çakışıyor",IF(AND(F361="Bekleniyor",D361&lt;RaporTarihi),"HATA: giriş günü geçti, Geldi veya İptal yapın","OK"))))))))))))</f>
        <v/>
      </c>
      <c r="L361" s="25">
        <f>IF(AND(ISNUMBER(A361),F361&lt;&gt;"İptal",ISNUMBER(D361),ISNUMBER(E361),D361&lt;=RaporTarihi,E361&gt;RaporTarihi),A361,"")</f>
        <v/>
      </c>
    </row>
    <row r="362">
      <c r="A362" s="22" t="n"/>
      <c r="B362" s="22" t="n"/>
      <c r="C362" s="22" t="n"/>
      <c r="D362" s="23" t="n"/>
      <c r="E362" s="23" t="n"/>
      <c r="F362" s="22" t="n"/>
      <c r="G362" s="24" t="n"/>
      <c r="H362" s="22" t="n"/>
      <c r="I362" s="25">
        <f>IF(AND(ISNUMBER(D362),ISNUMBER(E362)),E362-D362,"")</f>
        <v/>
      </c>
      <c r="J362" s="26">
        <f>IF(AND(ISNUMBER(I362),ISNUMBER(G362)),IF(I362&gt;0,G362/I362,""),"")</f>
        <v/>
      </c>
      <c r="K362" s="25">
        <f>IF(COUNTA(A362:H362)=0,"",IF(OR(A362="",B362="",C362="",D362="",E362="",F362="",G362="",H362=""),"HATA: eksik bilgi",IF(COUNTIF(OdaListesi,A362)=0,"HATA: geçersiz oda no",IF(OR(NOT(ISNUMBER(D362)),NOT(ISNUMBER(E362))),"HATA: tarih geçersiz",IF(E362&lt;=D362,"HATA: çıkış girişten sonra olmalı",IF(OR(NOT(ISNUMBER(C362)),C362&lt;1,C362&gt;MaxKisi,C362&lt;&gt;INT(C362)),"HATA: kişi sayısı geçersiz",IF(OR(NOT(ISNUMBER(G362)),G362&lt;0),"HATA: tutar geçersiz",IF(B362&lt;&gt;TRIM(B362),"HATA: isimde baştaki/sondaki boşluk",IF(COUNTIF(KaynakAralik,H362)=0,"HATA: kaynak listede yok",IF(AND(F362&lt;&gt;"Bekleniyor",F362&lt;&gt;"Geldi",F362&lt;&gt;"İptal"),"HATA: giriş durumu geçersiz",IF(AND(F362&lt;&gt;"İptal",COUNTIFS($A$6:$A$1005,A362,$D$6:$D$1005,"&lt;"&amp;E362,$E$6:$E$1005,"&gt;"&amp;D362,$F$6:$F$1005,"&lt;&gt;İptal")&gt;1),"HATA: oda bu tarihlerde çakışıyor",IF(AND(F362="Bekleniyor",D362&lt;RaporTarihi),"HATA: giriş günü geçti, Geldi veya İptal yapın","OK"))))))))))))</f>
        <v/>
      </c>
      <c r="L362" s="25">
        <f>IF(AND(ISNUMBER(A362),F362&lt;&gt;"İptal",ISNUMBER(D362),ISNUMBER(E362),D362&lt;=RaporTarihi,E362&gt;RaporTarihi),A362,"")</f>
        <v/>
      </c>
    </row>
    <row r="363">
      <c r="A363" s="22" t="n"/>
      <c r="B363" s="22" t="n"/>
      <c r="C363" s="22" t="n"/>
      <c r="D363" s="23" t="n"/>
      <c r="E363" s="23" t="n"/>
      <c r="F363" s="22" t="n"/>
      <c r="G363" s="24" t="n"/>
      <c r="H363" s="22" t="n"/>
      <c r="I363" s="25">
        <f>IF(AND(ISNUMBER(D363),ISNUMBER(E363)),E363-D363,"")</f>
        <v/>
      </c>
      <c r="J363" s="26">
        <f>IF(AND(ISNUMBER(I363),ISNUMBER(G363)),IF(I363&gt;0,G363/I363,""),"")</f>
        <v/>
      </c>
      <c r="K363" s="25">
        <f>IF(COUNTA(A363:H363)=0,"",IF(OR(A363="",B363="",C363="",D363="",E363="",F363="",G363="",H363=""),"HATA: eksik bilgi",IF(COUNTIF(OdaListesi,A363)=0,"HATA: geçersiz oda no",IF(OR(NOT(ISNUMBER(D363)),NOT(ISNUMBER(E363))),"HATA: tarih geçersiz",IF(E363&lt;=D363,"HATA: çıkış girişten sonra olmalı",IF(OR(NOT(ISNUMBER(C363)),C363&lt;1,C363&gt;MaxKisi,C363&lt;&gt;INT(C363)),"HATA: kişi sayısı geçersiz",IF(OR(NOT(ISNUMBER(G363)),G363&lt;0),"HATA: tutar geçersiz",IF(B363&lt;&gt;TRIM(B363),"HATA: isimde baştaki/sondaki boşluk",IF(COUNTIF(KaynakAralik,H363)=0,"HATA: kaynak listede yok",IF(AND(F363&lt;&gt;"Bekleniyor",F363&lt;&gt;"Geldi",F363&lt;&gt;"İptal"),"HATA: giriş durumu geçersiz",IF(AND(F363&lt;&gt;"İptal",COUNTIFS($A$6:$A$1005,A363,$D$6:$D$1005,"&lt;"&amp;E363,$E$6:$E$1005,"&gt;"&amp;D363,$F$6:$F$1005,"&lt;&gt;İptal")&gt;1),"HATA: oda bu tarihlerde çakışıyor",IF(AND(F363="Bekleniyor",D363&lt;RaporTarihi),"HATA: giriş günü geçti, Geldi veya İptal yapın","OK"))))))))))))</f>
        <v/>
      </c>
      <c r="L363" s="25">
        <f>IF(AND(ISNUMBER(A363),F363&lt;&gt;"İptal",ISNUMBER(D363),ISNUMBER(E363),D363&lt;=RaporTarihi,E363&gt;RaporTarihi),A363,"")</f>
        <v/>
      </c>
    </row>
    <row r="364">
      <c r="A364" s="22" t="n"/>
      <c r="B364" s="22" t="n"/>
      <c r="C364" s="22" t="n"/>
      <c r="D364" s="23" t="n"/>
      <c r="E364" s="23" t="n"/>
      <c r="F364" s="22" t="n"/>
      <c r="G364" s="24" t="n"/>
      <c r="H364" s="22" t="n"/>
      <c r="I364" s="25">
        <f>IF(AND(ISNUMBER(D364),ISNUMBER(E364)),E364-D364,"")</f>
        <v/>
      </c>
      <c r="J364" s="26">
        <f>IF(AND(ISNUMBER(I364),ISNUMBER(G364)),IF(I364&gt;0,G364/I364,""),"")</f>
        <v/>
      </c>
      <c r="K364" s="25">
        <f>IF(COUNTA(A364:H364)=0,"",IF(OR(A364="",B364="",C364="",D364="",E364="",F364="",G364="",H364=""),"HATA: eksik bilgi",IF(COUNTIF(OdaListesi,A364)=0,"HATA: geçersiz oda no",IF(OR(NOT(ISNUMBER(D364)),NOT(ISNUMBER(E364))),"HATA: tarih geçersiz",IF(E364&lt;=D364,"HATA: çıkış girişten sonra olmalı",IF(OR(NOT(ISNUMBER(C364)),C364&lt;1,C364&gt;MaxKisi,C364&lt;&gt;INT(C364)),"HATA: kişi sayısı geçersiz",IF(OR(NOT(ISNUMBER(G364)),G364&lt;0),"HATA: tutar geçersiz",IF(B364&lt;&gt;TRIM(B364),"HATA: isimde baştaki/sondaki boşluk",IF(COUNTIF(KaynakAralik,H364)=0,"HATA: kaynak listede yok",IF(AND(F364&lt;&gt;"Bekleniyor",F364&lt;&gt;"Geldi",F364&lt;&gt;"İptal"),"HATA: giriş durumu geçersiz",IF(AND(F364&lt;&gt;"İptal",COUNTIFS($A$6:$A$1005,A364,$D$6:$D$1005,"&lt;"&amp;E364,$E$6:$E$1005,"&gt;"&amp;D364,$F$6:$F$1005,"&lt;&gt;İptal")&gt;1),"HATA: oda bu tarihlerde çakışıyor",IF(AND(F364="Bekleniyor",D364&lt;RaporTarihi),"HATA: giriş günü geçti, Geldi veya İptal yapın","OK"))))))))))))</f>
        <v/>
      </c>
      <c r="L364" s="25">
        <f>IF(AND(ISNUMBER(A364),F364&lt;&gt;"İptal",ISNUMBER(D364),ISNUMBER(E364),D364&lt;=RaporTarihi,E364&gt;RaporTarihi),A364,"")</f>
        <v/>
      </c>
    </row>
    <row r="365">
      <c r="A365" s="22" t="n"/>
      <c r="B365" s="22" t="n"/>
      <c r="C365" s="22" t="n"/>
      <c r="D365" s="23" t="n"/>
      <c r="E365" s="23" t="n"/>
      <c r="F365" s="22" t="n"/>
      <c r="G365" s="24" t="n"/>
      <c r="H365" s="22" t="n"/>
      <c r="I365" s="25">
        <f>IF(AND(ISNUMBER(D365),ISNUMBER(E365)),E365-D365,"")</f>
        <v/>
      </c>
      <c r="J365" s="26">
        <f>IF(AND(ISNUMBER(I365),ISNUMBER(G365)),IF(I365&gt;0,G365/I365,""),"")</f>
        <v/>
      </c>
      <c r="K365" s="25">
        <f>IF(COUNTA(A365:H365)=0,"",IF(OR(A365="",B365="",C365="",D365="",E365="",F365="",G365="",H365=""),"HATA: eksik bilgi",IF(COUNTIF(OdaListesi,A365)=0,"HATA: geçersiz oda no",IF(OR(NOT(ISNUMBER(D365)),NOT(ISNUMBER(E365))),"HATA: tarih geçersiz",IF(E365&lt;=D365,"HATA: çıkış girişten sonra olmalı",IF(OR(NOT(ISNUMBER(C365)),C365&lt;1,C365&gt;MaxKisi,C365&lt;&gt;INT(C365)),"HATA: kişi sayısı geçersiz",IF(OR(NOT(ISNUMBER(G365)),G365&lt;0),"HATA: tutar geçersiz",IF(B365&lt;&gt;TRIM(B365),"HATA: isimde baştaki/sondaki boşluk",IF(COUNTIF(KaynakAralik,H365)=0,"HATA: kaynak listede yok",IF(AND(F365&lt;&gt;"Bekleniyor",F365&lt;&gt;"Geldi",F365&lt;&gt;"İptal"),"HATA: giriş durumu geçersiz",IF(AND(F365&lt;&gt;"İptal",COUNTIFS($A$6:$A$1005,A365,$D$6:$D$1005,"&lt;"&amp;E365,$E$6:$E$1005,"&gt;"&amp;D365,$F$6:$F$1005,"&lt;&gt;İptal")&gt;1),"HATA: oda bu tarihlerde çakışıyor",IF(AND(F365="Bekleniyor",D365&lt;RaporTarihi),"HATA: giriş günü geçti, Geldi veya İptal yapın","OK"))))))))))))</f>
        <v/>
      </c>
      <c r="L365" s="25">
        <f>IF(AND(ISNUMBER(A365),F365&lt;&gt;"İptal",ISNUMBER(D365),ISNUMBER(E365),D365&lt;=RaporTarihi,E365&gt;RaporTarihi),A365,"")</f>
        <v/>
      </c>
    </row>
    <row r="366">
      <c r="A366" s="22" t="n"/>
      <c r="B366" s="22" t="n"/>
      <c r="C366" s="22" t="n"/>
      <c r="D366" s="23" t="n"/>
      <c r="E366" s="23" t="n"/>
      <c r="F366" s="22" t="n"/>
      <c r="G366" s="24" t="n"/>
      <c r="H366" s="22" t="n"/>
      <c r="I366" s="25">
        <f>IF(AND(ISNUMBER(D366),ISNUMBER(E366)),E366-D366,"")</f>
        <v/>
      </c>
      <c r="J366" s="26">
        <f>IF(AND(ISNUMBER(I366),ISNUMBER(G366)),IF(I366&gt;0,G366/I366,""),"")</f>
        <v/>
      </c>
      <c r="K366" s="25">
        <f>IF(COUNTA(A366:H366)=0,"",IF(OR(A366="",B366="",C366="",D366="",E366="",F366="",G366="",H366=""),"HATA: eksik bilgi",IF(COUNTIF(OdaListesi,A366)=0,"HATA: geçersiz oda no",IF(OR(NOT(ISNUMBER(D366)),NOT(ISNUMBER(E366))),"HATA: tarih geçersiz",IF(E366&lt;=D366,"HATA: çıkış girişten sonra olmalı",IF(OR(NOT(ISNUMBER(C366)),C366&lt;1,C366&gt;MaxKisi,C366&lt;&gt;INT(C366)),"HATA: kişi sayısı geçersiz",IF(OR(NOT(ISNUMBER(G366)),G366&lt;0),"HATA: tutar geçersiz",IF(B366&lt;&gt;TRIM(B366),"HATA: isimde baştaki/sondaki boşluk",IF(COUNTIF(KaynakAralik,H366)=0,"HATA: kaynak listede yok",IF(AND(F366&lt;&gt;"Bekleniyor",F366&lt;&gt;"Geldi",F366&lt;&gt;"İptal"),"HATA: giriş durumu geçersiz",IF(AND(F366&lt;&gt;"İptal",COUNTIFS($A$6:$A$1005,A366,$D$6:$D$1005,"&lt;"&amp;E366,$E$6:$E$1005,"&gt;"&amp;D366,$F$6:$F$1005,"&lt;&gt;İptal")&gt;1),"HATA: oda bu tarihlerde çakışıyor",IF(AND(F366="Bekleniyor",D366&lt;RaporTarihi),"HATA: giriş günü geçti, Geldi veya İptal yapın","OK"))))))))))))</f>
        <v/>
      </c>
      <c r="L366" s="25">
        <f>IF(AND(ISNUMBER(A366),F366&lt;&gt;"İptal",ISNUMBER(D366),ISNUMBER(E366),D366&lt;=RaporTarihi,E366&gt;RaporTarihi),A366,"")</f>
        <v/>
      </c>
    </row>
    <row r="367">
      <c r="A367" s="22" t="n"/>
      <c r="B367" s="22" t="n"/>
      <c r="C367" s="22" t="n"/>
      <c r="D367" s="23" t="n"/>
      <c r="E367" s="23" t="n"/>
      <c r="F367" s="22" t="n"/>
      <c r="G367" s="24" t="n"/>
      <c r="H367" s="22" t="n"/>
      <c r="I367" s="25">
        <f>IF(AND(ISNUMBER(D367),ISNUMBER(E367)),E367-D367,"")</f>
        <v/>
      </c>
      <c r="J367" s="26">
        <f>IF(AND(ISNUMBER(I367),ISNUMBER(G367)),IF(I367&gt;0,G367/I367,""),"")</f>
        <v/>
      </c>
      <c r="K367" s="25">
        <f>IF(COUNTA(A367:H367)=0,"",IF(OR(A367="",B367="",C367="",D367="",E367="",F367="",G367="",H367=""),"HATA: eksik bilgi",IF(COUNTIF(OdaListesi,A367)=0,"HATA: geçersiz oda no",IF(OR(NOT(ISNUMBER(D367)),NOT(ISNUMBER(E367))),"HATA: tarih geçersiz",IF(E367&lt;=D367,"HATA: çıkış girişten sonra olmalı",IF(OR(NOT(ISNUMBER(C367)),C367&lt;1,C367&gt;MaxKisi,C367&lt;&gt;INT(C367)),"HATA: kişi sayısı geçersiz",IF(OR(NOT(ISNUMBER(G367)),G367&lt;0),"HATA: tutar geçersiz",IF(B367&lt;&gt;TRIM(B367),"HATA: isimde baştaki/sondaki boşluk",IF(COUNTIF(KaynakAralik,H367)=0,"HATA: kaynak listede yok",IF(AND(F367&lt;&gt;"Bekleniyor",F367&lt;&gt;"Geldi",F367&lt;&gt;"İptal"),"HATA: giriş durumu geçersiz",IF(AND(F367&lt;&gt;"İptal",COUNTIFS($A$6:$A$1005,A367,$D$6:$D$1005,"&lt;"&amp;E367,$E$6:$E$1005,"&gt;"&amp;D367,$F$6:$F$1005,"&lt;&gt;İptal")&gt;1),"HATA: oda bu tarihlerde çakışıyor",IF(AND(F367="Bekleniyor",D367&lt;RaporTarihi),"HATA: giriş günü geçti, Geldi veya İptal yapın","OK"))))))))))))</f>
        <v/>
      </c>
      <c r="L367" s="25">
        <f>IF(AND(ISNUMBER(A367),F367&lt;&gt;"İptal",ISNUMBER(D367),ISNUMBER(E367),D367&lt;=RaporTarihi,E367&gt;RaporTarihi),A367,"")</f>
        <v/>
      </c>
    </row>
    <row r="368">
      <c r="A368" s="22" t="n"/>
      <c r="B368" s="22" t="n"/>
      <c r="C368" s="22" t="n"/>
      <c r="D368" s="23" t="n"/>
      <c r="E368" s="23" t="n"/>
      <c r="F368" s="22" t="n"/>
      <c r="G368" s="24" t="n"/>
      <c r="H368" s="22" t="n"/>
      <c r="I368" s="25">
        <f>IF(AND(ISNUMBER(D368),ISNUMBER(E368)),E368-D368,"")</f>
        <v/>
      </c>
      <c r="J368" s="26">
        <f>IF(AND(ISNUMBER(I368),ISNUMBER(G368)),IF(I368&gt;0,G368/I368,""),"")</f>
        <v/>
      </c>
      <c r="K368" s="25">
        <f>IF(COUNTA(A368:H368)=0,"",IF(OR(A368="",B368="",C368="",D368="",E368="",F368="",G368="",H368=""),"HATA: eksik bilgi",IF(COUNTIF(OdaListesi,A368)=0,"HATA: geçersiz oda no",IF(OR(NOT(ISNUMBER(D368)),NOT(ISNUMBER(E368))),"HATA: tarih geçersiz",IF(E368&lt;=D368,"HATA: çıkış girişten sonra olmalı",IF(OR(NOT(ISNUMBER(C368)),C368&lt;1,C368&gt;MaxKisi,C368&lt;&gt;INT(C368)),"HATA: kişi sayısı geçersiz",IF(OR(NOT(ISNUMBER(G368)),G368&lt;0),"HATA: tutar geçersiz",IF(B368&lt;&gt;TRIM(B368),"HATA: isimde baştaki/sondaki boşluk",IF(COUNTIF(KaynakAralik,H368)=0,"HATA: kaynak listede yok",IF(AND(F368&lt;&gt;"Bekleniyor",F368&lt;&gt;"Geldi",F368&lt;&gt;"İptal"),"HATA: giriş durumu geçersiz",IF(AND(F368&lt;&gt;"İptal",COUNTIFS($A$6:$A$1005,A368,$D$6:$D$1005,"&lt;"&amp;E368,$E$6:$E$1005,"&gt;"&amp;D368,$F$6:$F$1005,"&lt;&gt;İptal")&gt;1),"HATA: oda bu tarihlerde çakışıyor",IF(AND(F368="Bekleniyor",D368&lt;RaporTarihi),"HATA: giriş günü geçti, Geldi veya İptal yapın","OK"))))))))))))</f>
        <v/>
      </c>
      <c r="L368" s="25">
        <f>IF(AND(ISNUMBER(A368),F368&lt;&gt;"İptal",ISNUMBER(D368),ISNUMBER(E368),D368&lt;=RaporTarihi,E368&gt;RaporTarihi),A368,"")</f>
        <v/>
      </c>
    </row>
    <row r="369">
      <c r="A369" s="22" t="n"/>
      <c r="B369" s="22" t="n"/>
      <c r="C369" s="22" t="n"/>
      <c r="D369" s="23" t="n"/>
      <c r="E369" s="23" t="n"/>
      <c r="F369" s="22" t="n"/>
      <c r="G369" s="24" t="n"/>
      <c r="H369" s="22" t="n"/>
      <c r="I369" s="25">
        <f>IF(AND(ISNUMBER(D369),ISNUMBER(E369)),E369-D369,"")</f>
        <v/>
      </c>
      <c r="J369" s="26">
        <f>IF(AND(ISNUMBER(I369),ISNUMBER(G369)),IF(I369&gt;0,G369/I369,""),"")</f>
        <v/>
      </c>
      <c r="K369" s="25">
        <f>IF(COUNTA(A369:H369)=0,"",IF(OR(A369="",B369="",C369="",D369="",E369="",F369="",G369="",H369=""),"HATA: eksik bilgi",IF(COUNTIF(OdaListesi,A369)=0,"HATA: geçersiz oda no",IF(OR(NOT(ISNUMBER(D369)),NOT(ISNUMBER(E369))),"HATA: tarih geçersiz",IF(E369&lt;=D369,"HATA: çıkış girişten sonra olmalı",IF(OR(NOT(ISNUMBER(C369)),C369&lt;1,C369&gt;MaxKisi,C369&lt;&gt;INT(C369)),"HATA: kişi sayısı geçersiz",IF(OR(NOT(ISNUMBER(G369)),G369&lt;0),"HATA: tutar geçersiz",IF(B369&lt;&gt;TRIM(B369),"HATA: isimde baştaki/sondaki boşluk",IF(COUNTIF(KaynakAralik,H369)=0,"HATA: kaynak listede yok",IF(AND(F369&lt;&gt;"Bekleniyor",F369&lt;&gt;"Geldi",F369&lt;&gt;"İptal"),"HATA: giriş durumu geçersiz",IF(AND(F369&lt;&gt;"İptal",COUNTIFS($A$6:$A$1005,A369,$D$6:$D$1005,"&lt;"&amp;E369,$E$6:$E$1005,"&gt;"&amp;D369,$F$6:$F$1005,"&lt;&gt;İptal")&gt;1),"HATA: oda bu tarihlerde çakışıyor",IF(AND(F369="Bekleniyor",D369&lt;RaporTarihi),"HATA: giriş günü geçti, Geldi veya İptal yapın","OK"))))))))))))</f>
        <v/>
      </c>
      <c r="L369" s="25">
        <f>IF(AND(ISNUMBER(A369),F369&lt;&gt;"İptal",ISNUMBER(D369),ISNUMBER(E369),D369&lt;=RaporTarihi,E369&gt;RaporTarihi),A369,"")</f>
        <v/>
      </c>
    </row>
    <row r="370">
      <c r="A370" s="22" t="n"/>
      <c r="B370" s="22" t="n"/>
      <c r="C370" s="22" t="n"/>
      <c r="D370" s="23" t="n"/>
      <c r="E370" s="23" t="n"/>
      <c r="F370" s="22" t="n"/>
      <c r="G370" s="24" t="n"/>
      <c r="H370" s="22" t="n"/>
      <c r="I370" s="25">
        <f>IF(AND(ISNUMBER(D370),ISNUMBER(E370)),E370-D370,"")</f>
        <v/>
      </c>
      <c r="J370" s="26">
        <f>IF(AND(ISNUMBER(I370),ISNUMBER(G370)),IF(I370&gt;0,G370/I370,""),"")</f>
        <v/>
      </c>
      <c r="K370" s="25">
        <f>IF(COUNTA(A370:H370)=0,"",IF(OR(A370="",B370="",C370="",D370="",E370="",F370="",G370="",H370=""),"HATA: eksik bilgi",IF(COUNTIF(OdaListesi,A370)=0,"HATA: geçersiz oda no",IF(OR(NOT(ISNUMBER(D370)),NOT(ISNUMBER(E370))),"HATA: tarih geçersiz",IF(E370&lt;=D370,"HATA: çıkış girişten sonra olmalı",IF(OR(NOT(ISNUMBER(C370)),C370&lt;1,C370&gt;MaxKisi,C370&lt;&gt;INT(C370)),"HATA: kişi sayısı geçersiz",IF(OR(NOT(ISNUMBER(G370)),G370&lt;0),"HATA: tutar geçersiz",IF(B370&lt;&gt;TRIM(B370),"HATA: isimde baştaki/sondaki boşluk",IF(COUNTIF(KaynakAralik,H370)=0,"HATA: kaynak listede yok",IF(AND(F370&lt;&gt;"Bekleniyor",F370&lt;&gt;"Geldi",F370&lt;&gt;"İptal"),"HATA: giriş durumu geçersiz",IF(AND(F370&lt;&gt;"İptal",COUNTIFS($A$6:$A$1005,A370,$D$6:$D$1005,"&lt;"&amp;E370,$E$6:$E$1005,"&gt;"&amp;D370,$F$6:$F$1005,"&lt;&gt;İptal")&gt;1),"HATA: oda bu tarihlerde çakışıyor",IF(AND(F370="Bekleniyor",D370&lt;RaporTarihi),"HATA: giriş günü geçti, Geldi veya İptal yapın","OK"))))))))))))</f>
        <v/>
      </c>
      <c r="L370" s="25">
        <f>IF(AND(ISNUMBER(A370),F370&lt;&gt;"İptal",ISNUMBER(D370),ISNUMBER(E370),D370&lt;=RaporTarihi,E370&gt;RaporTarihi),A370,"")</f>
        <v/>
      </c>
    </row>
    <row r="371">
      <c r="A371" s="22" t="n"/>
      <c r="B371" s="22" t="n"/>
      <c r="C371" s="22" t="n"/>
      <c r="D371" s="23" t="n"/>
      <c r="E371" s="23" t="n"/>
      <c r="F371" s="22" t="n"/>
      <c r="G371" s="24" t="n"/>
      <c r="H371" s="22" t="n"/>
      <c r="I371" s="25">
        <f>IF(AND(ISNUMBER(D371),ISNUMBER(E371)),E371-D371,"")</f>
        <v/>
      </c>
      <c r="J371" s="26">
        <f>IF(AND(ISNUMBER(I371),ISNUMBER(G371)),IF(I371&gt;0,G371/I371,""),"")</f>
        <v/>
      </c>
      <c r="K371" s="25">
        <f>IF(COUNTA(A371:H371)=0,"",IF(OR(A371="",B371="",C371="",D371="",E371="",F371="",G371="",H371=""),"HATA: eksik bilgi",IF(COUNTIF(OdaListesi,A371)=0,"HATA: geçersiz oda no",IF(OR(NOT(ISNUMBER(D371)),NOT(ISNUMBER(E371))),"HATA: tarih geçersiz",IF(E371&lt;=D371,"HATA: çıkış girişten sonra olmalı",IF(OR(NOT(ISNUMBER(C371)),C371&lt;1,C371&gt;MaxKisi,C371&lt;&gt;INT(C371)),"HATA: kişi sayısı geçersiz",IF(OR(NOT(ISNUMBER(G371)),G371&lt;0),"HATA: tutar geçersiz",IF(B371&lt;&gt;TRIM(B371),"HATA: isimde baştaki/sondaki boşluk",IF(COUNTIF(KaynakAralik,H371)=0,"HATA: kaynak listede yok",IF(AND(F371&lt;&gt;"Bekleniyor",F371&lt;&gt;"Geldi",F371&lt;&gt;"İptal"),"HATA: giriş durumu geçersiz",IF(AND(F371&lt;&gt;"İptal",COUNTIFS($A$6:$A$1005,A371,$D$6:$D$1005,"&lt;"&amp;E371,$E$6:$E$1005,"&gt;"&amp;D371,$F$6:$F$1005,"&lt;&gt;İptal")&gt;1),"HATA: oda bu tarihlerde çakışıyor",IF(AND(F371="Bekleniyor",D371&lt;RaporTarihi),"HATA: giriş günü geçti, Geldi veya İptal yapın","OK"))))))))))))</f>
        <v/>
      </c>
      <c r="L371" s="25">
        <f>IF(AND(ISNUMBER(A371),F371&lt;&gt;"İptal",ISNUMBER(D371),ISNUMBER(E371),D371&lt;=RaporTarihi,E371&gt;RaporTarihi),A371,"")</f>
        <v/>
      </c>
    </row>
    <row r="372">
      <c r="A372" s="22" t="n"/>
      <c r="B372" s="22" t="n"/>
      <c r="C372" s="22" t="n"/>
      <c r="D372" s="23" t="n"/>
      <c r="E372" s="23" t="n"/>
      <c r="F372" s="22" t="n"/>
      <c r="G372" s="24" t="n"/>
      <c r="H372" s="22" t="n"/>
      <c r="I372" s="25">
        <f>IF(AND(ISNUMBER(D372),ISNUMBER(E372)),E372-D372,"")</f>
        <v/>
      </c>
      <c r="J372" s="26">
        <f>IF(AND(ISNUMBER(I372),ISNUMBER(G372)),IF(I372&gt;0,G372/I372,""),"")</f>
        <v/>
      </c>
      <c r="K372" s="25">
        <f>IF(COUNTA(A372:H372)=0,"",IF(OR(A372="",B372="",C372="",D372="",E372="",F372="",G372="",H372=""),"HATA: eksik bilgi",IF(COUNTIF(OdaListesi,A372)=0,"HATA: geçersiz oda no",IF(OR(NOT(ISNUMBER(D372)),NOT(ISNUMBER(E372))),"HATA: tarih geçersiz",IF(E372&lt;=D372,"HATA: çıkış girişten sonra olmalı",IF(OR(NOT(ISNUMBER(C372)),C372&lt;1,C372&gt;MaxKisi,C372&lt;&gt;INT(C372)),"HATA: kişi sayısı geçersiz",IF(OR(NOT(ISNUMBER(G372)),G372&lt;0),"HATA: tutar geçersiz",IF(B372&lt;&gt;TRIM(B372),"HATA: isimde baştaki/sondaki boşluk",IF(COUNTIF(KaynakAralik,H372)=0,"HATA: kaynak listede yok",IF(AND(F372&lt;&gt;"Bekleniyor",F372&lt;&gt;"Geldi",F372&lt;&gt;"İptal"),"HATA: giriş durumu geçersiz",IF(AND(F372&lt;&gt;"İptal",COUNTIFS($A$6:$A$1005,A372,$D$6:$D$1005,"&lt;"&amp;E372,$E$6:$E$1005,"&gt;"&amp;D372,$F$6:$F$1005,"&lt;&gt;İptal")&gt;1),"HATA: oda bu tarihlerde çakışıyor",IF(AND(F372="Bekleniyor",D372&lt;RaporTarihi),"HATA: giriş günü geçti, Geldi veya İptal yapın","OK"))))))))))))</f>
        <v/>
      </c>
      <c r="L372" s="25">
        <f>IF(AND(ISNUMBER(A372),F372&lt;&gt;"İptal",ISNUMBER(D372),ISNUMBER(E372),D372&lt;=RaporTarihi,E372&gt;RaporTarihi),A372,"")</f>
        <v/>
      </c>
    </row>
    <row r="373">
      <c r="A373" s="22" t="n"/>
      <c r="B373" s="22" t="n"/>
      <c r="C373" s="22" t="n"/>
      <c r="D373" s="23" t="n"/>
      <c r="E373" s="23" t="n"/>
      <c r="F373" s="22" t="n"/>
      <c r="G373" s="24" t="n"/>
      <c r="H373" s="22" t="n"/>
      <c r="I373" s="25">
        <f>IF(AND(ISNUMBER(D373),ISNUMBER(E373)),E373-D373,"")</f>
        <v/>
      </c>
      <c r="J373" s="26">
        <f>IF(AND(ISNUMBER(I373),ISNUMBER(G373)),IF(I373&gt;0,G373/I373,""),"")</f>
        <v/>
      </c>
      <c r="K373" s="25">
        <f>IF(COUNTA(A373:H373)=0,"",IF(OR(A373="",B373="",C373="",D373="",E373="",F373="",G373="",H373=""),"HATA: eksik bilgi",IF(COUNTIF(OdaListesi,A373)=0,"HATA: geçersiz oda no",IF(OR(NOT(ISNUMBER(D373)),NOT(ISNUMBER(E373))),"HATA: tarih geçersiz",IF(E373&lt;=D373,"HATA: çıkış girişten sonra olmalı",IF(OR(NOT(ISNUMBER(C373)),C373&lt;1,C373&gt;MaxKisi,C373&lt;&gt;INT(C373)),"HATA: kişi sayısı geçersiz",IF(OR(NOT(ISNUMBER(G373)),G373&lt;0),"HATA: tutar geçersiz",IF(B373&lt;&gt;TRIM(B373),"HATA: isimde baştaki/sondaki boşluk",IF(COUNTIF(KaynakAralik,H373)=0,"HATA: kaynak listede yok",IF(AND(F373&lt;&gt;"Bekleniyor",F373&lt;&gt;"Geldi",F373&lt;&gt;"İptal"),"HATA: giriş durumu geçersiz",IF(AND(F373&lt;&gt;"İptal",COUNTIFS($A$6:$A$1005,A373,$D$6:$D$1005,"&lt;"&amp;E373,$E$6:$E$1005,"&gt;"&amp;D373,$F$6:$F$1005,"&lt;&gt;İptal")&gt;1),"HATA: oda bu tarihlerde çakışıyor",IF(AND(F373="Bekleniyor",D373&lt;RaporTarihi),"HATA: giriş günü geçti, Geldi veya İptal yapın","OK"))))))))))))</f>
        <v/>
      </c>
      <c r="L373" s="25">
        <f>IF(AND(ISNUMBER(A373),F373&lt;&gt;"İptal",ISNUMBER(D373),ISNUMBER(E373),D373&lt;=RaporTarihi,E373&gt;RaporTarihi),A373,"")</f>
        <v/>
      </c>
    </row>
    <row r="374">
      <c r="A374" s="22" t="n"/>
      <c r="B374" s="22" t="n"/>
      <c r="C374" s="22" t="n"/>
      <c r="D374" s="23" t="n"/>
      <c r="E374" s="23" t="n"/>
      <c r="F374" s="22" t="n"/>
      <c r="G374" s="24" t="n"/>
      <c r="H374" s="22" t="n"/>
      <c r="I374" s="25">
        <f>IF(AND(ISNUMBER(D374),ISNUMBER(E374)),E374-D374,"")</f>
        <v/>
      </c>
      <c r="J374" s="26">
        <f>IF(AND(ISNUMBER(I374),ISNUMBER(G374)),IF(I374&gt;0,G374/I374,""),"")</f>
        <v/>
      </c>
      <c r="K374" s="25">
        <f>IF(COUNTA(A374:H374)=0,"",IF(OR(A374="",B374="",C374="",D374="",E374="",F374="",G374="",H374=""),"HATA: eksik bilgi",IF(COUNTIF(OdaListesi,A374)=0,"HATA: geçersiz oda no",IF(OR(NOT(ISNUMBER(D374)),NOT(ISNUMBER(E374))),"HATA: tarih geçersiz",IF(E374&lt;=D374,"HATA: çıkış girişten sonra olmalı",IF(OR(NOT(ISNUMBER(C374)),C374&lt;1,C374&gt;MaxKisi,C374&lt;&gt;INT(C374)),"HATA: kişi sayısı geçersiz",IF(OR(NOT(ISNUMBER(G374)),G374&lt;0),"HATA: tutar geçersiz",IF(B374&lt;&gt;TRIM(B374),"HATA: isimde baştaki/sondaki boşluk",IF(COUNTIF(KaynakAralik,H374)=0,"HATA: kaynak listede yok",IF(AND(F374&lt;&gt;"Bekleniyor",F374&lt;&gt;"Geldi",F374&lt;&gt;"İptal"),"HATA: giriş durumu geçersiz",IF(AND(F374&lt;&gt;"İptal",COUNTIFS($A$6:$A$1005,A374,$D$6:$D$1005,"&lt;"&amp;E374,$E$6:$E$1005,"&gt;"&amp;D374,$F$6:$F$1005,"&lt;&gt;İptal")&gt;1),"HATA: oda bu tarihlerde çakışıyor",IF(AND(F374="Bekleniyor",D374&lt;RaporTarihi),"HATA: giriş günü geçti, Geldi veya İptal yapın","OK"))))))))))))</f>
        <v/>
      </c>
      <c r="L374" s="25">
        <f>IF(AND(ISNUMBER(A374),F374&lt;&gt;"İptal",ISNUMBER(D374),ISNUMBER(E374),D374&lt;=RaporTarihi,E374&gt;RaporTarihi),A374,"")</f>
        <v/>
      </c>
    </row>
    <row r="375">
      <c r="A375" s="22" t="n"/>
      <c r="B375" s="22" t="n"/>
      <c r="C375" s="22" t="n"/>
      <c r="D375" s="23" t="n"/>
      <c r="E375" s="23" t="n"/>
      <c r="F375" s="22" t="n"/>
      <c r="G375" s="24" t="n"/>
      <c r="H375" s="22" t="n"/>
      <c r="I375" s="25">
        <f>IF(AND(ISNUMBER(D375),ISNUMBER(E375)),E375-D375,"")</f>
        <v/>
      </c>
      <c r="J375" s="26">
        <f>IF(AND(ISNUMBER(I375),ISNUMBER(G375)),IF(I375&gt;0,G375/I375,""),"")</f>
        <v/>
      </c>
      <c r="K375" s="25">
        <f>IF(COUNTA(A375:H375)=0,"",IF(OR(A375="",B375="",C375="",D375="",E375="",F375="",G375="",H375=""),"HATA: eksik bilgi",IF(COUNTIF(OdaListesi,A375)=0,"HATA: geçersiz oda no",IF(OR(NOT(ISNUMBER(D375)),NOT(ISNUMBER(E375))),"HATA: tarih geçersiz",IF(E375&lt;=D375,"HATA: çıkış girişten sonra olmalı",IF(OR(NOT(ISNUMBER(C375)),C375&lt;1,C375&gt;MaxKisi,C375&lt;&gt;INT(C375)),"HATA: kişi sayısı geçersiz",IF(OR(NOT(ISNUMBER(G375)),G375&lt;0),"HATA: tutar geçersiz",IF(B375&lt;&gt;TRIM(B375),"HATA: isimde baştaki/sondaki boşluk",IF(COUNTIF(KaynakAralik,H375)=0,"HATA: kaynak listede yok",IF(AND(F375&lt;&gt;"Bekleniyor",F375&lt;&gt;"Geldi",F375&lt;&gt;"İptal"),"HATA: giriş durumu geçersiz",IF(AND(F375&lt;&gt;"İptal",COUNTIFS($A$6:$A$1005,A375,$D$6:$D$1005,"&lt;"&amp;E375,$E$6:$E$1005,"&gt;"&amp;D375,$F$6:$F$1005,"&lt;&gt;İptal")&gt;1),"HATA: oda bu tarihlerde çakışıyor",IF(AND(F375="Bekleniyor",D375&lt;RaporTarihi),"HATA: giriş günü geçti, Geldi veya İptal yapın","OK"))))))))))))</f>
        <v/>
      </c>
      <c r="L375" s="25">
        <f>IF(AND(ISNUMBER(A375),F375&lt;&gt;"İptal",ISNUMBER(D375),ISNUMBER(E375),D375&lt;=RaporTarihi,E375&gt;RaporTarihi),A375,"")</f>
        <v/>
      </c>
    </row>
    <row r="376">
      <c r="A376" s="22" t="n"/>
      <c r="B376" s="22" t="n"/>
      <c r="C376" s="22" t="n"/>
      <c r="D376" s="23" t="n"/>
      <c r="E376" s="23" t="n"/>
      <c r="F376" s="22" t="n"/>
      <c r="G376" s="24" t="n"/>
      <c r="H376" s="22" t="n"/>
      <c r="I376" s="25">
        <f>IF(AND(ISNUMBER(D376),ISNUMBER(E376)),E376-D376,"")</f>
        <v/>
      </c>
      <c r="J376" s="26">
        <f>IF(AND(ISNUMBER(I376),ISNUMBER(G376)),IF(I376&gt;0,G376/I376,""),"")</f>
        <v/>
      </c>
      <c r="K376" s="25">
        <f>IF(COUNTA(A376:H376)=0,"",IF(OR(A376="",B376="",C376="",D376="",E376="",F376="",G376="",H376=""),"HATA: eksik bilgi",IF(COUNTIF(OdaListesi,A376)=0,"HATA: geçersiz oda no",IF(OR(NOT(ISNUMBER(D376)),NOT(ISNUMBER(E376))),"HATA: tarih geçersiz",IF(E376&lt;=D376,"HATA: çıkış girişten sonra olmalı",IF(OR(NOT(ISNUMBER(C376)),C376&lt;1,C376&gt;MaxKisi,C376&lt;&gt;INT(C376)),"HATA: kişi sayısı geçersiz",IF(OR(NOT(ISNUMBER(G376)),G376&lt;0),"HATA: tutar geçersiz",IF(B376&lt;&gt;TRIM(B376),"HATA: isimde baştaki/sondaki boşluk",IF(COUNTIF(KaynakAralik,H376)=0,"HATA: kaynak listede yok",IF(AND(F376&lt;&gt;"Bekleniyor",F376&lt;&gt;"Geldi",F376&lt;&gt;"İptal"),"HATA: giriş durumu geçersiz",IF(AND(F376&lt;&gt;"İptal",COUNTIFS($A$6:$A$1005,A376,$D$6:$D$1005,"&lt;"&amp;E376,$E$6:$E$1005,"&gt;"&amp;D376,$F$6:$F$1005,"&lt;&gt;İptal")&gt;1),"HATA: oda bu tarihlerde çakışıyor",IF(AND(F376="Bekleniyor",D376&lt;RaporTarihi),"HATA: giriş günü geçti, Geldi veya İptal yapın","OK"))))))))))))</f>
        <v/>
      </c>
      <c r="L376" s="25">
        <f>IF(AND(ISNUMBER(A376),F376&lt;&gt;"İptal",ISNUMBER(D376),ISNUMBER(E376),D376&lt;=RaporTarihi,E376&gt;RaporTarihi),A376,"")</f>
        <v/>
      </c>
    </row>
    <row r="377">
      <c r="A377" s="22" t="n"/>
      <c r="B377" s="22" t="n"/>
      <c r="C377" s="22" t="n"/>
      <c r="D377" s="23" t="n"/>
      <c r="E377" s="23" t="n"/>
      <c r="F377" s="22" t="n"/>
      <c r="G377" s="24" t="n"/>
      <c r="H377" s="22" t="n"/>
      <c r="I377" s="25">
        <f>IF(AND(ISNUMBER(D377),ISNUMBER(E377)),E377-D377,"")</f>
        <v/>
      </c>
      <c r="J377" s="26">
        <f>IF(AND(ISNUMBER(I377),ISNUMBER(G377)),IF(I377&gt;0,G377/I377,""),"")</f>
        <v/>
      </c>
      <c r="K377" s="25">
        <f>IF(COUNTA(A377:H377)=0,"",IF(OR(A377="",B377="",C377="",D377="",E377="",F377="",G377="",H377=""),"HATA: eksik bilgi",IF(COUNTIF(OdaListesi,A377)=0,"HATA: geçersiz oda no",IF(OR(NOT(ISNUMBER(D377)),NOT(ISNUMBER(E377))),"HATA: tarih geçersiz",IF(E377&lt;=D377,"HATA: çıkış girişten sonra olmalı",IF(OR(NOT(ISNUMBER(C377)),C377&lt;1,C377&gt;MaxKisi,C377&lt;&gt;INT(C377)),"HATA: kişi sayısı geçersiz",IF(OR(NOT(ISNUMBER(G377)),G377&lt;0),"HATA: tutar geçersiz",IF(B377&lt;&gt;TRIM(B377),"HATA: isimde baştaki/sondaki boşluk",IF(COUNTIF(KaynakAralik,H377)=0,"HATA: kaynak listede yok",IF(AND(F377&lt;&gt;"Bekleniyor",F377&lt;&gt;"Geldi",F377&lt;&gt;"İptal"),"HATA: giriş durumu geçersiz",IF(AND(F377&lt;&gt;"İptal",COUNTIFS($A$6:$A$1005,A377,$D$6:$D$1005,"&lt;"&amp;E377,$E$6:$E$1005,"&gt;"&amp;D377,$F$6:$F$1005,"&lt;&gt;İptal")&gt;1),"HATA: oda bu tarihlerde çakışıyor",IF(AND(F377="Bekleniyor",D377&lt;RaporTarihi),"HATA: giriş günü geçti, Geldi veya İptal yapın","OK"))))))))))))</f>
        <v/>
      </c>
      <c r="L377" s="25">
        <f>IF(AND(ISNUMBER(A377),F377&lt;&gt;"İptal",ISNUMBER(D377),ISNUMBER(E377),D377&lt;=RaporTarihi,E377&gt;RaporTarihi),A377,"")</f>
        <v/>
      </c>
    </row>
    <row r="378">
      <c r="A378" s="22" t="n"/>
      <c r="B378" s="22" t="n"/>
      <c r="C378" s="22" t="n"/>
      <c r="D378" s="23" t="n"/>
      <c r="E378" s="23" t="n"/>
      <c r="F378" s="22" t="n"/>
      <c r="G378" s="24" t="n"/>
      <c r="H378" s="22" t="n"/>
      <c r="I378" s="25">
        <f>IF(AND(ISNUMBER(D378),ISNUMBER(E378)),E378-D378,"")</f>
        <v/>
      </c>
      <c r="J378" s="26">
        <f>IF(AND(ISNUMBER(I378),ISNUMBER(G378)),IF(I378&gt;0,G378/I378,""),"")</f>
        <v/>
      </c>
      <c r="K378" s="25">
        <f>IF(COUNTA(A378:H378)=0,"",IF(OR(A378="",B378="",C378="",D378="",E378="",F378="",G378="",H378=""),"HATA: eksik bilgi",IF(COUNTIF(OdaListesi,A378)=0,"HATA: geçersiz oda no",IF(OR(NOT(ISNUMBER(D378)),NOT(ISNUMBER(E378))),"HATA: tarih geçersiz",IF(E378&lt;=D378,"HATA: çıkış girişten sonra olmalı",IF(OR(NOT(ISNUMBER(C378)),C378&lt;1,C378&gt;MaxKisi,C378&lt;&gt;INT(C378)),"HATA: kişi sayısı geçersiz",IF(OR(NOT(ISNUMBER(G378)),G378&lt;0),"HATA: tutar geçersiz",IF(B378&lt;&gt;TRIM(B378),"HATA: isimde baştaki/sondaki boşluk",IF(COUNTIF(KaynakAralik,H378)=0,"HATA: kaynak listede yok",IF(AND(F378&lt;&gt;"Bekleniyor",F378&lt;&gt;"Geldi",F378&lt;&gt;"İptal"),"HATA: giriş durumu geçersiz",IF(AND(F378&lt;&gt;"İptal",COUNTIFS($A$6:$A$1005,A378,$D$6:$D$1005,"&lt;"&amp;E378,$E$6:$E$1005,"&gt;"&amp;D378,$F$6:$F$1005,"&lt;&gt;İptal")&gt;1),"HATA: oda bu tarihlerde çakışıyor",IF(AND(F378="Bekleniyor",D378&lt;RaporTarihi),"HATA: giriş günü geçti, Geldi veya İptal yapın","OK"))))))))))))</f>
        <v/>
      </c>
      <c r="L378" s="25">
        <f>IF(AND(ISNUMBER(A378),F378&lt;&gt;"İptal",ISNUMBER(D378),ISNUMBER(E378),D378&lt;=RaporTarihi,E378&gt;RaporTarihi),A378,"")</f>
        <v/>
      </c>
    </row>
    <row r="379">
      <c r="A379" s="22" t="n"/>
      <c r="B379" s="22" t="n"/>
      <c r="C379" s="22" t="n"/>
      <c r="D379" s="23" t="n"/>
      <c r="E379" s="23" t="n"/>
      <c r="F379" s="22" t="n"/>
      <c r="G379" s="24" t="n"/>
      <c r="H379" s="22" t="n"/>
      <c r="I379" s="25">
        <f>IF(AND(ISNUMBER(D379),ISNUMBER(E379)),E379-D379,"")</f>
        <v/>
      </c>
      <c r="J379" s="26">
        <f>IF(AND(ISNUMBER(I379),ISNUMBER(G379)),IF(I379&gt;0,G379/I379,""),"")</f>
        <v/>
      </c>
      <c r="K379" s="25">
        <f>IF(COUNTA(A379:H379)=0,"",IF(OR(A379="",B379="",C379="",D379="",E379="",F379="",G379="",H379=""),"HATA: eksik bilgi",IF(COUNTIF(OdaListesi,A379)=0,"HATA: geçersiz oda no",IF(OR(NOT(ISNUMBER(D379)),NOT(ISNUMBER(E379))),"HATA: tarih geçersiz",IF(E379&lt;=D379,"HATA: çıkış girişten sonra olmalı",IF(OR(NOT(ISNUMBER(C379)),C379&lt;1,C379&gt;MaxKisi,C379&lt;&gt;INT(C379)),"HATA: kişi sayısı geçersiz",IF(OR(NOT(ISNUMBER(G379)),G379&lt;0),"HATA: tutar geçersiz",IF(B379&lt;&gt;TRIM(B379),"HATA: isimde baştaki/sondaki boşluk",IF(COUNTIF(KaynakAralik,H379)=0,"HATA: kaynak listede yok",IF(AND(F379&lt;&gt;"Bekleniyor",F379&lt;&gt;"Geldi",F379&lt;&gt;"İptal"),"HATA: giriş durumu geçersiz",IF(AND(F379&lt;&gt;"İptal",COUNTIFS($A$6:$A$1005,A379,$D$6:$D$1005,"&lt;"&amp;E379,$E$6:$E$1005,"&gt;"&amp;D379,$F$6:$F$1005,"&lt;&gt;İptal")&gt;1),"HATA: oda bu tarihlerde çakışıyor",IF(AND(F379="Bekleniyor",D379&lt;RaporTarihi),"HATA: giriş günü geçti, Geldi veya İptal yapın","OK"))))))))))))</f>
        <v/>
      </c>
      <c r="L379" s="25">
        <f>IF(AND(ISNUMBER(A379),F379&lt;&gt;"İptal",ISNUMBER(D379),ISNUMBER(E379),D379&lt;=RaporTarihi,E379&gt;RaporTarihi),A379,"")</f>
        <v/>
      </c>
    </row>
    <row r="380">
      <c r="A380" s="22" t="n"/>
      <c r="B380" s="22" t="n"/>
      <c r="C380" s="22" t="n"/>
      <c r="D380" s="23" t="n"/>
      <c r="E380" s="23" t="n"/>
      <c r="F380" s="22" t="n"/>
      <c r="G380" s="24" t="n"/>
      <c r="H380" s="22" t="n"/>
      <c r="I380" s="25">
        <f>IF(AND(ISNUMBER(D380),ISNUMBER(E380)),E380-D380,"")</f>
        <v/>
      </c>
      <c r="J380" s="26">
        <f>IF(AND(ISNUMBER(I380),ISNUMBER(G380)),IF(I380&gt;0,G380/I380,""),"")</f>
        <v/>
      </c>
      <c r="K380" s="25">
        <f>IF(COUNTA(A380:H380)=0,"",IF(OR(A380="",B380="",C380="",D380="",E380="",F380="",G380="",H380=""),"HATA: eksik bilgi",IF(COUNTIF(OdaListesi,A380)=0,"HATA: geçersiz oda no",IF(OR(NOT(ISNUMBER(D380)),NOT(ISNUMBER(E380))),"HATA: tarih geçersiz",IF(E380&lt;=D380,"HATA: çıkış girişten sonra olmalı",IF(OR(NOT(ISNUMBER(C380)),C380&lt;1,C380&gt;MaxKisi,C380&lt;&gt;INT(C380)),"HATA: kişi sayısı geçersiz",IF(OR(NOT(ISNUMBER(G380)),G380&lt;0),"HATA: tutar geçersiz",IF(B380&lt;&gt;TRIM(B380),"HATA: isimde baştaki/sondaki boşluk",IF(COUNTIF(KaynakAralik,H380)=0,"HATA: kaynak listede yok",IF(AND(F380&lt;&gt;"Bekleniyor",F380&lt;&gt;"Geldi",F380&lt;&gt;"İptal"),"HATA: giriş durumu geçersiz",IF(AND(F380&lt;&gt;"İptal",COUNTIFS($A$6:$A$1005,A380,$D$6:$D$1005,"&lt;"&amp;E380,$E$6:$E$1005,"&gt;"&amp;D380,$F$6:$F$1005,"&lt;&gt;İptal")&gt;1),"HATA: oda bu tarihlerde çakışıyor",IF(AND(F380="Bekleniyor",D380&lt;RaporTarihi),"HATA: giriş günü geçti, Geldi veya İptal yapın","OK"))))))))))))</f>
        <v/>
      </c>
      <c r="L380" s="25">
        <f>IF(AND(ISNUMBER(A380),F380&lt;&gt;"İptal",ISNUMBER(D380),ISNUMBER(E380),D380&lt;=RaporTarihi,E380&gt;RaporTarihi),A380,"")</f>
        <v/>
      </c>
    </row>
    <row r="381">
      <c r="A381" s="22" t="n"/>
      <c r="B381" s="22" t="n"/>
      <c r="C381" s="22" t="n"/>
      <c r="D381" s="23" t="n"/>
      <c r="E381" s="23" t="n"/>
      <c r="F381" s="22" t="n"/>
      <c r="G381" s="24" t="n"/>
      <c r="H381" s="22" t="n"/>
      <c r="I381" s="25">
        <f>IF(AND(ISNUMBER(D381),ISNUMBER(E381)),E381-D381,"")</f>
        <v/>
      </c>
      <c r="J381" s="26">
        <f>IF(AND(ISNUMBER(I381),ISNUMBER(G381)),IF(I381&gt;0,G381/I381,""),"")</f>
        <v/>
      </c>
      <c r="K381" s="25">
        <f>IF(COUNTA(A381:H381)=0,"",IF(OR(A381="",B381="",C381="",D381="",E381="",F381="",G381="",H381=""),"HATA: eksik bilgi",IF(COUNTIF(OdaListesi,A381)=0,"HATA: geçersiz oda no",IF(OR(NOT(ISNUMBER(D381)),NOT(ISNUMBER(E381))),"HATA: tarih geçersiz",IF(E381&lt;=D381,"HATA: çıkış girişten sonra olmalı",IF(OR(NOT(ISNUMBER(C381)),C381&lt;1,C381&gt;MaxKisi,C381&lt;&gt;INT(C381)),"HATA: kişi sayısı geçersiz",IF(OR(NOT(ISNUMBER(G381)),G381&lt;0),"HATA: tutar geçersiz",IF(B381&lt;&gt;TRIM(B381),"HATA: isimde baştaki/sondaki boşluk",IF(COUNTIF(KaynakAralik,H381)=0,"HATA: kaynak listede yok",IF(AND(F381&lt;&gt;"Bekleniyor",F381&lt;&gt;"Geldi",F381&lt;&gt;"İptal"),"HATA: giriş durumu geçersiz",IF(AND(F381&lt;&gt;"İptal",COUNTIFS($A$6:$A$1005,A381,$D$6:$D$1005,"&lt;"&amp;E381,$E$6:$E$1005,"&gt;"&amp;D381,$F$6:$F$1005,"&lt;&gt;İptal")&gt;1),"HATA: oda bu tarihlerde çakışıyor",IF(AND(F381="Bekleniyor",D381&lt;RaporTarihi),"HATA: giriş günü geçti, Geldi veya İptal yapın","OK"))))))))))))</f>
        <v/>
      </c>
      <c r="L381" s="25">
        <f>IF(AND(ISNUMBER(A381),F381&lt;&gt;"İptal",ISNUMBER(D381),ISNUMBER(E381),D381&lt;=RaporTarihi,E381&gt;RaporTarihi),A381,"")</f>
        <v/>
      </c>
    </row>
    <row r="382">
      <c r="A382" s="22" t="n"/>
      <c r="B382" s="22" t="n"/>
      <c r="C382" s="22" t="n"/>
      <c r="D382" s="23" t="n"/>
      <c r="E382" s="23" t="n"/>
      <c r="F382" s="22" t="n"/>
      <c r="G382" s="24" t="n"/>
      <c r="H382" s="22" t="n"/>
      <c r="I382" s="25">
        <f>IF(AND(ISNUMBER(D382),ISNUMBER(E382)),E382-D382,"")</f>
        <v/>
      </c>
      <c r="J382" s="26">
        <f>IF(AND(ISNUMBER(I382),ISNUMBER(G382)),IF(I382&gt;0,G382/I382,""),"")</f>
        <v/>
      </c>
      <c r="K382" s="25">
        <f>IF(COUNTA(A382:H382)=0,"",IF(OR(A382="",B382="",C382="",D382="",E382="",F382="",G382="",H382=""),"HATA: eksik bilgi",IF(COUNTIF(OdaListesi,A382)=0,"HATA: geçersiz oda no",IF(OR(NOT(ISNUMBER(D382)),NOT(ISNUMBER(E382))),"HATA: tarih geçersiz",IF(E382&lt;=D382,"HATA: çıkış girişten sonra olmalı",IF(OR(NOT(ISNUMBER(C382)),C382&lt;1,C382&gt;MaxKisi,C382&lt;&gt;INT(C382)),"HATA: kişi sayısı geçersiz",IF(OR(NOT(ISNUMBER(G382)),G382&lt;0),"HATA: tutar geçersiz",IF(B382&lt;&gt;TRIM(B382),"HATA: isimde baştaki/sondaki boşluk",IF(COUNTIF(KaynakAralik,H382)=0,"HATA: kaynak listede yok",IF(AND(F382&lt;&gt;"Bekleniyor",F382&lt;&gt;"Geldi",F382&lt;&gt;"İptal"),"HATA: giriş durumu geçersiz",IF(AND(F382&lt;&gt;"İptal",COUNTIFS($A$6:$A$1005,A382,$D$6:$D$1005,"&lt;"&amp;E382,$E$6:$E$1005,"&gt;"&amp;D382,$F$6:$F$1005,"&lt;&gt;İptal")&gt;1),"HATA: oda bu tarihlerde çakışıyor",IF(AND(F382="Bekleniyor",D382&lt;RaporTarihi),"HATA: giriş günü geçti, Geldi veya İptal yapın","OK"))))))))))))</f>
        <v/>
      </c>
      <c r="L382" s="25">
        <f>IF(AND(ISNUMBER(A382),F382&lt;&gt;"İptal",ISNUMBER(D382),ISNUMBER(E382),D382&lt;=RaporTarihi,E382&gt;RaporTarihi),A382,"")</f>
        <v/>
      </c>
    </row>
    <row r="383">
      <c r="A383" s="22" t="n"/>
      <c r="B383" s="22" t="n"/>
      <c r="C383" s="22" t="n"/>
      <c r="D383" s="23" t="n"/>
      <c r="E383" s="23" t="n"/>
      <c r="F383" s="22" t="n"/>
      <c r="G383" s="24" t="n"/>
      <c r="H383" s="22" t="n"/>
      <c r="I383" s="25">
        <f>IF(AND(ISNUMBER(D383),ISNUMBER(E383)),E383-D383,"")</f>
        <v/>
      </c>
      <c r="J383" s="26">
        <f>IF(AND(ISNUMBER(I383),ISNUMBER(G383)),IF(I383&gt;0,G383/I383,""),"")</f>
        <v/>
      </c>
      <c r="K383" s="25">
        <f>IF(COUNTA(A383:H383)=0,"",IF(OR(A383="",B383="",C383="",D383="",E383="",F383="",G383="",H383=""),"HATA: eksik bilgi",IF(COUNTIF(OdaListesi,A383)=0,"HATA: geçersiz oda no",IF(OR(NOT(ISNUMBER(D383)),NOT(ISNUMBER(E383))),"HATA: tarih geçersiz",IF(E383&lt;=D383,"HATA: çıkış girişten sonra olmalı",IF(OR(NOT(ISNUMBER(C383)),C383&lt;1,C383&gt;MaxKisi,C383&lt;&gt;INT(C383)),"HATA: kişi sayısı geçersiz",IF(OR(NOT(ISNUMBER(G383)),G383&lt;0),"HATA: tutar geçersiz",IF(B383&lt;&gt;TRIM(B383),"HATA: isimde baştaki/sondaki boşluk",IF(COUNTIF(KaynakAralik,H383)=0,"HATA: kaynak listede yok",IF(AND(F383&lt;&gt;"Bekleniyor",F383&lt;&gt;"Geldi",F383&lt;&gt;"İptal"),"HATA: giriş durumu geçersiz",IF(AND(F383&lt;&gt;"İptal",COUNTIFS($A$6:$A$1005,A383,$D$6:$D$1005,"&lt;"&amp;E383,$E$6:$E$1005,"&gt;"&amp;D383,$F$6:$F$1005,"&lt;&gt;İptal")&gt;1),"HATA: oda bu tarihlerde çakışıyor",IF(AND(F383="Bekleniyor",D383&lt;RaporTarihi),"HATA: giriş günü geçti, Geldi veya İptal yapın","OK"))))))))))))</f>
        <v/>
      </c>
      <c r="L383" s="25">
        <f>IF(AND(ISNUMBER(A383),F383&lt;&gt;"İptal",ISNUMBER(D383),ISNUMBER(E383),D383&lt;=RaporTarihi,E383&gt;RaporTarihi),A383,"")</f>
        <v/>
      </c>
    </row>
    <row r="384">
      <c r="A384" s="22" t="n"/>
      <c r="B384" s="22" t="n"/>
      <c r="C384" s="22" t="n"/>
      <c r="D384" s="23" t="n"/>
      <c r="E384" s="23" t="n"/>
      <c r="F384" s="22" t="n"/>
      <c r="G384" s="24" t="n"/>
      <c r="H384" s="22" t="n"/>
      <c r="I384" s="25">
        <f>IF(AND(ISNUMBER(D384),ISNUMBER(E384)),E384-D384,"")</f>
        <v/>
      </c>
      <c r="J384" s="26">
        <f>IF(AND(ISNUMBER(I384),ISNUMBER(G384)),IF(I384&gt;0,G384/I384,""),"")</f>
        <v/>
      </c>
      <c r="K384" s="25">
        <f>IF(COUNTA(A384:H384)=0,"",IF(OR(A384="",B384="",C384="",D384="",E384="",F384="",G384="",H384=""),"HATA: eksik bilgi",IF(COUNTIF(OdaListesi,A384)=0,"HATA: geçersiz oda no",IF(OR(NOT(ISNUMBER(D384)),NOT(ISNUMBER(E384))),"HATA: tarih geçersiz",IF(E384&lt;=D384,"HATA: çıkış girişten sonra olmalı",IF(OR(NOT(ISNUMBER(C384)),C384&lt;1,C384&gt;MaxKisi,C384&lt;&gt;INT(C384)),"HATA: kişi sayısı geçersiz",IF(OR(NOT(ISNUMBER(G384)),G384&lt;0),"HATA: tutar geçersiz",IF(B384&lt;&gt;TRIM(B384),"HATA: isimde baştaki/sondaki boşluk",IF(COUNTIF(KaynakAralik,H384)=0,"HATA: kaynak listede yok",IF(AND(F384&lt;&gt;"Bekleniyor",F384&lt;&gt;"Geldi",F384&lt;&gt;"İptal"),"HATA: giriş durumu geçersiz",IF(AND(F384&lt;&gt;"İptal",COUNTIFS($A$6:$A$1005,A384,$D$6:$D$1005,"&lt;"&amp;E384,$E$6:$E$1005,"&gt;"&amp;D384,$F$6:$F$1005,"&lt;&gt;İptal")&gt;1),"HATA: oda bu tarihlerde çakışıyor",IF(AND(F384="Bekleniyor",D384&lt;RaporTarihi),"HATA: giriş günü geçti, Geldi veya İptal yapın","OK"))))))))))))</f>
        <v/>
      </c>
      <c r="L384" s="25">
        <f>IF(AND(ISNUMBER(A384),F384&lt;&gt;"İptal",ISNUMBER(D384),ISNUMBER(E384),D384&lt;=RaporTarihi,E384&gt;RaporTarihi),A384,"")</f>
        <v/>
      </c>
    </row>
    <row r="385">
      <c r="A385" s="22" t="n"/>
      <c r="B385" s="22" t="n"/>
      <c r="C385" s="22" t="n"/>
      <c r="D385" s="23" t="n"/>
      <c r="E385" s="23" t="n"/>
      <c r="F385" s="22" t="n"/>
      <c r="G385" s="24" t="n"/>
      <c r="H385" s="22" t="n"/>
      <c r="I385" s="25">
        <f>IF(AND(ISNUMBER(D385),ISNUMBER(E385)),E385-D385,"")</f>
        <v/>
      </c>
      <c r="J385" s="26">
        <f>IF(AND(ISNUMBER(I385),ISNUMBER(G385)),IF(I385&gt;0,G385/I385,""),"")</f>
        <v/>
      </c>
      <c r="K385" s="25">
        <f>IF(COUNTA(A385:H385)=0,"",IF(OR(A385="",B385="",C385="",D385="",E385="",F385="",G385="",H385=""),"HATA: eksik bilgi",IF(COUNTIF(OdaListesi,A385)=0,"HATA: geçersiz oda no",IF(OR(NOT(ISNUMBER(D385)),NOT(ISNUMBER(E385))),"HATA: tarih geçersiz",IF(E385&lt;=D385,"HATA: çıkış girişten sonra olmalı",IF(OR(NOT(ISNUMBER(C385)),C385&lt;1,C385&gt;MaxKisi,C385&lt;&gt;INT(C385)),"HATA: kişi sayısı geçersiz",IF(OR(NOT(ISNUMBER(G385)),G385&lt;0),"HATA: tutar geçersiz",IF(B385&lt;&gt;TRIM(B385),"HATA: isimde baştaki/sondaki boşluk",IF(COUNTIF(KaynakAralik,H385)=0,"HATA: kaynak listede yok",IF(AND(F385&lt;&gt;"Bekleniyor",F385&lt;&gt;"Geldi",F385&lt;&gt;"İptal"),"HATA: giriş durumu geçersiz",IF(AND(F385&lt;&gt;"İptal",COUNTIFS($A$6:$A$1005,A385,$D$6:$D$1005,"&lt;"&amp;E385,$E$6:$E$1005,"&gt;"&amp;D385,$F$6:$F$1005,"&lt;&gt;İptal")&gt;1),"HATA: oda bu tarihlerde çakışıyor",IF(AND(F385="Bekleniyor",D385&lt;RaporTarihi),"HATA: giriş günü geçti, Geldi veya İptal yapın","OK"))))))))))))</f>
        <v/>
      </c>
      <c r="L385" s="25">
        <f>IF(AND(ISNUMBER(A385),F385&lt;&gt;"İptal",ISNUMBER(D385),ISNUMBER(E385),D385&lt;=RaporTarihi,E385&gt;RaporTarihi),A385,"")</f>
        <v/>
      </c>
    </row>
    <row r="386">
      <c r="A386" s="22" t="n"/>
      <c r="B386" s="22" t="n"/>
      <c r="C386" s="22" t="n"/>
      <c r="D386" s="23" t="n"/>
      <c r="E386" s="23" t="n"/>
      <c r="F386" s="22" t="n"/>
      <c r="G386" s="24" t="n"/>
      <c r="H386" s="22" t="n"/>
      <c r="I386" s="25">
        <f>IF(AND(ISNUMBER(D386),ISNUMBER(E386)),E386-D386,"")</f>
        <v/>
      </c>
      <c r="J386" s="26">
        <f>IF(AND(ISNUMBER(I386),ISNUMBER(G386)),IF(I386&gt;0,G386/I386,""),"")</f>
        <v/>
      </c>
      <c r="K386" s="25">
        <f>IF(COUNTA(A386:H386)=0,"",IF(OR(A386="",B386="",C386="",D386="",E386="",F386="",G386="",H386=""),"HATA: eksik bilgi",IF(COUNTIF(OdaListesi,A386)=0,"HATA: geçersiz oda no",IF(OR(NOT(ISNUMBER(D386)),NOT(ISNUMBER(E386))),"HATA: tarih geçersiz",IF(E386&lt;=D386,"HATA: çıkış girişten sonra olmalı",IF(OR(NOT(ISNUMBER(C386)),C386&lt;1,C386&gt;MaxKisi,C386&lt;&gt;INT(C386)),"HATA: kişi sayısı geçersiz",IF(OR(NOT(ISNUMBER(G386)),G386&lt;0),"HATA: tutar geçersiz",IF(B386&lt;&gt;TRIM(B386),"HATA: isimde baştaki/sondaki boşluk",IF(COUNTIF(KaynakAralik,H386)=0,"HATA: kaynak listede yok",IF(AND(F386&lt;&gt;"Bekleniyor",F386&lt;&gt;"Geldi",F386&lt;&gt;"İptal"),"HATA: giriş durumu geçersiz",IF(AND(F386&lt;&gt;"İptal",COUNTIFS($A$6:$A$1005,A386,$D$6:$D$1005,"&lt;"&amp;E386,$E$6:$E$1005,"&gt;"&amp;D386,$F$6:$F$1005,"&lt;&gt;İptal")&gt;1),"HATA: oda bu tarihlerde çakışıyor",IF(AND(F386="Bekleniyor",D386&lt;RaporTarihi),"HATA: giriş günü geçti, Geldi veya İptal yapın","OK"))))))))))))</f>
        <v/>
      </c>
      <c r="L386" s="25">
        <f>IF(AND(ISNUMBER(A386),F386&lt;&gt;"İptal",ISNUMBER(D386),ISNUMBER(E386),D386&lt;=RaporTarihi,E386&gt;RaporTarihi),A386,"")</f>
        <v/>
      </c>
    </row>
    <row r="387">
      <c r="A387" s="22" t="n"/>
      <c r="B387" s="22" t="n"/>
      <c r="C387" s="22" t="n"/>
      <c r="D387" s="23" t="n"/>
      <c r="E387" s="23" t="n"/>
      <c r="F387" s="22" t="n"/>
      <c r="G387" s="24" t="n"/>
      <c r="H387" s="22" t="n"/>
      <c r="I387" s="25">
        <f>IF(AND(ISNUMBER(D387),ISNUMBER(E387)),E387-D387,"")</f>
        <v/>
      </c>
      <c r="J387" s="26">
        <f>IF(AND(ISNUMBER(I387),ISNUMBER(G387)),IF(I387&gt;0,G387/I387,""),"")</f>
        <v/>
      </c>
      <c r="K387" s="25">
        <f>IF(COUNTA(A387:H387)=0,"",IF(OR(A387="",B387="",C387="",D387="",E387="",F387="",G387="",H387=""),"HATA: eksik bilgi",IF(COUNTIF(OdaListesi,A387)=0,"HATA: geçersiz oda no",IF(OR(NOT(ISNUMBER(D387)),NOT(ISNUMBER(E387))),"HATA: tarih geçersiz",IF(E387&lt;=D387,"HATA: çıkış girişten sonra olmalı",IF(OR(NOT(ISNUMBER(C387)),C387&lt;1,C387&gt;MaxKisi,C387&lt;&gt;INT(C387)),"HATA: kişi sayısı geçersiz",IF(OR(NOT(ISNUMBER(G387)),G387&lt;0),"HATA: tutar geçersiz",IF(B387&lt;&gt;TRIM(B387),"HATA: isimde baştaki/sondaki boşluk",IF(COUNTIF(KaynakAralik,H387)=0,"HATA: kaynak listede yok",IF(AND(F387&lt;&gt;"Bekleniyor",F387&lt;&gt;"Geldi",F387&lt;&gt;"İptal"),"HATA: giriş durumu geçersiz",IF(AND(F387&lt;&gt;"İptal",COUNTIFS($A$6:$A$1005,A387,$D$6:$D$1005,"&lt;"&amp;E387,$E$6:$E$1005,"&gt;"&amp;D387,$F$6:$F$1005,"&lt;&gt;İptal")&gt;1),"HATA: oda bu tarihlerde çakışıyor",IF(AND(F387="Bekleniyor",D387&lt;RaporTarihi),"HATA: giriş günü geçti, Geldi veya İptal yapın","OK"))))))))))))</f>
        <v/>
      </c>
      <c r="L387" s="25">
        <f>IF(AND(ISNUMBER(A387),F387&lt;&gt;"İptal",ISNUMBER(D387),ISNUMBER(E387),D387&lt;=RaporTarihi,E387&gt;RaporTarihi),A387,"")</f>
        <v/>
      </c>
    </row>
    <row r="388">
      <c r="A388" s="22" t="n"/>
      <c r="B388" s="22" t="n"/>
      <c r="C388" s="22" t="n"/>
      <c r="D388" s="23" t="n"/>
      <c r="E388" s="23" t="n"/>
      <c r="F388" s="22" t="n"/>
      <c r="G388" s="24" t="n"/>
      <c r="H388" s="22" t="n"/>
      <c r="I388" s="25">
        <f>IF(AND(ISNUMBER(D388),ISNUMBER(E388)),E388-D388,"")</f>
        <v/>
      </c>
      <c r="J388" s="26">
        <f>IF(AND(ISNUMBER(I388),ISNUMBER(G388)),IF(I388&gt;0,G388/I388,""),"")</f>
        <v/>
      </c>
      <c r="K388" s="25">
        <f>IF(COUNTA(A388:H388)=0,"",IF(OR(A388="",B388="",C388="",D388="",E388="",F388="",G388="",H388=""),"HATA: eksik bilgi",IF(COUNTIF(OdaListesi,A388)=0,"HATA: geçersiz oda no",IF(OR(NOT(ISNUMBER(D388)),NOT(ISNUMBER(E388))),"HATA: tarih geçersiz",IF(E388&lt;=D388,"HATA: çıkış girişten sonra olmalı",IF(OR(NOT(ISNUMBER(C388)),C388&lt;1,C388&gt;MaxKisi,C388&lt;&gt;INT(C388)),"HATA: kişi sayısı geçersiz",IF(OR(NOT(ISNUMBER(G388)),G388&lt;0),"HATA: tutar geçersiz",IF(B388&lt;&gt;TRIM(B388),"HATA: isimde baştaki/sondaki boşluk",IF(COUNTIF(KaynakAralik,H388)=0,"HATA: kaynak listede yok",IF(AND(F388&lt;&gt;"Bekleniyor",F388&lt;&gt;"Geldi",F388&lt;&gt;"İptal"),"HATA: giriş durumu geçersiz",IF(AND(F388&lt;&gt;"İptal",COUNTIFS($A$6:$A$1005,A388,$D$6:$D$1005,"&lt;"&amp;E388,$E$6:$E$1005,"&gt;"&amp;D388,$F$6:$F$1005,"&lt;&gt;İptal")&gt;1),"HATA: oda bu tarihlerde çakışıyor",IF(AND(F388="Bekleniyor",D388&lt;RaporTarihi),"HATA: giriş günü geçti, Geldi veya İptal yapın","OK"))))))))))))</f>
        <v/>
      </c>
      <c r="L388" s="25">
        <f>IF(AND(ISNUMBER(A388),F388&lt;&gt;"İptal",ISNUMBER(D388),ISNUMBER(E388),D388&lt;=RaporTarihi,E388&gt;RaporTarihi),A388,"")</f>
        <v/>
      </c>
    </row>
    <row r="389">
      <c r="A389" s="22" t="n"/>
      <c r="B389" s="22" t="n"/>
      <c r="C389" s="22" t="n"/>
      <c r="D389" s="23" t="n"/>
      <c r="E389" s="23" t="n"/>
      <c r="F389" s="22" t="n"/>
      <c r="G389" s="24" t="n"/>
      <c r="H389" s="22" t="n"/>
      <c r="I389" s="25">
        <f>IF(AND(ISNUMBER(D389),ISNUMBER(E389)),E389-D389,"")</f>
        <v/>
      </c>
      <c r="J389" s="26">
        <f>IF(AND(ISNUMBER(I389),ISNUMBER(G389)),IF(I389&gt;0,G389/I389,""),"")</f>
        <v/>
      </c>
      <c r="K389" s="25">
        <f>IF(COUNTA(A389:H389)=0,"",IF(OR(A389="",B389="",C389="",D389="",E389="",F389="",G389="",H389=""),"HATA: eksik bilgi",IF(COUNTIF(OdaListesi,A389)=0,"HATA: geçersiz oda no",IF(OR(NOT(ISNUMBER(D389)),NOT(ISNUMBER(E389))),"HATA: tarih geçersiz",IF(E389&lt;=D389,"HATA: çıkış girişten sonra olmalı",IF(OR(NOT(ISNUMBER(C389)),C389&lt;1,C389&gt;MaxKisi,C389&lt;&gt;INT(C389)),"HATA: kişi sayısı geçersiz",IF(OR(NOT(ISNUMBER(G389)),G389&lt;0),"HATA: tutar geçersiz",IF(B389&lt;&gt;TRIM(B389),"HATA: isimde baştaki/sondaki boşluk",IF(COUNTIF(KaynakAralik,H389)=0,"HATA: kaynak listede yok",IF(AND(F389&lt;&gt;"Bekleniyor",F389&lt;&gt;"Geldi",F389&lt;&gt;"İptal"),"HATA: giriş durumu geçersiz",IF(AND(F389&lt;&gt;"İptal",COUNTIFS($A$6:$A$1005,A389,$D$6:$D$1005,"&lt;"&amp;E389,$E$6:$E$1005,"&gt;"&amp;D389,$F$6:$F$1005,"&lt;&gt;İptal")&gt;1),"HATA: oda bu tarihlerde çakışıyor",IF(AND(F389="Bekleniyor",D389&lt;RaporTarihi),"HATA: giriş günü geçti, Geldi veya İptal yapın","OK"))))))))))))</f>
        <v/>
      </c>
      <c r="L389" s="25">
        <f>IF(AND(ISNUMBER(A389),F389&lt;&gt;"İptal",ISNUMBER(D389),ISNUMBER(E389),D389&lt;=RaporTarihi,E389&gt;RaporTarihi),A389,"")</f>
        <v/>
      </c>
    </row>
    <row r="390">
      <c r="A390" s="22" t="n"/>
      <c r="B390" s="22" t="n"/>
      <c r="C390" s="22" t="n"/>
      <c r="D390" s="23" t="n"/>
      <c r="E390" s="23" t="n"/>
      <c r="F390" s="22" t="n"/>
      <c r="G390" s="24" t="n"/>
      <c r="H390" s="22" t="n"/>
      <c r="I390" s="25">
        <f>IF(AND(ISNUMBER(D390),ISNUMBER(E390)),E390-D390,"")</f>
        <v/>
      </c>
      <c r="J390" s="26">
        <f>IF(AND(ISNUMBER(I390),ISNUMBER(G390)),IF(I390&gt;0,G390/I390,""),"")</f>
        <v/>
      </c>
      <c r="K390" s="25">
        <f>IF(COUNTA(A390:H390)=0,"",IF(OR(A390="",B390="",C390="",D390="",E390="",F390="",G390="",H390=""),"HATA: eksik bilgi",IF(COUNTIF(OdaListesi,A390)=0,"HATA: geçersiz oda no",IF(OR(NOT(ISNUMBER(D390)),NOT(ISNUMBER(E390))),"HATA: tarih geçersiz",IF(E390&lt;=D390,"HATA: çıkış girişten sonra olmalı",IF(OR(NOT(ISNUMBER(C390)),C390&lt;1,C390&gt;MaxKisi,C390&lt;&gt;INT(C390)),"HATA: kişi sayısı geçersiz",IF(OR(NOT(ISNUMBER(G390)),G390&lt;0),"HATA: tutar geçersiz",IF(B390&lt;&gt;TRIM(B390),"HATA: isimde baştaki/sondaki boşluk",IF(COUNTIF(KaynakAralik,H390)=0,"HATA: kaynak listede yok",IF(AND(F390&lt;&gt;"Bekleniyor",F390&lt;&gt;"Geldi",F390&lt;&gt;"İptal"),"HATA: giriş durumu geçersiz",IF(AND(F390&lt;&gt;"İptal",COUNTIFS($A$6:$A$1005,A390,$D$6:$D$1005,"&lt;"&amp;E390,$E$6:$E$1005,"&gt;"&amp;D390,$F$6:$F$1005,"&lt;&gt;İptal")&gt;1),"HATA: oda bu tarihlerde çakışıyor",IF(AND(F390="Bekleniyor",D390&lt;RaporTarihi),"HATA: giriş günü geçti, Geldi veya İptal yapın","OK"))))))))))))</f>
        <v/>
      </c>
      <c r="L390" s="25">
        <f>IF(AND(ISNUMBER(A390),F390&lt;&gt;"İptal",ISNUMBER(D390),ISNUMBER(E390),D390&lt;=RaporTarihi,E390&gt;RaporTarihi),A390,"")</f>
        <v/>
      </c>
    </row>
    <row r="391">
      <c r="A391" s="22" t="n"/>
      <c r="B391" s="22" t="n"/>
      <c r="C391" s="22" t="n"/>
      <c r="D391" s="23" t="n"/>
      <c r="E391" s="23" t="n"/>
      <c r="F391" s="22" t="n"/>
      <c r="G391" s="24" t="n"/>
      <c r="H391" s="22" t="n"/>
      <c r="I391" s="25">
        <f>IF(AND(ISNUMBER(D391),ISNUMBER(E391)),E391-D391,"")</f>
        <v/>
      </c>
      <c r="J391" s="26">
        <f>IF(AND(ISNUMBER(I391),ISNUMBER(G391)),IF(I391&gt;0,G391/I391,""),"")</f>
        <v/>
      </c>
      <c r="K391" s="25">
        <f>IF(COUNTA(A391:H391)=0,"",IF(OR(A391="",B391="",C391="",D391="",E391="",F391="",G391="",H391=""),"HATA: eksik bilgi",IF(COUNTIF(OdaListesi,A391)=0,"HATA: geçersiz oda no",IF(OR(NOT(ISNUMBER(D391)),NOT(ISNUMBER(E391))),"HATA: tarih geçersiz",IF(E391&lt;=D391,"HATA: çıkış girişten sonra olmalı",IF(OR(NOT(ISNUMBER(C391)),C391&lt;1,C391&gt;MaxKisi,C391&lt;&gt;INT(C391)),"HATA: kişi sayısı geçersiz",IF(OR(NOT(ISNUMBER(G391)),G391&lt;0),"HATA: tutar geçersiz",IF(B391&lt;&gt;TRIM(B391),"HATA: isimde baştaki/sondaki boşluk",IF(COUNTIF(KaynakAralik,H391)=0,"HATA: kaynak listede yok",IF(AND(F391&lt;&gt;"Bekleniyor",F391&lt;&gt;"Geldi",F391&lt;&gt;"İptal"),"HATA: giriş durumu geçersiz",IF(AND(F391&lt;&gt;"İptal",COUNTIFS($A$6:$A$1005,A391,$D$6:$D$1005,"&lt;"&amp;E391,$E$6:$E$1005,"&gt;"&amp;D391,$F$6:$F$1005,"&lt;&gt;İptal")&gt;1),"HATA: oda bu tarihlerde çakışıyor",IF(AND(F391="Bekleniyor",D391&lt;RaporTarihi),"HATA: giriş günü geçti, Geldi veya İptal yapın","OK"))))))))))))</f>
        <v/>
      </c>
      <c r="L391" s="25">
        <f>IF(AND(ISNUMBER(A391),F391&lt;&gt;"İptal",ISNUMBER(D391),ISNUMBER(E391),D391&lt;=RaporTarihi,E391&gt;RaporTarihi),A391,"")</f>
        <v/>
      </c>
    </row>
    <row r="392">
      <c r="A392" s="22" t="n"/>
      <c r="B392" s="22" t="n"/>
      <c r="C392" s="22" t="n"/>
      <c r="D392" s="23" t="n"/>
      <c r="E392" s="23" t="n"/>
      <c r="F392" s="22" t="n"/>
      <c r="G392" s="24" t="n"/>
      <c r="H392" s="22" t="n"/>
      <c r="I392" s="25">
        <f>IF(AND(ISNUMBER(D392),ISNUMBER(E392)),E392-D392,"")</f>
        <v/>
      </c>
      <c r="J392" s="26">
        <f>IF(AND(ISNUMBER(I392),ISNUMBER(G392)),IF(I392&gt;0,G392/I392,""),"")</f>
        <v/>
      </c>
      <c r="K392" s="25">
        <f>IF(COUNTA(A392:H392)=0,"",IF(OR(A392="",B392="",C392="",D392="",E392="",F392="",G392="",H392=""),"HATA: eksik bilgi",IF(COUNTIF(OdaListesi,A392)=0,"HATA: geçersiz oda no",IF(OR(NOT(ISNUMBER(D392)),NOT(ISNUMBER(E392))),"HATA: tarih geçersiz",IF(E392&lt;=D392,"HATA: çıkış girişten sonra olmalı",IF(OR(NOT(ISNUMBER(C392)),C392&lt;1,C392&gt;MaxKisi,C392&lt;&gt;INT(C392)),"HATA: kişi sayısı geçersiz",IF(OR(NOT(ISNUMBER(G392)),G392&lt;0),"HATA: tutar geçersiz",IF(B392&lt;&gt;TRIM(B392),"HATA: isimde baştaki/sondaki boşluk",IF(COUNTIF(KaynakAralik,H392)=0,"HATA: kaynak listede yok",IF(AND(F392&lt;&gt;"Bekleniyor",F392&lt;&gt;"Geldi",F392&lt;&gt;"İptal"),"HATA: giriş durumu geçersiz",IF(AND(F392&lt;&gt;"İptal",COUNTIFS($A$6:$A$1005,A392,$D$6:$D$1005,"&lt;"&amp;E392,$E$6:$E$1005,"&gt;"&amp;D392,$F$6:$F$1005,"&lt;&gt;İptal")&gt;1),"HATA: oda bu tarihlerde çakışıyor",IF(AND(F392="Bekleniyor",D392&lt;RaporTarihi),"HATA: giriş günü geçti, Geldi veya İptal yapın","OK"))))))))))))</f>
        <v/>
      </c>
      <c r="L392" s="25">
        <f>IF(AND(ISNUMBER(A392),F392&lt;&gt;"İptal",ISNUMBER(D392),ISNUMBER(E392),D392&lt;=RaporTarihi,E392&gt;RaporTarihi),A392,"")</f>
        <v/>
      </c>
    </row>
    <row r="393">
      <c r="A393" s="22" t="n"/>
      <c r="B393" s="22" t="n"/>
      <c r="C393" s="22" t="n"/>
      <c r="D393" s="23" t="n"/>
      <c r="E393" s="23" t="n"/>
      <c r="F393" s="22" t="n"/>
      <c r="G393" s="24" t="n"/>
      <c r="H393" s="22" t="n"/>
      <c r="I393" s="25">
        <f>IF(AND(ISNUMBER(D393),ISNUMBER(E393)),E393-D393,"")</f>
        <v/>
      </c>
      <c r="J393" s="26">
        <f>IF(AND(ISNUMBER(I393),ISNUMBER(G393)),IF(I393&gt;0,G393/I393,""),"")</f>
        <v/>
      </c>
      <c r="K393" s="25">
        <f>IF(COUNTA(A393:H393)=0,"",IF(OR(A393="",B393="",C393="",D393="",E393="",F393="",G393="",H393=""),"HATA: eksik bilgi",IF(COUNTIF(OdaListesi,A393)=0,"HATA: geçersiz oda no",IF(OR(NOT(ISNUMBER(D393)),NOT(ISNUMBER(E393))),"HATA: tarih geçersiz",IF(E393&lt;=D393,"HATA: çıkış girişten sonra olmalı",IF(OR(NOT(ISNUMBER(C393)),C393&lt;1,C393&gt;MaxKisi,C393&lt;&gt;INT(C393)),"HATA: kişi sayısı geçersiz",IF(OR(NOT(ISNUMBER(G393)),G393&lt;0),"HATA: tutar geçersiz",IF(B393&lt;&gt;TRIM(B393),"HATA: isimde baştaki/sondaki boşluk",IF(COUNTIF(KaynakAralik,H393)=0,"HATA: kaynak listede yok",IF(AND(F393&lt;&gt;"Bekleniyor",F393&lt;&gt;"Geldi",F393&lt;&gt;"İptal"),"HATA: giriş durumu geçersiz",IF(AND(F393&lt;&gt;"İptal",COUNTIFS($A$6:$A$1005,A393,$D$6:$D$1005,"&lt;"&amp;E393,$E$6:$E$1005,"&gt;"&amp;D393,$F$6:$F$1005,"&lt;&gt;İptal")&gt;1),"HATA: oda bu tarihlerde çakışıyor",IF(AND(F393="Bekleniyor",D393&lt;RaporTarihi),"HATA: giriş günü geçti, Geldi veya İptal yapın","OK"))))))))))))</f>
        <v/>
      </c>
      <c r="L393" s="25">
        <f>IF(AND(ISNUMBER(A393),F393&lt;&gt;"İptal",ISNUMBER(D393),ISNUMBER(E393),D393&lt;=RaporTarihi,E393&gt;RaporTarihi),A393,"")</f>
        <v/>
      </c>
    </row>
    <row r="394">
      <c r="A394" s="22" t="n"/>
      <c r="B394" s="22" t="n"/>
      <c r="C394" s="22" t="n"/>
      <c r="D394" s="23" t="n"/>
      <c r="E394" s="23" t="n"/>
      <c r="F394" s="22" t="n"/>
      <c r="G394" s="24" t="n"/>
      <c r="H394" s="22" t="n"/>
      <c r="I394" s="25">
        <f>IF(AND(ISNUMBER(D394),ISNUMBER(E394)),E394-D394,"")</f>
        <v/>
      </c>
      <c r="J394" s="26">
        <f>IF(AND(ISNUMBER(I394),ISNUMBER(G394)),IF(I394&gt;0,G394/I394,""),"")</f>
        <v/>
      </c>
      <c r="K394" s="25">
        <f>IF(COUNTA(A394:H394)=0,"",IF(OR(A394="",B394="",C394="",D394="",E394="",F394="",G394="",H394=""),"HATA: eksik bilgi",IF(COUNTIF(OdaListesi,A394)=0,"HATA: geçersiz oda no",IF(OR(NOT(ISNUMBER(D394)),NOT(ISNUMBER(E394))),"HATA: tarih geçersiz",IF(E394&lt;=D394,"HATA: çıkış girişten sonra olmalı",IF(OR(NOT(ISNUMBER(C394)),C394&lt;1,C394&gt;MaxKisi,C394&lt;&gt;INT(C394)),"HATA: kişi sayısı geçersiz",IF(OR(NOT(ISNUMBER(G394)),G394&lt;0),"HATA: tutar geçersiz",IF(B394&lt;&gt;TRIM(B394),"HATA: isimde baştaki/sondaki boşluk",IF(COUNTIF(KaynakAralik,H394)=0,"HATA: kaynak listede yok",IF(AND(F394&lt;&gt;"Bekleniyor",F394&lt;&gt;"Geldi",F394&lt;&gt;"İptal"),"HATA: giriş durumu geçersiz",IF(AND(F394&lt;&gt;"İptal",COUNTIFS($A$6:$A$1005,A394,$D$6:$D$1005,"&lt;"&amp;E394,$E$6:$E$1005,"&gt;"&amp;D394,$F$6:$F$1005,"&lt;&gt;İptal")&gt;1),"HATA: oda bu tarihlerde çakışıyor",IF(AND(F394="Bekleniyor",D394&lt;RaporTarihi),"HATA: giriş günü geçti, Geldi veya İptal yapın","OK"))))))))))))</f>
        <v/>
      </c>
      <c r="L394" s="25">
        <f>IF(AND(ISNUMBER(A394),F394&lt;&gt;"İptal",ISNUMBER(D394),ISNUMBER(E394),D394&lt;=RaporTarihi,E394&gt;RaporTarihi),A394,"")</f>
        <v/>
      </c>
    </row>
    <row r="395">
      <c r="A395" s="22" t="n"/>
      <c r="B395" s="22" t="n"/>
      <c r="C395" s="22" t="n"/>
      <c r="D395" s="23" t="n"/>
      <c r="E395" s="23" t="n"/>
      <c r="F395" s="22" t="n"/>
      <c r="G395" s="24" t="n"/>
      <c r="H395" s="22" t="n"/>
      <c r="I395" s="25">
        <f>IF(AND(ISNUMBER(D395),ISNUMBER(E395)),E395-D395,"")</f>
        <v/>
      </c>
      <c r="J395" s="26">
        <f>IF(AND(ISNUMBER(I395),ISNUMBER(G395)),IF(I395&gt;0,G395/I395,""),"")</f>
        <v/>
      </c>
      <c r="K395" s="25">
        <f>IF(COUNTA(A395:H395)=0,"",IF(OR(A395="",B395="",C395="",D395="",E395="",F395="",G395="",H395=""),"HATA: eksik bilgi",IF(COUNTIF(OdaListesi,A395)=0,"HATA: geçersiz oda no",IF(OR(NOT(ISNUMBER(D395)),NOT(ISNUMBER(E395))),"HATA: tarih geçersiz",IF(E395&lt;=D395,"HATA: çıkış girişten sonra olmalı",IF(OR(NOT(ISNUMBER(C395)),C395&lt;1,C395&gt;MaxKisi,C395&lt;&gt;INT(C395)),"HATA: kişi sayısı geçersiz",IF(OR(NOT(ISNUMBER(G395)),G395&lt;0),"HATA: tutar geçersiz",IF(B395&lt;&gt;TRIM(B395),"HATA: isimde baştaki/sondaki boşluk",IF(COUNTIF(KaynakAralik,H395)=0,"HATA: kaynak listede yok",IF(AND(F395&lt;&gt;"Bekleniyor",F395&lt;&gt;"Geldi",F395&lt;&gt;"İptal"),"HATA: giriş durumu geçersiz",IF(AND(F395&lt;&gt;"İptal",COUNTIFS($A$6:$A$1005,A395,$D$6:$D$1005,"&lt;"&amp;E395,$E$6:$E$1005,"&gt;"&amp;D395,$F$6:$F$1005,"&lt;&gt;İptal")&gt;1),"HATA: oda bu tarihlerde çakışıyor",IF(AND(F395="Bekleniyor",D395&lt;RaporTarihi),"HATA: giriş günü geçti, Geldi veya İptal yapın","OK"))))))))))))</f>
        <v/>
      </c>
      <c r="L395" s="25">
        <f>IF(AND(ISNUMBER(A395),F395&lt;&gt;"İptal",ISNUMBER(D395),ISNUMBER(E395),D395&lt;=RaporTarihi,E395&gt;RaporTarihi),A395,"")</f>
        <v/>
      </c>
    </row>
    <row r="396">
      <c r="A396" s="22" t="n"/>
      <c r="B396" s="22" t="n"/>
      <c r="C396" s="22" t="n"/>
      <c r="D396" s="23" t="n"/>
      <c r="E396" s="23" t="n"/>
      <c r="F396" s="22" t="n"/>
      <c r="G396" s="24" t="n"/>
      <c r="H396" s="22" t="n"/>
      <c r="I396" s="25">
        <f>IF(AND(ISNUMBER(D396),ISNUMBER(E396)),E396-D396,"")</f>
        <v/>
      </c>
      <c r="J396" s="26">
        <f>IF(AND(ISNUMBER(I396),ISNUMBER(G396)),IF(I396&gt;0,G396/I396,""),"")</f>
        <v/>
      </c>
      <c r="K396" s="25">
        <f>IF(COUNTA(A396:H396)=0,"",IF(OR(A396="",B396="",C396="",D396="",E396="",F396="",G396="",H396=""),"HATA: eksik bilgi",IF(COUNTIF(OdaListesi,A396)=0,"HATA: geçersiz oda no",IF(OR(NOT(ISNUMBER(D396)),NOT(ISNUMBER(E396))),"HATA: tarih geçersiz",IF(E396&lt;=D396,"HATA: çıkış girişten sonra olmalı",IF(OR(NOT(ISNUMBER(C396)),C396&lt;1,C396&gt;MaxKisi,C396&lt;&gt;INT(C396)),"HATA: kişi sayısı geçersiz",IF(OR(NOT(ISNUMBER(G396)),G396&lt;0),"HATA: tutar geçersiz",IF(B396&lt;&gt;TRIM(B396),"HATA: isimde baştaki/sondaki boşluk",IF(COUNTIF(KaynakAralik,H396)=0,"HATA: kaynak listede yok",IF(AND(F396&lt;&gt;"Bekleniyor",F396&lt;&gt;"Geldi",F396&lt;&gt;"İptal"),"HATA: giriş durumu geçersiz",IF(AND(F396&lt;&gt;"İptal",COUNTIFS($A$6:$A$1005,A396,$D$6:$D$1005,"&lt;"&amp;E396,$E$6:$E$1005,"&gt;"&amp;D396,$F$6:$F$1005,"&lt;&gt;İptal")&gt;1),"HATA: oda bu tarihlerde çakışıyor",IF(AND(F396="Bekleniyor",D396&lt;RaporTarihi),"HATA: giriş günü geçti, Geldi veya İptal yapın","OK"))))))))))))</f>
        <v/>
      </c>
      <c r="L396" s="25">
        <f>IF(AND(ISNUMBER(A396),F396&lt;&gt;"İptal",ISNUMBER(D396),ISNUMBER(E396),D396&lt;=RaporTarihi,E396&gt;RaporTarihi),A396,"")</f>
        <v/>
      </c>
    </row>
    <row r="397">
      <c r="A397" s="22" t="n"/>
      <c r="B397" s="22" t="n"/>
      <c r="C397" s="22" t="n"/>
      <c r="D397" s="23" t="n"/>
      <c r="E397" s="23" t="n"/>
      <c r="F397" s="22" t="n"/>
      <c r="G397" s="24" t="n"/>
      <c r="H397" s="22" t="n"/>
      <c r="I397" s="25">
        <f>IF(AND(ISNUMBER(D397),ISNUMBER(E397)),E397-D397,"")</f>
        <v/>
      </c>
      <c r="J397" s="26">
        <f>IF(AND(ISNUMBER(I397),ISNUMBER(G397)),IF(I397&gt;0,G397/I397,""),"")</f>
        <v/>
      </c>
      <c r="K397" s="25">
        <f>IF(COUNTA(A397:H397)=0,"",IF(OR(A397="",B397="",C397="",D397="",E397="",F397="",G397="",H397=""),"HATA: eksik bilgi",IF(COUNTIF(OdaListesi,A397)=0,"HATA: geçersiz oda no",IF(OR(NOT(ISNUMBER(D397)),NOT(ISNUMBER(E397))),"HATA: tarih geçersiz",IF(E397&lt;=D397,"HATA: çıkış girişten sonra olmalı",IF(OR(NOT(ISNUMBER(C397)),C397&lt;1,C397&gt;MaxKisi,C397&lt;&gt;INT(C397)),"HATA: kişi sayısı geçersiz",IF(OR(NOT(ISNUMBER(G397)),G397&lt;0),"HATA: tutar geçersiz",IF(B397&lt;&gt;TRIM(B397),"HATA: isimde baştaki/sondaki boşluk",IF(COUNTIF(KaynakAralik,H397)=0,"HATA: kaynak listede yok",IF(AND(F397&lt;&gt;"Bekleniyor",F397&lt;&gt;"Geldi",F397&lt;&gt;"İptal"),"HATA: giriş durumu geçersiz",IF(AND(F397&lt;&gt;"İptal",COUNTIFS($A$6:$A$1005,A397,$D$6:$D$1005,"&lt;"&amp;E397,$E$6:$E$1005,"&gt;"&amp;D397,$F$6:$F$1005,"&lt;&gt;İptal")&gt;1),"HATA: oda bu tarihlerde çakışıyor",IF(AND(F397="Bekleniyor",D397&lt;RaporTarihi),"HATA: giriş günü geçti, Geldi veya İptal yapın","OK"))))))))))))</f>
        <v/>
      </c>
      <c r="L397" s="25">
        <f>IF(AND(ISNUMBER(A397),F397&lt;&gt;"İptal",ISNUMBER(D397),ISNUMBER(E397),D397&lt;=RaporTarihi,E397&gt;RaporTarihi),A397,"")</f>
        <v/>
      </c>
    </row>
    <row r="398">
      <c r="A398" s="22" t="n"/>
      <c r="B398" s="22" t="n"/>
      <c r="C398" s="22" t="n"/>
      <c r="D398" s="23" t="n"/>
      <c r="E398" s="23" t="n"/>
      <c r="F398" s="22" t="n"/>
      <c r="G398" s="24" t="n"/>
      <c r="H398" s="22" t="n"/>
      <c r="I398" s="25">
        <f>IF(AND(ISNUMBER(D398),ISNUMBER(E398)),E398-D398,"")</f>
        <v/>
      </c>
      <c r="J398" s="26">
        <f>IF(AND(ISNUMBER(I398),ISNUMBER(G398)),IF(I398&gt;0,G398/I398,""),"")</f>
        <v/>
      </c>
      <c r="K398" s="25">
        <f>IF(COUNTA(A398:H398)=0,"",IF(OR(A398="",B398="",C398="",D398="",E398="",F398="",G398="",H398=""),"HATA: eksik bilgi",IF(COUNTIF(OdaListesi,A398)=0,"HATA: geçersiz oda no",IF(OR(NOT(ISNUMBER(D398)),NOT(ISNUMBER(E398))),"HATA: tarih geçersiz",IF(E398&lt;=D398,"HATA: çıkış girişten sonra olmalı",IF(OR(NOT(ISNUMBER(C398)),C398&lt;1,C398&gt;MaxKisi,C398&lt;&gt;INT(C398)),"HATA: kişi sayısı geçersiz",IF(OR(NOT(ISNUMBER(G398)),G398&lt;0),"HATA: tutar geçersiz",IF(B398&lt;&gt;TRIM(B398),"HATA: isimde baştaki/sondaki boşluk",IF(COUNTIF(KaynakAralik,H398)=0,"HATA: kaynak listede yok",IF(AND(F398&lt;&gt;"Bekleniyor",F398&lt;&gt;"Geldi",F398&lt;&gt;"İptal"),"HATA: giriş durumu geçersiz",IF(AND(F398&lt;&gt;"İptal",COUNTIFS($A$6:$A$1005,A398,$D$6:$D$1005,"&lt;"&amp;E398,$E$6:$E$1005,"&gt;"&amp;D398,$F$6:$F$1005,"&lt;&gt;İptal")&gt;1),"HATA: oda bu tarihlerde çakışıyor",IF(AND(F398="Bekleniyor",D398&lt;RaporTarihi),"HATA: giriş günü geçti, Geldi veya İptal yapın","OK"))))))))))))</f>
        <v/>
      </c>
      <c r="L398" s="25">
        <f>IF(AND(ISNUMBER(A398),F398&lt;&gt;"İptal",ISNUMBER(D398),ISNUMBER(E398),D398&lt;=RaporTarihi,E398&gt;RaporTarihi),A398,"")</f>
        <v/>
      </c>
    </row>
    <row r="399">
      <c r="A399" s="22" t="n"/>
      <c r="B399" s="22" t="n"/>
      <c r="C399" s="22" t="n"/>
      <c r="D399" s="23" t="n"/>
      <c r="E399" s="23" t="n"/>
      <c r="F399" s="22" t="n"/>
      <c r="G399" s="24" t="n"/>
      <c r="H399" s="22" t="n"/>
      <c r="I399" s="25">
        <f>IF(AND(ISNUMBER(D399),ISNUMBER(E399)),E399-D399,"")</f>
        <v/>
      </c>
      <c r="J399" s="26">
        <f>IF(AND(ISNUMBER(I399),ISNUMBER(G399)),IF(I399&gt;0,G399/I399,""),"")</f>
        <v/>
      </c>
      <c r="K399" s="25">
        <f>IF(COUNTA(A399:H399)=0,"",IF(OR(A399="",B399="",C399="",D399="",E399="",F399="",G399="",H399=""),"HATA: eksik bilgi",IF(COUNTIF(OdaListesi,A399)=0,"HATA: geçersiz oda no",IF(OR(NOT(ISNUMBER(D399)),NOT(ISNUMBER(E399))),"HATA: tarih geçersiz",IF(E399&lt;=D399,"HATA: çıkış girişten sonra olmalı",IF(OR(NOT(ISNUMBER(C399)),C399&lt;1,C399&gt;MaxKisi,C399&lt;&gt;INT(C399)),"HATA: kişi sayısı geçersiz",IF(OR(NOT(ISNUMBER(G399)),G399&lt;0),"HATA: tutar geçersiz",IF(B399&lt;&gt;TRIM(B399),"HATA: isimde baştaki/sondaki boşluk",IF(COUNTIF(KaynakAralik,H399)=0,"HATA: kaynak listede yok",IF(AND(F399&lt;&gt;"Bekleniyor",F399&lt;&gt;"Geldi",F399&lt;&gt;"İptal"),"HATA: giriş durumu geçersiz",IF(AND(F399&lt;&gt;"İptal",COUNTIFS($A$6:$A$1005,A399,$D$6:$D$1005,"&lt;"&amp;E399,$E$6:$E$1005,"&gt;"&amp;D399,$F$6:$F$1005,"&lt;&gt;İptal")&gt;1),"HATA: oda bu tarihlerde çakışıyor",IF(AND(F399="Bekleniyor",D399&lt;RaporTarihi),"HATA: giriş günü geçti, Geldi veya İptal yapın","OK"))))))))))))</f>
        <v/>
      </c>
      <c r="L399" s="25">
        <f>IF(AND(ISNUMBER(A399),F399&lt;&gt;"İptal",ISNUMBER(D399),ISNUMBER(E399),D399&lt;=RaporTarihi,E399&gt;RaporTarihi),A399,"")</f>
        <v/>
      </c>
    </row>
    <row r="400">
      <c r="A400" s="22" t="n"/>
      <c r="B400" s="22" t="n"/>
      <c r="C400" s="22" t="n"/>
      <c r="D400" s="23" t="n"/>
      <c r="E400" s="23" t="n"/>
      <c r="F400" s="22" t="n"/>
      <c r="G400" s="24" t="n"/>
      <c r="H400" s="22" t="n"/>
      <c r="I400" s="25">
        <f>IF(AND(ISNUMBER(D400),ISNUMBER(E400)),E400-D400,"")</f>
        <v/>
      </c>
      <c r="J400" s="26">
        <f>IF(AND(ISNUMBER(I400),ISNUMBER(G400)),IF(I400&gt;0,G400/I400,""),"")</f>
        <v/>
      </c>
      <c r="K400" s="25">
        <f>IF(COUNTA(A400:H400)=0,"",IF(OR(A400="",B400="",C400="",D400="",E400="",F400="",G400="",H400=""),"HATA: eksik bilgi",IF(COUNTIF(OdaListesi,A400)=0,"HATA: geçersiz oda no",IF(OR(NOT(ISNUMBER(D400)),NOT(ISNUMBER(E400))),"HATA: tarih geçersiz",IF(E400&lt;=D400,"HATA: çıkış girişten sonra olmalı",IF(OR(NOT(ISNUMBER(C400)),C400&lt;1,C400&gt;MaxKisi,C400&lt;&gt;INT(C400)),"HATA: kişi sayısı geçersiz",IF(OR(NOT(ISNUMBER(G400)),G400&lt;0),"HATA: tutar geçersiz",IF(B400&lt;&gt;TRIM(B400),"HATA: isimde baştaki/sondaki boşluk",IF(COUNTIF(KaynakAralik,H400)=0,"HATA: kaynak listede yok",IF(AND(F400&lt;&gt;"Bekleniyor",F400&lt;&gt;"Geldi",F400&lt;&gt;"İptal"),"HATA: giriş durumu geçersiz",IF(AND(F400&lt;&gt;"İptal",COUNTIFS($A$6:$A$1005,A400,$D$6:$D$1005,"&lt;"&amp;E400,$E$6:$E$1005,"&gt;"&amp;D400,$F$6:$F$1005,"&lt;&gt;İptal")&gt;1),"HATA: oda bu tarihlerde çakışıyor",IF(AND(F400="Bekleniyor",D400&lt;RaporTarihi),"HATA: giriş günü geçti, Geldi veya İptal yapın","OK"))))))))))))</f>
        <v/>
      </c>
      <c r="L400" s="25">
        <f>IF(AND(ISNUMBER(A400),F400&lt;&gt;"İptal",ISNUMBER(D400),ISNUMBER(E400),D400&lt;=RaporTarihi,E400&gt;RaporTarihi),A400,"")</f>
        <v/>
      </c>
    </row>
    <row r="401">
      <c r="A401" s="22" t="n"/>
      <c r="B401" s="22" t="n"/>
      <c r="C401" s="22" t="n"/>
      <c r="D401" s="23" t="n"/>
      <c r="E401" s="23" t="n"/>
      <c r="F401" s="22" t="n"/>
      <c r="G401" s="24" t="n"/>
      <c r="H401" s="22" t="n"/>
      <c r="I401" s="25">
        <f>IF(AND(ISNUMBER(D401),ISNUMBER(E401)),E401-D401,"")</f>
        <v/>
      </c>
      <c r="J401" s="26">
        <f>IF(AND(ISNUMBER(I401),ISNUMBER(G401)),IF(I401&gt;0,G401/I401,""),"")</f>
        <v/>
      </c>
      <c r="K401" s="25">
        <f>IF(COUNTA(A401:H401)=0,"",IF(OR(A401="",B401="",C401="",D401="",E401="",F401="",G401="",H401=""),"HATA: eksik bilgi",IF(COUNTIF(OdaListesi,A401)=0,"HATA: geçersiz oda no",IF(OR(NOT(ISNUMBER(D401)),NOT(ISNUMBER(E401))),"HATA: tarih geçersiz",IF(E401&lt;=D401,"HATA: çıkış girişten sonra olmalı",IF(OR(NOT(ISNUMBER(C401)),C401&lt;1,C401&gt;MaxKisi,C401&lt;&gt;INT(C401)),"HATA: kişi sayısı geçersiz",IF(OR(NOT(ISNUMBER(G401)),G401&lt;0),"HATA: tutar geçersiz",IF(B401&lt;&gt;TRIM(B401),"HATA: isimde baştaki/sondaki boşluk",IF(COUNTIF(KaynakAralik,H401)=0,"HATA: kaynak listede yok",IF(AND(F401&lt;&gt;"Bekleniyor",F401&lt;&gt;"Geldi",F401&lt;&gt;"İptal"),"HATA: giriş durumu geçersiz",IF(AND(F401&lt;&gt;"İptal",COUNTIFS($A$6:$A$1005,A401,$D$6:$D$1005,"&lt;"&amp;E401,$E$6:$E$1005,"&gt;"&amp;D401,$F$6:$F$1005,"&lt;&gt;İptal")&gt;1),"HATA: oda bu tarihlerde çakışıyor",IF(AND(F401="Bekleniyor",D401&lt;RaporTarihi),"HATA: giriş günü geçti, Geldi veya İptal yapın","OK"))))))))))))</f>
        <v/>
      </c>
      <c r="L401" s="25">
        <f>IF(AND(ISNUMBER(A401),F401&lt;&gt;"İptal",ISNUMBER(D401),ISNUMBER(E401),D401&lt;=RaporTarihi,E401&gt;RaporTarihi),A401,"")</f>
        <v/>
      </c>
    </row>
    <row r="402">
      <c r="A402" s="22" t="n"/>
      <c r="B402" s="22" t="n"/>
      <c r="C402" s="22" t="n"/>
      <c r="D402" s="23" t="n"/>
      <c r="E402" s="23" t="n"/>
      <c r="F402" s="22" t="n"/>
      <c r="G402" s="24" t="n"/>
      <c r="H402" s="22" t="n"/>
      <c r="I402" s="25">
        <f>IF(AND(ISNUMBER(D402),ISNUMBER(E402)),E402-D402,"")</f>
        <v/>
      </c>
      <c r="J402" s="26">
        <f>IF(AND(ISNUMBER(I402),ISNUMBER(G402)),IF(I402&gt;0,G402/I402,""),"")</f>
        <v/>
      </c>
      <c r="K402" s="25">
        <f>IF(COUNTA(A402:H402)=0,"",IF(OR(A402="",B402="",C402="",D402="",E402="",F402="",G402="",H402=""),"HATA: eksik bilgi",IF(COUNTIF(OdaListesi,A402)=0,"HATA: geçersiz oda no",IF(OR(NOT(ISNUMBER(D402)),NOT(ISNUMBER(E402))),"HATA: tarih geçersiz",IF(E402&lt;=D402,"HATA: çıkış girişten sonra olmalı",IF(OR(NOT(ISNUMBER(C402)),C402&lt;1,C402&gt;MaxKisi,C402&lt;&gt;INT(C402)),"HATA: kişi sayısı geçersiz",IF(OR(NOT(ISNUMBER(G402)),G402&lt;0),"HATA: tutar geçersiz",IF(B402&lt;&gt;TRIM(B402),"HATA: isimde baştaki/sondaki boşluk",IF(COUNTIF(KaynakAralik,H402)=0,"HATA: kaynak listede yok",IF(AND(F402&lt;&gt;"Bekleniyor",F402&lt;&gt;"Geldi",F402&lt;&gt;"İptal"),"HATA: giriş durumu geçersiz",IF(AND(F402&lt;&gt;"İptal",COUNTIFS($A$6:$A$1005,A402,$D$6:$D$1005,"&lt;"&amp;E402,$E$6:$E$1005,"&gt;"&amp;D402,$F$6:$F$1005,"&lt;&gt;İptal")&gt;1),"HATA: oda bu tarihlerde çakışıyor",IF(AND(F402="Bekleniyor",D402&lt;RaporTarihi),"HATA: giriş günü geçti, Geldi veya İptal yapın","OK"))))))))))))</f>
        <v/>
      </c>
      <c r="L402" s="25">
        <f>IF(AND(ISNUMBER(A402),F402&lt;&gt;"İptal",ISNUMBER(D402),ISNUMBER(E402),D402&lt;=RaporTarihi,E402&gt;RaporTarihi),A402,"")</f>
        <v/>
      </c>
    </row>
    <row r="403">
      <c r="A403" s="22" t="n"/>
      <c r="B403" s="22" t="n"/>
      <c r="C403" s="22" t="n"/>
      <c r="D403" s="23" t="n"/>
      <c r="E403" s="23" t="n"/>
      <c r="F403" s="22" t="n"/>
      <c r="G403" s="24" t="n"/>
      <c r="H403" s="22" t="n"/>
      <c r="I403" s="25">
        <f>IF(AND(ISNUMBER(D403),ISNUMBER(E403)),E403-D403,"")</f>
        <v/>
      </c>
      <c r="J403" s="26">
        <f>IF(AND(ISNUMBER(I403),ISNUMBER(G403)),IF(I403&gt;0,G403/I403,""),"")</f>
        <v/>
      </c>
      <c r="K403" s="25">
        <f>IF(COUNTA(A403:H403)=0,"",IF(OR(A403="",B403="",C403="",D403="",E403="",F403="",G403="",H403=""),"HATA: eksik bilgi",IF(COUNTIF(OdaListesi,A403)=0,"HATA: geçersiz oda no",IF(OR(NOT(ISNUMBER(D403)),NOT(ISNUMBER(E403))),"HATA: tarih geçersiz",IF(E403&lt;=D403,"HATA: çıkış girişten sonra olmalı",IF(OR(NOT(ISNUMBER(C403)),C403&lt;1,C403&gt;MaxKisi,C403&lt;&gt;INT(C403)),"HATA: kişi sayısı geçersiz",IF(OR(NOT(ISNUMBER(G403)),G403&lt;0),"HATA: tutar geçersiz",IF(B403&lt;&gt;TRIM(B403),"HATA: isimde baştaki/sondaki boşluk",IF(COUNTIF(KaynakAralik,H403)=0,"HATA: kaynak listede yok",IF(AND(F403&lt;&gt;"Bekleniyor",F403&lt;&gt;"Geldi",F403&lt;&gt;"İptal"),"HATA: giriş durumu geçersiz",IF(AND(F403&lt;&gt;"İptal",COUNTIFS($A$6:$A$1005,A403,$D$6:$D$1005,"&lt;"&amp;E403,$E$6:$E$1005,"&gt;"&amp;D403,$F$6:$F$1005,"&lt;&gt;İptal")&gt;1),"HATA: oda bu tarihlerde çakışıyor",IF(AND(F403="Bekleniyor",D403&lt;RaporTarihi),"HATA: giriş günü geçti, Geldi veya İptal yapın","OK"))))))))))))</f>
        <v/>
      </c>
      <c r="L403" s="25">
        <f>IF(AND(ISNUMBER(A403),F403&lt;&gt;"İptal",ISNUMBER(D403),ISNUMBER(E403),D403&lt;=RaporTarihi,E403&gt;RaporTarihi),A403,"")</f>
        <v/>
      </c>
    </row>
    <row r="404">
      <c r="A404" s="22" t="n"/>
      <c r="B404" s="22" t="n"/>
      <c r="C404" s="22" t="n"/>
      <c r="D404" s="23" t="n"/>
      <c r="E404" s="23" t="n"/>
      <c r="F404" s="22" t="n"/>
      <c r="G404" s="24" t="n"/>
      <c r="H404" s="22" t="n"/>
      <c r="I404" s="25">
        <f>IF(AND(ISNUMBER(D404),ISNUMBER(E404)),E404-D404,"")</f>
        <v/>
      </c>
      <c r="J404" s="26">
        <f>IF(AND(ISNUMBER(I404),ISNUMBER(G404)),IF(I404&gt;0,G404/I404,""),"")</f>
        <v/>
      </c>
      <c r="K404" s="25">
        <f>IF(COUNTA(A404:H404)=0,"",IF(OR(A404="",B404="",C404="",D404="",E404="",F404="",G404="",H404=""),"HATA: eksik bilgi",IF(COUNTIF(OdaListesi,A404)=0,"HATA: geçersiz oda no",IF(OR(NOT(ISNUMBER(D404)),NOT(ISNUMBER(E404))),"HATA: tarih geçersiz",IF(E404&lt;=D404,"HATA: çıkış girişten sonra olmalı",IF(OR(NOT(ISNUMBER(C404)),C404&lt;1,C404&gt;MaxKisi,C404&lt;&gt;INT(C404)),"HATA: kişi sayısı geçersiz",IF(OR(NOT(ISNUMBER(G404)),G404&lt;0),"HATA: tutar geçersiz",IF(B404&lt;&gt;TRIM(B404),"HATA: isimde baştaki/sondaki boşluk",IF(COUNTIF(KaynakAralik,H404)=0,"HATA: kaynak listede yok",IF(AND(F404&lt;&gt;"Bekleniyor",F404&lt;&gt;"Geldi",F404&lt;&gt;"İptal"),"HATA: giriş durumu geçersiz",IF(AND(F404&lt;&gt;"İptal",COUNTIFS($A$6:$A$1005,A404,$D$6:$D$1005,"&lt;"&amp;E404,$E$6:$E$1005,"&gt;"&amp;D404,$F$6:$F$1005,"&lt;&gt;İptal")&gt;1),"HATA: oda bu tarihlerde çakışıyor",IF(AND(F404="Bekleniyor",D404&lt;RaporTarihi),"HATA: giriş günü geçti, Geldi veya İptal yapın","OK"))))))))))))</f>
        <v/>
      </c>
      <c r="L404" s="25">
        <f>IF(AND(ISNUMBER(A404),F404&lt;&gt;"İptal",ISNUMBER(D404),ISNUMBER(E404),D404&lt;=RaporTarihi,E404&gt;RaporTarihi),A404,"")</f>
        <v/>
      </c>
    </row>
    <row r="405">
      <c r="A405" s="22" t="n"/>
      <c r="B405" s="22" t="n"/>
      <c r="C405" s="22" t="n"/>
      <c r="D405" s="23" t="n"/>
      <c r="E405" s="23" t="n"/>
      <c r="F405" s="22" t="n"/>
      <c r="G405" s="24" t="n"/>
      <c r="H405" s="22" t="n"/>
      <c r="I405" s="25">
        <f>IF(AND(ISNUMBER(D405),ISNUMBER(E405)),E405-D405,"")</f>
        <v/>
      </c>
      <c r="J405" s="26">
        <f>IF(AND(ISNUMBER(I405),ISNUMBER(G405)),IF(I405&gt;0,G405/I405,""),"")</f>
        <v/>
      </c>
      <c r="K405" s="25">
        <f>IF(COUNTA(A405:H405)=0,"",IF(OR(A405="",B405="",C405="",D405="",E405="",F405="",G405="",H405=""),"HATA: eksik bilgi",IF(COUNTIF(OdaListesi,A405)=0,"HATA: geçersiz oda no",IF(OR(NOT(ISNUMBER(D405)),NOT(ISNUMBER(E405))),"HATA: tarih geçersiz",IF(E405&lt;=D405,"HATA: çıkış girişten sonra olmalı",IF(OR(NOT(ISNUMBER(C405)),C405&lt;1,C405&gt;MaxKisi,C405&lt;&gt;INT(C405)),"HATA: kişi sayısı geçersiz",IF(OR(NOT(ISNUMBER(G405)),G405&lt;0),"HATA: tutar geçersiz",IF(B405&lt;&gt;TRIM(B405),"HATA: isimde baştaki/sondaki boşluk",IF(COUNTIF(KaynakAralik,H405)=0,"HATA: kaynak listede yok",IF(AND(F405&lt;&gt;"Bekleniyor",F405&lt;&gt;"Geldi",F405&lt;&gt;"İptal"),"HATA: giriş durumu geçersiz",IF(AND(F405&lt;&gt;"İptal",COUNTIFS($A$6:$A$1005,A405,$D$6:$D$1005,"&lt;"&amp;E405,$E$6:$E$1005,"&gt;"&amp;D405,$F$6:$F$1005,"&lt;&gt;İptal")&gt;1),"HATA: oda bu tarihlerde çakışıyor",IF(AND(F405="Bekleniyor",D405&lt;RaporTarihi),"HATA: giriş günü geçti, Geldi veya İptal yapın","OK"))))))))))))</f>
        <v/>
      </c>
      <c r="L405" s="25">
        <f>IF(AND(ISNUMBER(A405),F405&lt;&gt;"İptal",ISNUMBER(D405),ISNUMBER(E405),D405&lt;=RaporTarihi,E405&gt;RaporTarihi),A405,"")</f>
        <v/>
      </c>
    </row>
    <row r="406">
      <c r="A406" s="22" t="n"/>
      <c r="B406" s="22" t="n"/>
      <c r="C406" s="22" t="n"/>
      <c r="D406" s="23" t="n"/>
      <c r="E406" s="23" t="n"/>
      <c r="F406" s="22" t="n"/>
      <c r="G406" s="24" t="n"/>
      <c r="H406" s="22" t="n"/>
      <c r="I406" s="25">
        <f>IF(AND(ISNUMBER(D406),ISNUMBER(E406)),E406-D406,"")</f>
        <v/>
      </c>
      <c r="J406" s="26">
        <f>IF(AND(ISNUMBER(I406),ISNUMBER(G406)),IF(I406&gt;0,G406/I406,""),"")</f>
        <v/>
      </c>
      <c r="K406" s="25">
        <f>IF(COUNTA(A406:H406)=0,"",IF(OR(A406="",B406="",C406="",D406="",E406="",F406="",G406="",H406=""),"HATA: eksik bilgi",IF(COUNTIF(OdaListesi,A406)=0,"HATA: geçersiz oda no",IF(OR(NOT(ISNUMBER(D406)),NOT(ISNUMBER(E406))),"HATA: tarih geçersiz",IF(E406&lt;=D406,"HATA: çıkış girişten sonra olmalı",IF(OR(NOT(ISNUMBER(C406)),C406&lt;1,C406&gt;MaxKisi,C406&lt;&gt;INT(C406)),"HATA: kişi sayısı geçersiz",IF(OR(NOT(ISNUMBER(G406)),G406&lt;0),"HATA: tutar geçersiz",IF(B406&lt;&gt;TRIM(B406),"HATA: isimde baştaki/sondaki boşluk",IF(COUNTIF(KaynakAralik,H406)=0,"HATA: kaynak listede yok",IF(AND(F406&lt;&gt;"Bekleniyor",F406&lt;&gt;"Geldi",F406&lt;&gt;"İptal"),"HATA: giriş durumu geçersiz",IF(AND(F406&lt;&gt;"İptal",COUNTIFS($A$6:$A$1005,A406,$D$6:$D$1005,"&lt;"&amp;E406,$E$6:$E$1005,"&gt;"&amp;D406,$F$6:$F$1005,"&lt;&gt;İptal")&gt;1),"HATA: oda bu tarihlerde çakışıyor",IF(AND(F406="Bekleniyor",D406&lt;RaporTarihi),"HATA: giriş günü geçti, Geldi veya İptal yapın","OK"))))))))))))</f>
        <v/>
      </c>
      <c r="L406" s="25">
        <f>IF(AND(ISNUMBER(A406),F406&lt;&gt;"İptal",ISNUMBER(D406),ISNUMBER(E406),D406&lt;=RaporTarihi,E406&gt;RaporTarihi),A406,"")</f>
        <v/>
      </c>
    </row>
    <row r="407">
      <c r="A407" s="22" t="n"/>
      <c r="B407" s="22" t="n"/>
      <c r="C407" s="22" t="n"/>
      <c r="D407" s="23" t="n"/>
      <c r="E407" s="23" t="n"/>
      <c r="F407" s="22" t="n"/>
      <c r="G407" s="24" t="n"/>
      <c r="H407" s="22" t="n"/>
      <c r="I407" s="25">
        <f>IF(AND(ISNUMBER(D407),ISNUMBER(E407)),E407-D407,"")</f>
        <v/>
      </c>
      <c r="J407" s="26">
        <f>IF(AND(ISNUMBER(I407),ISNUMBER(G407)),IF(I407&gt;0,G407/I407,""),"")</f>
        <v/>
      </c>
      <c r="K407" s="25">
        <f>IF(COUNTA(A407:H407)=0,"",IF(OR(A407="",B407="",C407="",D407="",E407="",F407="",G407="",H407=""),"HATA: eksik bilgi",IF(COUNTIF(OdaListesi,A407)=0,"HATA: geçersiz oda no",IF(OR(NOT(ISNUMBER(D407)),NOT(ISNUMBER(E407))),"HATA: tarih geçersiz",IF(E407&lt;=D407,"HATA: çıkış girişten sonra olmalı",IF(OR(NOT(ISNUMBER(C407)),C407&lt;1,C407&gt;MaxKisi,C407&lt;&gt;INT(C407)),"HATA: kişi sayısı geçersiz",IF(OR(NOT(ISNUMBER(G407)),G407&lt;0),"HATA: tutar geçersiz",IF(B407&lt;&gt;TRIM(B407),"HATA: isimde baştaki/sondaki boşluk",IF(COUNTIF(KaynakAralik,H407)=0,"HATA: kaynak listede yok",IF(AND(F407&lt;&gt;"Bekleniyor",F407&lt;&gt;"Geldi",F407&lt;&gt;"İptal"),"HATA: giriş durumu geçersiz",IF(AND(F407&lt;&gt;"İptal",COUNTIFS($A$6:$A$1005,A407,$D$6:$D$1005,"&lt;"&amp;E407,$E$6:$E$1005,"&gt;"&amp;D407,$F$6:$F$1005,"&lt;&gt;İptal")&gt;1),"HATA: oda bu tarihlerde çakışıyor",IF(AND(F407="Bekleniyor",D407&lt;RaporTarihi),"HATA: giriş günü geçti, Geldi veya İptal yapın","OK"))))))))))))</f>
        <v/>
      </c>
      <c r="L407" s="25">
        <f>IF(AND(ISNUMBER(A407),F407&lt;&gt;"İptal",ISNUMBER(D407),ISNUMBER(E407),D407&lt;=RaporTarihi,E407&gt;RaporTarihi),A407,"")</f>
        <v/>
      </c>
    </row>
    <row r="408">
      <c r="A408" s="22" t="n"/>
      <c r="B408" s="22" t="n"/>
      <c r="C408" s="22" t="n"/>
      <c r="D408" s="23" t="n"/>
      <c r="E408" s="23" t="n"/>
      <c r="F408" s="22" t="n"/>
      <c r="G408" s="24" t="n"/>
      <c r="H408" s="22" t="n"/>
      <c r="I408" s="25">
        <f>IF(AND(ISNUMBER(D408),ISNUMBER(E408)),E408-D408,"")</f>
        <v/>
      </c>
      <c r="J408" s="26">
        <f>IF(AND(ISNUMBER(I408),ISNUMBER(G408)),IF(I408&gt;0,G408/I408,""),"")</f>
        <v/>
      </c>
      <c r="K408" s="25">
        <f>IF(COUNTA(A408:H408)=0,"",IF(OR(A408="",B408="",C408="",D408="",E408="",F408="",G408="",H408=""),"HATA: eksik bilgi",IF(COUNTIF(OdaListesi,A408)=0,"HATA: geçersiz oda no",IF(OR(NOT(ISNUMBER(D408)),NOT(ISNUMBER(E408))),"HATA: tarih geçersiz",IF(E408&lt;=D408,"HATA: çıkış girişten sonra olmalı",IF(OR(NOT(ISNUMBER(C408)),C408&lt;1,C408&gt;MaxKisi,C408&lt;&gt;INT(C408)),"HATA: kişi sayısı geçersiz",IF(OR(NOT(ISNUMBER(G408)),G408&lt;0),"HATA: tutar geçersiz",IF(B408&lt;&gt;TRIM(B408),"HATA: isimde baştaki/sondaki boşluk",IF(COUNTIF(KaynakAralik,H408)=0,"HATA: kaynak listede yok",IF(AND(F408&lt;&gt;"Bekleniyor",F408&lt;&gt;"Geldi",F408&lt;&gt;"İptal"),"HATA: giriş durumu geçersiz",IF(AND(F408&lt;&gt;"İptal",COUNTIFS($A$6:$A$1005,A408,$D$6:$D$1005,"&lt;"&amp;E408,$E$6:$E$1005,"&gt;"&amp;D408,$F$6:$F$1005,"&lt;&gt;İptal")&gt;1),"HATA: oda bu tarihlerde çakışıyor",IF(AND(F408="Bekleniyor",D408&lt;RaporTarihi),"HATA: giriş günü geçti, Geldi veya İptal yapın","OK"))))))))))))</f>
        <v/>
      </c>
      <c r="L408" s="25">
        <f>IF(AND(ISNUMBER(A408),F408&lt;&gt;"İptal",ISNUMBER(D408),ISNUMBER(E408),D408&lt;=RaporTarihi,E408&gt;RaporTarihi),A408,"")</f>
        <v/>
      </c>
    </row>
    <row r="409">
      <c r="A409" s="22" t="n"/>
      <c r="B409" s="22" t="n"/>
      <c r="C409" s="22" t="n"/>
      <c r="D409" s="23" t="n"/>
      <c r="E409" s="23" t="n"/>
      <c r="F409" s="22" t="n"/>
      <c r="G409" s="24" t="n"/>
      <c r="H409" s="22" t="n"/>
      <c r="I409" s="25">
        <f>IF(AND(ISNUMBER(D409),ISNUMBER(E409)),E409-D409,"")</f>
        <v/>
      </c>
      <c r="J409" s="26">
        <f>IF(AND(ISNUMBER(I409),ISNUMBER(G409)),IF(I409&gt;0,G409/I409,""),"")</f>
        <v/>
      </c>
      <c r="K409" s="25">
        <f>IF(COUNTA(A409:H409)=0,"",IF(OR(A409="",B409="",C409="",D409="",E409="",F409="",G409="",H409=""),"HATA: eksik bilgi",IF(COUNTIF(OdaListesi,A409)=0,"HATA: geçersiz oda no",IF(OR(NOT(ISNUMBER(D409)),NOT(ISNUMBER(E409))),"HATA: tarih geçersiz",IF(E409&lt;=D409,"HATA: çıkış girişten sonra olmalı",IF(OR(NOT(ISNUMBER(C409)),C409&lt;1,C409&gt;MaxKisi,C409&lt;&gt;INT(C409)),"HATA: kişi sayısı geçersiz",IF(OR(NOT(ISNUMBER(G409)),G409&lt;0),"HATA: tutar geçersiz",IF(B409&lt;&gt;TRIM(B409),"HATA: isimde baştaki/sondaki boşluk",IF(COUNTIF(KaynakAralik,H409)=0,"HATA: kaynak listede yok",IF(AND(F409&lt;&gt;"Bekleniyor",F409&lt;&gt;"Geldi",F409&lt;&gt;"İptal"),"HATA: giriş durumu geçersiz",IF(AND(F409&lt;&gt;"İptal",COUNTIFS($A$6:$A$1005,A409,$D$6:$D$1005,"&lt;"&amp;E409,$E$6:$E$1005,"&gt;"&amp;D409,$F$6:$F$1005,"&lt;&gt;İptal")&gt;1),"HATA: oda bu tarihlerde çakışıyor",IF(AND(F409="Bekleniyor",D409&lt;RaporTarihi),"HATA: giriş günü geçti, Geldi veya İptal yapın","OK"))))))))))))</f>
        <v/>
      </c>
      <c r="L409" s="25">
        <f>IF(AND(ISNUMBER(A409),F409&lt;&gt;"İptal",ISNUMBER(D409),ISNUMBER(E409),D409&lt;=RaporTarihi,E409&gt;RaporTarihi),A409,"")</f>
        <v/>
      </c>
    </row>
    <row r="410">
      <c r="A410" s="22" t="n"/>
      <c r="B410" s="22" t="n"/>
      <c r="C410" s="22" t="n"/>
      <c r="D410" s="23" t="n"/>
      <c r="E410" s="23" t="n"/>
      <c r="F410" s="22" t="n"/>
      <c r="G410" s="24" t="n"/>
      <c r="H410" s="22" t="n"/>
      <c r="I410" s="25">
        <f>IF(AND(ISNUMBER(D410),ISNUMBER(E410)),E410-D410,"")</f>
        <v/>
      </c>
      <c r="J410" s="26">
        <f>IF(AND(ISNUMBER(I410),ISNUMBER(G410)),IF(I410&gt;0,G410/I410,""),"")</f>
        <v/>
      </c>
      <c r="K410" s="25">
        <f>IF(COUNTA(A410:H410)=0,"",IF(OR(A410="",B410="",C410="",D410="",E410="",F410="",G410="",H410=""),"HATA: eksik bilgi",IF(COUNTIF(OdaListesi,A410)=0,"HATA: geçersiz oda no",IF(OR(NOT(ISNUMBER(D410)),NOT(ISNUMBER(E410))),"HATA: tarih geçersiz",IF(E410&lt;=D410,"HATA: çıkış girişten sonra olmalı",IF(OR(NOT(ISNUMBER(C410)),C410&lt;1,C410&gt;MaxKisi,C410&lt;&gt;INT(C410)),"HATA: kişi sayısı geçersiz",IF(OR(NOT(ISNUMBER(G410)),G410&lt;0),"HATA: tutar geçersiz",IF(B410&lt;&gt;TRIM(B410),"HATA: isimde baştaki/sondaki boşluk",IF(COUNTIF(KaynakAralik,H410)=0,"HATA: kaynak listede yok",IF(AND(F410&lt;&gt;"Bekleniyor",F410&lt;&gt;"Geldi",F410&lt;&gt;"İptal"),"HATA: giriş durumu geçersiz",IF(AND(F410&lt;&gt;"İptal",COUNTIFS($A$6:$A$1005,A410,$D$6:$D$1005,"&lt;"&amp;E410,$E$6:$E$1005,"&gt;"&amp;D410,$F$6:$F$1005,"&lt;&gt;İptal")&gt;1),"HATA: oda bu tarihlerde çakışıyor",IF(AND(F410="Bekleniyor",D410&lt;RaporTarihi),"HATA: giriş günü geçti, Geldi veya İptal yapın","OK"))))))))))))</f>
        <v/>
      </c>
      <c r="L410" s="25">
        <f>IF(AND(ISNUMBER(A410),F410&lt;&gt;"İptal",ISNUMBER(D410),ISNUMBER(E410),D410&lt;=RaporTarihi,E410&gt;RaporTarihi),A410,"")</f>
        <v/>
      </c>
    </row>
    <row r="411">
      <c r="A411" s="22" t="n"/>
      <c r="B411" s="22" t="n"/>
      <c r="C411" s="22" t="n"/>
      <c r="D411" s="23" t="n"/>
      <c r="E411" s="23" t="n"/>
      <c r="F411" s="22" t="n"/>
      <c r="G411" s="24" t="n"/>
      <c r="H411" s="22" t="n"/>
      <c r="I411" s="25">
        <f>IF(AND(ISNUMBER(D411),ISNUMBER(E411)),E411-D411,"")</f>
        <v/>
      </c>
      <c r="J411" s="26">
        <f>IF(AND(ISNUMBER(I411),ISNUMBER(G411)),IF(I411&gt;0,G411/I411,""),"")</f>
        <v/>
      </c>
      <c r="K411" s="25">
        <f>IF(COUNTA(A411:H411)=0,"",IF(OR(A411="",B411="",C411="",D411="",E411="",F411="",G411="",H411=""),"HATA: eksik bilgi",IF(COUNTIF(OdaListesi,A411)=0,"HATA: geçersiz oda no",IF(OR(NOT(ISNUMBER(D411)),NOT(ISNUMBER(E411))),"HATA: tarih geçersiz",IF(E411&lt;=D411,"HATA: çıkış girişten sonra olmalı",IF(OR(NOT(ISNUMBER(C411)),C411&lt;1,C411&gt;MaxKisi,C411&lt;&gt;INT(C411)),"HATA: kişi sayısı geçersiz",IF(OR(NOT(ISNUMBER(G411)),G411&lt;0),"HATA: tutar geçersiz",IF(B411&lt;&gt;TRIM(B411),"HATA: isimde baştaki/sondaki boşluk",IF(COUNTIF(KaynakAralik,H411)=0,"HATA: kaynak listede yok",IF(AND(F411&lt;&gt;"Bekleniyor",F411&lt;&gt;"Geldi",F411&lt;&gt;"İptal"),"HATA: giriş durumu geçersiz",IF(AND(F411&lt;&gt;"İptal",COUNTIFS($A$6:$A$1005,A411,$D$6:$D$1005,"&lt;"&amp;E411,$E$6:$E$1005,"&gt;"&amp;D411,$F$6:$F$1005,"&lt;&gt;İptal")&gt;1),"HATA: oda bu tarihlerde çakışıyor",IF(AND(F411="Bekleniyor",D411&lt;RaporTarihi),"HATA: giriş günü geçti, Geldi veya İptal yapın","OK"))))))))))))</f>
        <v/>
      </c>
      <c r="L411" s="25">
        <f>IF(AND(ISNUMBER(A411),F411&lt;&gt;"İptal",ISNUMBER(D411),ISNUMBER(E411),D411&lt;=RaporTarihi,E411&gt;RaporTarihi),A411,"")</f>
        <v/>
      </c>
    </row>
    <row r="412">
      <c r="A412" s="22" t="n"/>
      <c r="B412" s="22" t="n"/>
      <c r="C412" s="22" t="n"/>
      <c r="D412" s="23" t="n"/>
      <c r="E412" s="23" t="n"/>
      <c r="F412" s="22" t="n"/>
      <c r="G412" s="24" t="n"/>
      <c r="H412" s="22" t="n"/>
      <c r="I412" s="25">
        <f>IF(AND(ISNUMBER(D412),ISNUMBER(E412)),E412-D412,"")</f>
        <v/>
      </c>
      <c r="J412" s="26">
        <f>IF(AND(ISNUMBER(I412),ISNUMBER(G412)),IF(I412&gt;0,G412/I412,""),"")</f>
        <v/>
      </c>
      <c r="K412" s="25">
        <f>IF(COUNTA(A412:H412)=0,"",IF(OR(A412="",B412="",C412="",D412="",E412="",F412="",G412="",H412=""),"HATA: eksik bilgi",IF(COUNTIF(OdaListesi,A412)=0,"HATA: geçersiz oda no",IF(OR(NOT(ISNUMBER(D412)),NOT(ISNUMBER(E412))),"HATA: tarih geçersiz",IF(E412&lt;=D412,"HATA: çıkış girişten sonra olmalı",IF(OR(NOT(ISNUMBER(C412)),C412&lt;1,C412&gt;MaxKisi,C412&lt;&gt;INT(C412)),"HATA: kişi sayısı geçersiz",IF(OR(NOT(ISNUMBER(G412)),G412&lt;0),"HATA: tutar geçersiz",IF(B412&lt;&gt;TRIM(B412),"HATA: isimde baştaki/sondaki boşluk",IF(COUNTIF(KaynakAralik,H412)=0,"HATA: kaynak listede yok",IF(AND(F412&lt;&gt;"Bekleniyor",F412&lt;&gt;"Geldi",F412&lt;&gt;"İptal"),"HATA: giriş durumu geçersiz",IF(AND(F412&lt;&gt;"İptal",COUNTIFS($A$6:$A$1005,A412,$D$6:$D$1005,"&lt;"&amp;E412,$E$6:$E$1005,"&gt;"&amp;D412,$F$6:$F$1005,"&lt;&gt;İptal")&gt;1),"HATA: oda bu tarihlerde çakışıyor",IF(AND(F412="Bekleniyor",D412&lt;RaporTarihi),"HATA: giriş günü geçti, Geldi veya İptal yapın","OK"))))))))))))</f>
        <v/>
      </c>
      <c r="L412" s="25">
        <f>IF(AND(ISNUMBER(A412),F412&lt;&gt;"İptal",ISNUMBER(D412),ISNUMBER(E412),D412&lt;=RaporTarihi,E412&gt;RaporTarihi),A412,"")</f>
        <v/>
      </c>
    </row>
    <row r="413">
      <c r="A413" s="22" t="n"/>
      <c r="B413" s="22" t="n"/>
      <c r="C413" s="22" t="n"/>
      <c r="D413" s="23" t="n"/>
      <c r="E413" s="23" t="n"/>
      <c r="F413" s="22" t="n"/>
      <c r="G413" s="24" t="n"/>
      <c r="H413" s="22" t="n"/>
      <c r="I413" s="25">
        <f>IF(AND(ISNUMBER(D413),ISNUMBER(E413)),E413-D413,"")</f>
        <v/>
      </c>
      <c r="J413" s="26">
        <f>IF(AND(ISNUMBER(I413),ISNUMBER(G413)),IF(I413&gt;0,G413/I413,""),"")</f>
        <v/>
      </c>
      <c r="K413" s="25">
        <f>IF(COUNTA(A413:H413)=0,"",IF(OR(A413="",B413="",C413="",D413="",E413="",F413="",G413="",H413=""),"HATA: eksik bilgi",IF(COUNTIF(OdaListesi,A413)=0,"HATA: geçersiz oda no",IF(OR(NOT(ISNUMBER(D413)),NOT(ISNUMBER(E413))),"HATA: tarih geçersiz",IF(E413&lt;=D413,"HATA: çıkış girişten sonra olmalı",IF(OR(NOT(ISNUMBER(C413)),C413&lt;1,C413&gt;MaxKisi,C413&lt;&gt;INT(C413)),"HATA: kişi sayısı geçersiz",IF(OR(NOT(ISNUMBER(G413)),G413&lt;0),"HATA: tutar geçersiz",IF(B413&lt;&gt;TRIM(B413),"HATA: isimde baştaki/sondaki boşluk",IF(COUNTIF(KaynakAralik,H413)=0,"HATA: kaynak listede yok",IF(AND(F413&lt;&gt;"Bekleniyor",F413&lt;&gt;"Geldi",F413&lt;&gt;"İptal"),"HATA: giriş durumu geçersiz",IF(AND(F413&lt;&gt;"İptal",COUNTIFS($A$6:$A$1005,A413,$D$6:$D$1005,"&lt;"&amp;E413,$E$6:$E$1005,"&gt;"&amp;D413,$F$6:$F$1005,"&lt;&gt;İptal")&gt;1),"HATA: oda bu tarihlerde çakışıyor",IF(AND(F413="Bekleniyor",D413&lt;RaporTarihi),"HATA: giriş günü geçti, Geldi veya İptal yapın","OK"))))))))))))</f>
        <v/>
      </c>
      <c r="L413" s="25">
        <f>IF(AND(ISNUMBER(A413),F413&lt;&gt;"İptal",ISNUMBER(D413),ISNUMBER(E413),D413&lt;=RaporTarihi,E413&gt;RaporTarihi),A413,"")</f>
        <v/>
      </c>
    </row>
    <row r="414">
      <c r="A414" s="22" t="n"/>
      <c r="B414" s="22" t="n"/>
      <c r="C414" s="22" t="n"/>
      <c r="D414" s="23" t="n"/>
      <c r="E414" s="23" t="n"/>
      <c r="F414" s="22" t="n"/>
      <c r="G414" s="24" t="n"/>
      <c r="H414" s="22" t="n"/>
      <c r="I414" s="25">
        <f>IF(AND(ISNUMBER(D414),ISNUMBER(E414)),E414-D414,"")</f>
        <v/>
      </c>
      <c r="J414" s="26">
        <f>IF(AND(ISNUMBER(I414),ISNUMBER(G414)),IF(I414&gt;0,G414/I414,""),"")</f>
        <v/>
      </c>
      <c r="K414" s="25">
        <f>IF(COUNTA(A414:H414)=0,"",IF(OR(A414="",B414="",C414="",D414="",E414="",F414="",G414="",H414=""),"HATA: eksik bilgi",IF(COUNTIF(OdaListesi,A414)=0,"HATA: geçersiz oda no",IF(OR(NOT(ISNUMBER(D414)),NOT(ISNUMBER(E414))),"HATA: tarih geçersiz",IF(E414&lt;=D414,"HATA: çıkış girişten sonra olmalı",IF(OR(NOT(ISNUMBER(C414)),C414&lt;1,C414&gt;MaxKisi,C414&lt;&gt;INT(C414)),"HATA: kişi sayısı geçersiz",IF(OR(NOT(ISNUMBER(G414)),G414&lt;0),"HATA: tutar geçersiz",IF(B414&lt;&gt;TRIM(B414),"HATA: isimde baştaki/sondaki boşluk",IF(COUNTIF(KaynakAralik,H414)=0,"HATA: kaynak listede yok",IF(AND(F414&lt;&gt;"Bekleniyor",F414&lt;&gt;"Geldi",F414&lt;&gt;"İptal"),"HATA: giriş durumu geçersiz",IF(AND(F414&lt;&gt;"İptal",COUNTIFS($A$6:$A$1005,A414,$D$6:$D$1005,"&lt;"&amp;E414,$E$6:$E$1005,"&gt;"&amp;D414,$F$6:$F$1005,"&lt;&gt;İptal")&gt;1),"HATA: oda bu tarihlerde çakışıyor",IF(AND(F414="Bekleniyor",D414&lt;RaporTarihi),"HATA: giriş günü geçti, Geldi veya İptal yapın","OK"))))))))))))</f>
        <v/>
      </c>
      <c r="L414" s="25">
        <f>IF(AND(ISNUMBER(A414),F414&lt;&gt;"İptal",ISNUMBER(D414),ISNUMBER(E414),D414&lt;=RaporTarihi,E414&gt;RaporTarihi),A414,"")</f>
        <v/>
      </c>
    </row>
    <row r="415">
      <c r="A415" s="22" t="n"/>
      <c r="B415" s="22" t="n"/>
      <c r="C415" s="22" t="n"/>
      <c r="D415" s="23" t="n"/>
      <c r="E415" s="23" t="n"/>
      <c r="F415" s="22" t="n"/>
      <c r="G415" s="24" t="n"/>
      <c r="H415" s="22" t="n"/>
      <c r="I415" s="25">
        <f>IF(AND(ISNUMBER(D415),ISNUMBER(E415)),E415-D415,"")</f>
        <v/>
      </c>
      <c r="J415" s="26">
        <f>IF(AND(ISNUMBER(I415),ISNUMBER(G415)),IF(I415&gt;0,G415/I415,""),"")</f>
        <v/>
      </c>
      <c r="K415" s="25">
        <f>IF(COUNTA(A415:H415)=0,"",IF(OR(A415="",B415="",C415="",D415="",E415="",F415="",G415="",H415=""),"HATA: eksik bilgi",IF(COUNTIF(OdaListesi,A415)=0,"HATA: geçersiz oda no",IF(OR(NOT(ISNUMBER(D415)),NOT(ISNUMBER(E415))),"HATA: tarih geçersiz",IF(E415&lt;=D415,"HATA: çıkış girişten sonra olmalı",IF(OR(NOT(ISNUMBER(C415)),C415&lt;1,C415&gt;MaxKisi,C415&lt;&gt;INT(C415)),"HATA: kişi sayısı geçersiz",IF(OR(NOT(ISNUMBER(G415)),G415&lt;0),"HATA: tutar geçersiz",IF(B415&lt;&gt;TRIM(B415),"HATA: isimde baştaki/sondaki boşluk",IF(COUNTIF(KaynakAralik,H415)=0,"HATA: kaynak listede yok",IF(AND(F415&lt;&gt;"Bekleniyor",F415&lt;&gt;"Geldi",F415&lt;&gt;"İptal"),"HATA: giriş durumu geçersiz",IF(AND(F415&lt;&gt;"İptal",COUNTIFS($A$6:$A$1005,A415,$D$6:$D$1005,"&lt;"&amp;E415,$E$6:$E$1005,"&gt;"&amp;D415,$F$6:$F$1005,"&lt;&gt;İptal")&gt;1),"HATA: oda bu tarihlerde çakışıyor",IF(AND(F415="Bekleniyor",D415&lt;RaporTarihi),"HATA: giriş günü geçti, Geldi veya İptal yapın","OK"))))))))))))</f>
        <v/>
      </c>
      <c r="L415" s="25">
        <f>IF(AND(ISNUMBER(A415),F415&lt;&gt;"İptal",ISNUMBER(D415),ISNUMBER(E415),D415&lt;=RaporTarihi,E415&gt;RaporTarihi),A415,"")</f>
        <v/>
      </c>
    </row>
    <row r="416">
      <c r="A416" s="22" t="n"/>
      <c r="B416" s="22" t="n"/>
      <c r="C416" s="22" t="n"/>
      <c r="D416" s="23" t="n"/>
      <c r="E416" s="23" t="n"/>
      <c r="F416" s="22" t="n"/>
      <c r="G416" s="24" t="n"/>
      <c r="H416" s="22" t="n"/>
      <c r="I416" s="25">
        <f>IF(AND(ISNUMBER(D416),ISNUMBER(E416)),E416-D416,"")</f>
        <v/>
      </c>
      <c r="J416" s="26">
        <f>IF(AND(ISNUMBER(I416),ISNUMBER(G416)),IF(I416&gt;0,G416/I416,""),"")</f>
        <v/>
      </c>
      <c r="K416" s="25">
        <f>IF(COUNTA(A416:H416)=0,"",IF(OR(A416="",B416="",C416="",D416="",E416="",F416="",G416="",H416=""),"HATA: eksik bilgi",IF(COUNTIF(OdaListesi,A416)=0,"HATA: geçersiz oda no",IF(OR(NOT(ISNUMBER(D416)),NOT(ISNUMBER(E416))),"HATA: tarih geçersiz",IF(E416&lt;=D416,"HATA: çıkış girişten sonra olmalı",IF(OR(NOT(ISNUMBER(C416)),C416&lt;1,C416&gt;MaxKisi,C416&lt;&gt;INT(C416)),"HATA: kişi sayısı geçersiz",IF(OR(NOT(ISNUMBER(G416)),G416&lt;0),"HATA: tutar geçersiz",IF(B416&lt;&gt;TRIM(B416),"HATA: isimde baştaki/sondaki boşluk",IF(COUNTIF(KaynakAralik,H416)=0,"HATA: kaynak listede yok",IF(AND(F416&lt;&gt;"Bekleniyor",F416&lt;&gt;"Geldi",F416&lt;&gt;"İptal"),"HATA: giriş durumu geçersiz",IF(AND(F416&lt;&gt;"İptal",COUNTIFS($A$6:$A$1005,A416,$D$6:$D$1005,"&lt;"&amp;E416,$E$6:$E$1005,"&gt;"&amp;D416,$F$6:$F$1005,"&lt;&gt;İptal")&gt;1),"HATA: oda bu tarihlerde çakışıyor",IF(AND(F416="Bekleniyor",D416&lt;RaporTarihi),"HATA: giriş günü geçti, Geldi veya İptal yapın","OK"))))))))))))</f>
        <v/>
      </c>
      <c r="L416" s="25">
        <f>IF(AND(ISNUMBER(A416),F416&lt;&gt;"İptal",ISNUMBER(D416),ISNUMBER(E416),D416&lt;=RaporTarihi,E416&gt;RaporTarihi),A416,"")</f>
        <v/>
      </c>
    </row>
    <row r="417">
      <c r="A417" s="22" t="n"/>
      <c r="B417" s="22" t="n"/>
      <c r="C417" s="22" t="n"/>
      <c r="D417" s="23" t="n"/>
      <c r="E417" s="23" t="n"/>
      <c r="F417" s="22" t="n"/>
      <c r="G417" s="24" t="n"/>
      <c r="H417" s="22" t="n"/>
      <c r="I417" s="25">
        <f>IF(AND(ISNUMBER(D417),ISNUMBER(E417)),E417-D417,"")</f>
        <v/>
      </c>
      <c r="J417" s="26">
        <f>IF(AND(ISNUMBER(I417),ISNUMBER(G417)),IF(I417&gt;0,G417/I417,""),"")</f>
        <v/>
      </c>
      <c r="K417" s="25">
        <f>IF(COUNTA(A417:H417)=0,"",IF(OR(A417="",B417="",C417="",D417="",E417="",F417="",G417="",H417=""),"HATA: eksik bilgi",IF(COUNTIF(OdaListesi,A417)=0,"HATA: geçersiz oda no",IF(OR(NOT(ISNUMBER(D417)),NOT(ISNUMBER(E417))),"HATA: tarih geçersiz",IF(E417&lt;=D417,"HATA: çıkış girişten sonra olmalı",IF(OR(NOT(ISNUMBER(C417)),C417&lt;1,C417&gt;MaxKisi,C417&lt;&gt;INT(C417)),"HATA: kişi sayısı geçersiz",IF(OR(NOT(ISNUMBER(G417)),G417&lt;0),"HATA: tutar geçersiz",IF(B417&lt;&gt;TRIM(B417),"HATA: isimde baştaki/sondaki boşluk",IF(COUNTIF(KaynakAralik,H417)=0,"HATA: kaynak listede yok",IF(AND(F417&lt;&gt;"Bekleniyor",F417&lt;&gt;"Geldi",F417&lt;&gt;"İptal"),"HATA: giriş durumu geçersiz",IF(AND(F417&lt;&gt;"İptal",COUNTIFS($A$6:$A$1005,A417,$D$6:$D$1005,"&lt;"&amp;E417,$E$6:$E$1005,"&gt;"&amp;D417,$F$6:$F$1005,"&lt;&gt;İptal")&gt;1),"HATA: oda bu tarihlerde çakışıyor",IF(AND(F417="Bekleniyor",D417&lt;RaporTarihi),"HATA: giriş günü geçti, Geldi veya İptal yapın","OK"))))))))))))</f>
        <v/>
      </c>
      <c r="L417" s="25">
        <f>IF(AND(ISNUMBER(A417),F417&lt;&gt;"İptal",ISNUMBER(D417),ISNUMBER(E417),D417&lt;=RaporTarihi,E417&gt;RaporTarihi),A417,"")</f>
        <v/>
      </c>
    </row>
    <row r="418">
      <c r="A418" s="22" t="n"/>
      <c r="B418" s="22" t="n"/>
      <c r="C418" s="22" t="n"/>
      <c r="D418" s="23" t="n"/>
      <c r="E418" s="23" t="n"/>
      <c r="F418" s="22" t="n"/>
      <c r="G418" s="24" t="n"/>
      <c r="H418" s="22" t="n"/>
      <c r="I418" s="25">
        <f>IF(AND(ISNUMBER(D418),ISNUMBER(E418)),E418-D418,"")</f>
        <v/>
      </c>
      <c r="J418" s="26">
        <f>IF(AND(ISNUMBER(I418),ISNUMBER(G418)),IF(I418&gt;0,G418/I418,""),"")</f>
        <v/>
      </c>
      <c r="K418" s="25">
        <f>IF(COUNTA(A418:H418)=0,"",IF(OR(A418="",B418="",C418="",D418="",E418="",F418="",G418="",H418=""),"HATA: eksik bilgi",IF(COUNTIF(OdaListesi,A418)=0,"HATA: geçersiz oda no",IF(OR(NOT(ISNUMBER(D418)),NOT(ISNUMBER(E418))),"HATA: tarih geçersiz",IF(E418&lt;=D418,"HATA: çıkış girişten sonra olmalı",IF(OR(NOT(ISNUMBER(C418)),C418&lt;1,C418&gt;MaxKisi,C418&lt;&gt;INT(C418)),"HATA: kişi sayısı geçersiz",IF(OR(NOT(ISNUMBER(G418)),G418&lt;0),"HATA: tutar geçersiz",IF(B418&lt;&gt;TRIM(B418),"HATA: isimde baştaki/sondaki boşluk",IF(COUNTIF(KaynakAralik,H418)=0,"HATA: kaynak listede yok",IF(AND(F418&lt;&gt;"Bekleniyor",F418&lt;&gt;"Geldi",F418&lt;&gt;"İptal"),"HATA: giriş durumu geçersiz",IF(AND(F418&lt;&gt;"İptal",COUNTIFS($A$6:$A$1005,A418,$D$6:$D$1005,"&lt;"&amp;E418,$E$6:$E$1005,"&gt;"&amp;D418,$F$6:$F$1005,"&lt;&gt;İptal")&gt;1),"HATA: oda bu tarihlerde çakışıyor",IF(AND(F418="Bekleniyor",D418&lt;RaporTarihi),"HATA: giriş günü geçti, Geldi veya İptal yapın","OK"))))))))))))</f>
        <v/>
      </c>
      <c r="L418" s="25">
        <f>IF(AND(ISNUMBER(A418),F418&lt;&gt;"İptal",ISNUMBER(D418),ISNUMBER(E418),D418&lt;=RaporTarihi,E418&gt;RaporTarihi),A418,"")</f>
        <v/>
      </c>
    </row>
    <row r="419">
      <c r="A419" s="22" t="n"/>
      <c r="B419" s="22" t="n"/>
      <c r="C419" s="22" t="n"/>
      <c r="D419" s="23" t="n"/>
      <c r="E419" s="23" t="n"/>
      <c r="F419" s="22" t="n"/>
      <c r="G419" s="24" t="n"/>
      <c r="H419" s="22" t="n"/>
      <c r="I419" s="25">
        <f>IF(AND(ISNUMBER(D419),ISNUMBER(E419)),E419-D419,"")</f>
        <v/>
      </c>
      <c r="J419" s="26">
        <f>IF(AND(ISNUMBER(I419),ISNUMBER(G419)),IF(I419&gt;0,G419/I419,""),"")</f>
        <v/>
      </c>
      <c r="K419" s="25">
        <f>IF(COUNTA(A419:H419)=0,"",IF(OR(A419="",B419="",C419="",D419="",E419="",F419="",G419="",H419=""),"HATA: eksik bilgi",IF(COUNTIF(OdaListesi,A419)=0,"HATA: geçersiz oda no",IF(OR(NOT(ISNUMBER(D419)),NOT(ISNUMBER(E419))),"HATA: tarih geçersiz",IF(E419&lt;=D419,"HATA: çıkış girişten sonra olmalı",IF(OR(NOT(ISNUMBER(C419)),C419&lt;1,C419&gt;MaxKisi,C419&lt;&gt;INT(C419)),"HATA: kişi sayısı geçersiz",IF(OR(NOT(ISNUMBER(G419)),G419&lt;0),"HATA: tutar geçersiz",IF(B419&lt;&gt;TRIM(B419),"HATA: isimde baştaki/sondaki boşluk",IF(COUNTIF(KaynakAralik,H419)=0,"HATA: kaynak listede yok",IF(AND(F419&lt;&gt;"Bekleniyor",F419&lt;&gt;"Geldi",F419&lt;&gt;"İptal"),"HATA: giriş durumu geçersiz",IF(AND(F419&lt;&gt;"İptal",COUNTIFS($A$6:$A$1005,A419,$D$6:$D$1005,"&lt;"&amp;E419,$E$6:$E$1005,"&gt;"&amp;D419,$F$6:$F$1005,"&lt;&gt;İptal")&gt;1),"HATA: oda bu tarihlerde çakışıyor",IF(AND(F419="Bekleniyor",D419&lt;RaporTarihi),"HATA: giriş günü geçti, Geldi veya İptal yapın","OK"))))))))))))</f>
        <v/>
      </c>
      <c r="L419" s="25">
        <f>IF(AND(ISNUMBER(A419),F419&lt;&gt;"İptal",ISNUMBER(D419),ISNUMBER(E419),D419&lt;=RaporTarihi,E419&gt;RaporTarihi),A419,"")</f>
        <v/>
      </c>
    </row>
    <row r="420">
      <c r="A420" s="22" t="n"/>
      <c r="B420" s="22" t="n"/>
      <c r="C420" s="22" t="n"/>
      <c r="D420" s="23" t="n"/>
      <c r="E420" s="23" t="n"/>
      <c r="F420" s="22" t="n"/>
      <c r="G420" s="24" t="n"/>
      <c r="H420" s="22" t="n"/>
      <c r="I420" s="25">
        <f>IF(AND(ISNUMBER(D420),ISNUMBER(E420)),E420-D420,"")</f>
        <v/>
      </c>
      <c r="J420" s="26">
        <f>IF(AND(ISNUMBER(I420),ISNUMBER(G420)),IF(I420&gt;0,G420/I420,""),"")</f>
        <v/>
      </c>
      <c r="K420" s="25">
        <f>IF(COUNTA(A420:H420)=0,"",IF(OR(A420="",B420="",C420="",D420="",E420="",F420="",G420="",H420=""),"HATA: eksik bilgi",IF(COUNTIF(OdaListesi,A420)=0,"HATA: geçersiz oda no",IF(OR(NOT(ISNUMBER(D420)),NOT(ISNUMBER(E420))),"HATA: tarih geçersiz",IF(E420&lt;=D420,"HATA: çıkış girişten sonra olmalı",IF(OR(NOT(ISNUMBER(C420)),C420&lt;1,C420&gt;MaxKisi,C420&lt;&gt;INT(C420)),"HATA: kişi sayısı geçersiz",IF(OR(NOT(ISNUMBER(G420)),G420&lt;0),"HATA: tutar geçersiz",IF(B420&lt;&gt;TRIM(B420),"HATA: isimde baştaki/sondaki boşluk",IF(COUNTIF(KaynakAralik,H420)=0,"HATA: kaynak listede yok",IF(AND(F420&lt;&gt;"Bekleniyor",F420&lt;&gt;"Geldi",F420&lt;&gt;"İptal"),"HATA: giriş durumu geçersiz",IF(AND(F420&lt;&gt;"İptal",COUNTIFS($A$6:$A$1005,A420,$D$6:$D$1005,"&lt;"&amp;E420,$E$6:$E$1005,"&gt;"&amp;D420,$F$6:$F$1005,"&lt;&gt;İptal")&gt;1),"HATA: oda bu tarihlerde çakışıyor",IF(AND(F420="Bekleniyor",D420&lt;RaporTarihi),"HATA: giriş günü geçti, Geldi veya İptal yapın","OK"))))))))))))</f>
        <v/>
      </c>
      <c r="L420" s="25">
        <f>IF(AND(ISNUMBER(A420),F420&lt;&gt;"İptal",ISNUMBER(D420),ISNUMBER(E420),D420&lt;=RaporTarihi,E420&gt;RaporTarihi),A420,"")</f>
        <v/>
      </c>
    </row>
    <row r="421">
      <c r="A421" s="22" t="n"/>
      <c r="B421" s="22" t="n"/>
      <c r="C421" s="22" t="n"/>
      <c r="D421" s="23" t="n"/>
      <c r="E421" s="23" t="n"/>
      <c r="F421" s="22" t="n"/>
      <c r="G421" s="24" t="n"/>
      <c r="H421" s="22" t="n"/>
      <c r="I421" s="25">
        <f>IF(AND(ISNUMBER(D421),ISNUMBER(E421)),E421-D421,"")</f>
        <v/>
      </c>
      <c r="J421" s="26">
        <f>IF(AND(ISNUMBER(I421),ISNUMBER(G421)),IF(I421&gt;0,G421/I421,""),"")</f>
        <v/>
      </c>
      <c r="K421" s="25">
        <f>IF(COUNTA(A421:H421)=0,"",IF(OR(A421="",B421="",C421="",D421="",E421="",F421="",G421="",H421=""),"HATA: eksik bilgi",IF(COUNTIF(OdaListesi,A421)=0,"HATA: geçersiz oda no",IF(OR(NOT(ISNUMBER(D421)),NOT(ISNUMBER(E421))),"HATA: tarih geçersiz",IF(E421&lt;=D421,"HATA: çıkış girişten sonra olmalı",IF(OR(NOT(ISNUMBER(C421)),C421&lt;1,C421&gt;MaxKisi,C421&lt;&gt;INT(C421)),"HATA: kişi sayısı geçersiz",IF(OR(NOT(ISNUMBER(G421)),G421&lt;0),"HATA: tutar geçersiz",IF(B421&lt;&gt;TRIM(B421),"HATA: isimde baştaki/sondaki boşluk",IF(COUNTIF(KaynakAralik,H421)=0,"HATA: kaynak listede yok",IF(AND(F421&lt;&gt;"Bekleniyor",F421&lt;&gt;"Geldi",F421&lt;&gt;"İptal"),"HATA: giriş durumu geçersiz",IF(AND(F421&lt;&gt;"İptal",COUNTIFS($A$6:$A$1005,A421,$D$6:$D$1005,"&lt;"&amp;E421,$E$6:$E$1005,"&gt;"&amp;D421,$F$6:$F$1005,"&lt;&gt;İptal")&gt;1),"HATA: oda bu tarihlerde çakışıyor",IF(AND(F421="Bekleniyor",D421&lt;RaporTarihi),"HATA: giriş günü geçti, Geldi veya İptal yapın","OK"))))))))))))</f>
        <v/>
      </c>
      <c r="L421" s="25">
        <f>IF(AND(ISNUMBER(A421),F421&lt;&gt;"İptal",ISNUMBER(D421),ISNUMBER(E421),D421&lt;=RaporTarihi,E421&gt;RaporTarihi),A421,"")</f>
        <v/>
      </c>
    </row>
    <row r="422">
      <c r="A422" s="22" t="n"/>
      <c r="B422" s="22" t="n"/>
      <c r="C422" s="22" t="n"/>
      <c r="D422" s="23" t="n"/>
      <c r="E422" s="23" t="n"/>
      <c r="F422" s="22" t="n"/>
      <c r="G422" s="24" t="n"/>
      <c r="H422" s="22" t="n"/>
      <c r="I422" s="25">
        <f>IF(AND(ISNUMBER(D422),ISNUMBER(E422)),E422-D422,"")</f>
        <v/>
      </c>
      <c r="J422" s="26">
        <f>IF(AND(ISNUMBER(I422),ISNUMBER(G422)),IF(I422&gt;0,G422/I422,""),"")</f>
        <v/>
      </c>
      <c r="K422" s="25">
        <f>IF(COUNTA(A422:H422)=0,"",IF(OR(A422="",B422="",C422="",D422="",E422="",F422="",G422="",H422=""),"HATA: eksik bilgi",IF(COUNTIF(OdaListesi,A422)=0,"HATA: geçersiz oda no",IF(OR(NOT(ISNUMBER(D422)),NOT(ISNUMBER(E422))),"HATA: tarih geçersiz",IF(E422&lt;=D422,"HATA: çıkış girişten sonra olmalı",IF(OR(NOT(ISNUMBER(C422)),C422&lt;1,C422&gt;MaxKisi,C422&lt;&gt;INT(C422)),"HATA: kişi sayısı geçersiz",IF(OR(NOT(ISNUMBER(G422)),G422&lt;0),"HATA: tutar geçersiz",IF(B422&lt;&gt;TRIM(B422),"HATA: isimde baştaki/sondaki boşluk",IF(COUNTIF(KaynakAralik,H422)=0,"HATA: kaynak listede yok",IF(AND(F422&lt;&gt;"Bekleniyor",F422&lt;&gt;"Geldi",F422&lt;&gt;"İptal"),"HATA: giriş durumu geçersiz",IF(AND(F422&lt;&gt;"İptal",COUNTIFS($A$6:$A$1005,A422,$D$6:$D$1005,"&lt;"&amp;E422,$E$6:$E$1005,"&gt;"&amp;D422,$F$6:$F$1005,"&lt;&gt;İptal")&gt;1),"HATA: oda bu tarihlerde çakışıyor",IF(AND(F422="Bekleniyor",D422&lt;RaporTarihi),"HATA: giriş günü geçti, Geldi veya İptal yapın","OK"))))))))))))</f>
        <v/>
      </c>
      <c r="L422" s="25">
        <f>IF(AND(ISNUMBER(A422),F422&lt;&gt;"İptal",ISNUMBER(D422),ISNUMBER(E422),D422&lt;=RaporTarihi,E422&gt;RaporTarihi),A422,"")</f>
        <v/>
      </c>
    </row>
    <row r="423">
      <c r="A423" s="22" t="n"/>
      <c r="B423" s="22" t="n"/>
      <c r="C423" s="22" t="n"/>
      <c r="D423" s="23" t="n"/>
      <c r="E423" s="23" t="n"/>
      <c r="F423" s="22" t="n"/>
      <c r="G423" s="24" t="n"/>
      <c r="H423" s="22" t="n"/>
      <c r="I423" s="25">
        <f>IF(AND(ISNUMBER(D423),ISNUMBER(E423)),E423-D423,"")</f>
        <v/>
      </c>
      <c r="J423" s="26">
        <f>IF(AND(ISNUMBER(I423),ISNUMBER(G423)),IF(I423&gt;0,G423/I423,""),"")</f>
        <v/>
      </c>
      <c r="K423" s="25">
        <f>IF(COUNTA(A423:H423)=0,"",IF(OR(A423="",B423="",C423="",D423="",E423="",F423="",G423="",H423=""),"HATA: eksik bilgi",IF(COUNTIF(OdaListesi,A423)=0,"HATA: geçersiz oda no",IF(OR(NOT(ISNUMBER(D423)),NOT(ISNUMBER(E423))),"HATA: tarih geçersiz",IF(E423&lt;=D423,"HATA: çıkış girişten sonra olmalı",IF(OR(NOT(ISNUMBER(C423)),C423&lt;1,C423&gt;MaxKisi,C423&lt;&gt;INT(C423)),"HATA: kişi sayısı geçersiz",IF(OR(NOT(ISNUMBER(G423)),G423&lt;0),"HATA: tutar geçersiz",IF(B423&lt;&gt;TRIM(B423),"HATA: isimde baştaki/sondaki boşluk",IF(COUNTIF(KaynakAralik,H423)=0,"HATA: kaynak listede yok",IF(AND(F423&lt;&gt;"Bekleniyor",F423&lt;&gt;"Geldi",F423&lt;&gt;"İptal"),"HATA: giriş durumu geçersiz",IF(AND(F423&lt;&gt;"İptal",COUNTIFS($A$6:$A$1005,A423,$D$6:$D$1005,"&lt;"&amp;E423,$E$6:$E$1005,"&gt;"&amp;D423,$F$6:$F$1005,"&lt;&gt;İptal")&gt;1),"HATA: oda bu tarihlerde çakışıyor",IF(AND(F423="Bekleniyor",D423&lt;RaporTarihi),"HATA: giriş günü geçti, Geldi veya İptal yapın","OK"))))))))))))</f>
        <v/>
      </c>
      <c r="L423" s="25">
        <f>IF(AND(ISNUMBER(A423),F423&lt;&gt;"İptal",ISNUMBER(D423),ISNUMBER(E423),D423&lt;=RaporTarihi,E423&gt;RaporTarihi),A423,"")</f>
        <v/>
      </c>
    </row>
    <row r="424">
      <c r="A424" s="22" t="n"/>
      <c r="B424" s="22" t="n"/>
      <c r="C424" s="22" t="n"/>
      <c r="D424" s="23" t="n"/>
      <c r="E424" s="23" t="n"/>
      <c r="F424" s="22" t="n"/>
      <c r="G424" s="24" t="n"/>
      <c r="H424" s="22" t="n"/>
      <c r="I424" s="25">
        <f>IF(AND(ISNUMBER(D424),ISNUMBER(E424)),E424-D424,"")</f>
        <v/>
      </c>
      <c r="J424" s="26">
        <f>IF(AND(ISNUMBER(I424),ISNUMBER(G424)),IF(I424&gt;0,G424/I424,""),"")</f>
        <v/>
      </c>
      <c r="K424" s="25">
        <f>IF(COUNTA(A424:H424)=0,"",IF(OR(A424="",B424="",C424="",D424="",E424="",F424="",G424="",H424=""),"HATA: eksik bilgi",IF(COUNTIF(OdaListesi,A424)=0,"HATA: geçersiz oda no",IF(OR(NOT(ISNUMBER(D424)),NOT(ISNUMBER(E424))),"HATA: tarih geçersiz",IF(E424&lt;=D424,"HATA: çıkış girişten sonra olmalı",IF(OR(NOT(ISNUMBER(C424)),C424&lt;1,C424&gt;MaxKisi,C424&lt;&gt;INT(C424)),"HATA: kişi sayısı geçersiz",IF(OR(NOT(ISNUMBER(G424)),G424&lt;0),"HATA: tutar geçersiz",IF(B424&lt;&gt;TRIM(B424),"HATA: isimde baştaki/sondaki boşluk",IF(COUNTIF(KaynakAralik,H424)=0,"HATA: kaynak listede yok",IF(AND(F424&lt;&gt;"Bekleniyor",F424&lt;&gt;"Geldi",F424&lt;&gt;"İptal"),"HATA: giriş durumu geçersiz",IF(AND(F424&lt;&gt;"İptal",COUNTIFS($A$6:$A$1005,A424,$D$6:$D$1005,"&lt;"&amp;E424,$E$6:$E$1005,"&gt;"&amp;D424,$F$6:$F$1005,"&lt;&gt;İptal")&gt;1),"HATA: oda bu tarihlerde çakışıyor",IF(AND(F424="Bekleniyor",D424&lt;RaporTarihi),"HATA: giriş günü geçti, Geldi veya İptal yapın","OK"))))))))))))</f>
        <v/>
      </c>
      <c r="L424" s="25">
        <f>IF(AND(ISNUMBER(A424),F424&lt;&gt;"İptal",ISNUMBER(D424),ISNUMBER(E424),D424&lt;=RaporTarihi,E424&gt;RaporTarihi),A424,"")</f>
        <v/>
      </c>
    </row>
    <row r="425">
      <c r="A425" s="22" t="n"/>
      <c r="B425" s="22" t="n"/>
      <c r="C425" s="22" t="n"/>
      <c r="D425" s="23" t="n"/>
      <c r="E425" s="23" t="n"/>
      <c r="F425" s="22" t="n"/>
      <c r="G425" s="24" t="n"/>
      <c r="H425" s="22" t="n"/>
      <c r="I425" s="25">
        <f>IF(AND(ISNUMBER(D425),ISNUMBER(E425)),E425-D425,"")</f>
        <v/>
      </c>
      <c r="J425" s="26">
        <f>IF(AND(ISNUMBER(I425),ISNUMBER(G425)),IF(I425&gt;0,G425/I425,""),"")</f>
        <v/>
      </c>
      <c r="K425" s="25">
        <f>IF(COUNTA(A425:H425)=0,"",IF(OR(A425="",B425="",C425="",D425="",E425="",F425="",G425="",H425=""),"HATA: eksik bilgi",IF(COUNTIF(OdaListesi,A425)=0,"HATA: geçersiz oda no",IF(OR(NOT(ISNUMBER(D425)),NOT(ISNUMBER(E425))),"HATA: tarih geçersiz",IF(E425&lt;=D425,"HATA: çıkış girişten sonra olmalı",IF(OR(NOT(ISNUMBER(C425)),C425&lt;1,C425&gt;MaxKisi,C425&lt;&gt;INT(C425)),"HATA: kişi sayısı geçersiz",IF(OR(NOT(ISNUMBER(G425)),G425&lt;0),"HATA: tutar geçersiz",IF(B425&lt;&gt;TRIM(B425),"HATA: isimde baştaki/sondaki boşluk",IF(COUNTIF(KaynakAralik,H425)=0,"HATA: kaynak listede yok",IF(AND(F425&lt;&gt;"Bekleniyor",F425&lt;&gt;"Geldi",F425&lt;&gt;"İptal"),"HATA: giriş durumu geçersiz",IF(AND(F425&lt;&gt;"İptal",COUNTIFS($A$6:$A$1005,A425,$D$6:$D$1005,"&lt;"&amp;E425,$E$6:$E$1005,"&gt;"&amp;D425,$F$6:$F$1005,"&lt;&gt;İptal")&gt;1),"HATA: oda bu tarihlerde çakışıyor",IF(AND(F425="Bekleniyor",D425&lt;RaporTarihi),"HATA: giriş günü geçti, Geldi veya İptal yapın","OK"))))))))))))</f>
        <v/>
      </c>
      <c r="L425" s="25">
        <f>IF(AND(ISNUMBER(A425),F425&lt;&gt;"İptal",ISNUMBER(D425),ISNUMBER(E425),D425&lt;=RaporTarihi,E425&gt;RaporTarihi),A425,"")</f>
        <v/>
      </c>
    </row>
    <row r="426">
      <c r="A426" s="22" t="n"/>
      <c r="B426" s="22" t="n"/>
      <c r="C426" s="22" t="n"/>
      <c r="D426" s="23" t="n"/>
      <c r="E426" s="23" t="n"/>
      <c r="F426" s="22" t="n"/>
      <c r="G426" s="24" t="n"/>
      <c r="H426" s="22" t="n"/>
      <c r="I426" s="25">
        <f>IF(AND(ISNUMBER(D426),ISNUMBER(E426)),E426-D426,"")</f>
        <v/>
      </c>
      <c r="J426" s="26">
        <f>IF(AND(ISNUMBER(I426),ISNUMBER(G426)),IF(I426&gt;0,G426/I426,""),"")</f>
        <v/>
      </c>
      <c r="K426" s="25">
        <f>IF(COUNTA(A426:H426)=0,"",IF(OR(A426="",B426="",C426="",D426="",E426="",F426="",G426="",H426=""),"HATA: eksik bilgi",IF(COUNTIF(OdaListesi,A426)=0,"HATA: geçersiz oda no",IF(OR(NOT(ISNUMBER(D426)),NOT(ISNUMBER(E426))),"HATA: tarih geçersiz",IF(E426&lt;=D426,"HATA: çıkış girişten sonra olmalı",IF(OR(NOT(ISNUMBER(C426)),C426&lt;1,C426&gt;MaxKisi,C426&lt;&gt;INT(C426)),"HATA: kişi sayısı geçersiz",IF(OR(NOT(ISNUMBER(G426)),G426&lt;0),"HATA: tutar geçersiz",IF(B426&lt;&gt;TRIM(B426),"HATA: isimde baştaki/sondaki boşluk",IF(COUNTIF(KaynakAralik,H426)=0,"HATA: kaynak listede yok",IF(AND(F426&lt;&gt;"Bekleniyor",F426&lt;&gt;"Geldi",F426&lt;&gt;"İptal"),"HATA: giriş durumu geçersiz",IF(AND(F426&lt;&gt;"İptal",COUNTIFS($A$6:$A$1005,A426,$D$6:$D$1005,"&lt;"&amp;E426,$E$6:$E$1005,"&gt;"&amp;D426,$F$6:$F$1005,"&lt;&gt;İptal")&gt;1),"HATA: oda bu tarihlerde çakışıyor",IF(AND(F426="Bekleniyor",D426&lt;RaporTarihi),"HATA: giriş günü geçti, Geldi veya İptal yapın","OK"))))))))))))</f>
        <v/>
      </c>
      <c r="L426" s="25">
        <f>IF(AND(ISNUMBER(A426),F426&lt;&gt;"İptal",ISNUMBER(D426),ISNUMBER(E426),D426&lt;=RaporTarihi,E426&gt;RaporTarihi),A426,"")</f>
        <v/>
      </c>
    </row>
    <row r="427">
      <c r="A427" s="22" t="n"/>
      <c r="B427" s="22" t="n"/>
      <c r="C427" s="22" t="n"/>
      <c r="D427" s="23" t="n"/>
      <c r="E427" s="23" t="n"/>
      <c r="F427" s="22" t="n"/>
      <c r="G427" s="24" t="n"/>
      <c r="H427" s="22" t="n"/>
      <c r="I427" s="25">
        <f>IF(AND(ISNUMBER(D427),ISNUMBER(E427)),E427-D427,"")</f>
        <v/>
      </c>
      <c r="J427" s="26">
        <f>IF(AND(ISNUMBER(I427),ISNUMBER(G427)),IF(I427&gt;0,G427/I427,""),"")</f>
        <v/>
      </c>
      <c r="K427" s="25">
        <f>IF(COUNTA(A427:H427)=0,"",IF(OR(A427="",B427="",C427="",D427="",E427="",F427="",G427="",H427=""),"HATA: eksik bilgi",IF(COUNTIF(OdaListesi,A427)=0,"HATA: geçersiz oda no",IF(OR(NOT(ISNUMBER(D427)),NOT(ISNUMBER(E427))),"HATA: tarih geçersiz",IF(E427&lt;=D427,"HATA: çıkış girişten sonra olmalı",IF(OR(NOT(ISNUMBER(C427)),C427&lt;1,C427&gt;MaxKisi,C427&lt;&gt;INT(C427)),"HATA: kişi sayısı geçersiz",IF(OR(NOT(ISNUMBER(G427)),G427&lt;0),"HATA: tutar geçersiz",IF(B427&lt;&gt;TRIM(B427),"HATA: isimde baştaki/sondaki boşluk",IF(COUNTIF(KaynakAralik,H427)=0,"HATA: kaynak listede yok",IF(AND(F427&lt;&gt;"Bekleniyor",F427&lt;&gt;"Geldi",F427&lt;&gt;"İptal"),"HATA: giriş durumu geçersiz",IF(AND(F427&lt;&gt;"İptal",COUNTIFS($A$6:$A$1005,A427,$D$6:$D$1005,"&lt;"&amp;E427,$E$6:$E$1005,"&gt;"&amp;D427,$F$6:$F$1005,"&lt;&gt;İptal")&gt;1),"HATA: oda bu tarihlerde çakışıyor",IF(AND(F427="Bekleniyor",D427&lt;RaporTarihi),"HATA: giriş günü geçti, Geldi veya İptal yapın","OK"))))))))))))</f>
        <v/>
      </c>
      <c r="L427" s="25">
        <f>IF(AND(ISNUMBER(A427),F427&lt;&gt;"İptal",ISNUMBER(D427),ISNUMBER(E427),D427&lt;=RaporTarihi,E427&gt;RaporTarihi),A427,"")</f>
        <v/>
      </c>
    </row>
    <row r="428">
      <c r="A428" s="22" t="n"/>
      <c r="B428" s="22" t="n"/>
      <c r="C428" s="22" t="n"/>
      <c r="D428" s="23" t="n"/>
      <c r="E428" s="23" t="n"/>
      <c r="F428" s="22" t="n"/>
      <c r="G428" s="24" t="n"/>
      <c r="H428" s="22" t="n"/>
      <c r="I428" s="25">
        <f>IF(AND(ISNUMBER(D428),ISNUMBER(E428)),E428-D428,"")</f>
        <v/>
      </c>
      <c r="J428" s="26">
        <f>IF(AND(ISNUMBER(I428),ISNUMBER(G428)),IF(I428&gt;0,G428/I428,""),"")</f>
        <v/>
      </c>
      <c r="K428" s="25">
        <f>IF(COUNTA(A428:H428)=0,"",IF(OR(A428="",B428="",C428="",D428="",E428="",F428="",G428="",H428=""),"HATA: eksik bilgi",IF(COUNTIF(OdaListesi,A428)=0,"HATA: geçersiz oda no",IF(OR(NOT(ISNUMBER(D428)),NOT(ISNUMBER(E428))),"HATA: tarih geçersiz",IF(E428&lt;=D428,"HATA: çıkış girişten sonra olmalı",IF(OR(NOT(ISNUMBER(C428)),C428&lt;1,C428&gt;MaxKisi,C428&lt;&gt;INT(C428)),"HATA: kişi sayısı geçersiz",IF(OR(NOT(ISNUMBER(G428)),G428&lt;0),"HATA: tutar geçersiz",IF(B428&lt;&gt;TRIM(B428),"HATA: isimde baştaki/sondaki boşluk",IF(COUNTIF(KaynakAralik,H428)=0,"HATA: kaynak listede yok",IF(AND(F428&lt;&gt;"Bekleniyor",F428&lt;&gt;"Geldi",F428&lt;&gt;"İptal"),"HATA: giriş durumu geçersiz",IF(AND(F428&lt;&gt;"İptal",COUNTIFS($A$6:$A$1005,A428,$D$6:$D$1005,"&lt;"&amp;E428,$E$6:$E$1005,"&gt;"&amp;D428,$F$6:$F$1005,"&lt;&gt;İptal")&gt;1),"HATA: oda bu tarihlerde çakışıyor",IF(AND(F428="Bekleniyor",D428&lt;RaporTarihi),"HATA: giriş günü geçti, Geldi veya İptal yapın","OK"))))))))))))</f>
        <v/>
      </c>
      <c r="L428" s="25">
        <f>IF(AND(ISNUMBER(A428),F428&lt;&gt;"İptal",ISNUMBER(D428),ISNUMBER(E428),D428&lt;=RaporTarihi,E428&gt;RaporTarihi),A428,"")</f>
        <v/>
      </c>
    </row>
    <row r="429">
      <c r="A429" s="22" t="n"/>
      <c r="B429" s="22" t="n"/>
      <c r="C429" s="22" t="n"/>
      <c r="D429" s="23" t="n"/>
      <c r="E429" s="23" t="n"/>
      <c r="F429" s="22" t="n"/>
      <c r="G429" s="24" t="n"/>
      <c r="H429" s="22" t="n"/>
      <c r="I429" s="25">
        <f>IF(AND(ISNUMBER(D429),ISNUMBER(E429)),E429-D429,"")</f>
        <v/>
      </c>
      <c r="J429" s="26">
        <f>IF(AND(ISNUMBER(I429),ISNUMBER(G429)),IF(I429&gt;0,G429/I429,""),"")</f>
        <v/>
      </c>
      <c r="K429" s="25">
        <f>IF(COUNTA(A429:H429)=0,"",IF(OR(A429="",B429="",C429="",D429="",E429="",F429="",G429="",H429=""),"HATA: eksik bilgi",IF(COUNTIF(OdaListesi,A429)=0,"HATA: geçersiz oda no",IF(OR(NOT(ISNUMBER(D429)),NOT(ISNUMBER(E429))),"HATA: tarih geçersiz",IF(E429&lt;=D429,"HATA: çıkış girişten sonra olmalı",IF(OR(NOT(ISNUMBER(C429)),C429&lt;1,C429&gt;MaxKisi,C429&lt;&gt;INT(C429)),"HATA: kişi sayısı geçersiz",IF(OR(NOT(ISNUMBER(G429)),G429&lt;0),"HATA: tutar geçersiz",IF(B429&lt;&gt;TRIM(B429),"HATA: isimde baştaki/sondaki boşluk",IF(COUNTIF(KaynakAralik,H429)=0,"HATA: kaynak listede yok",IF(AND(F429&lt;&gt;"Bekleniyor",F429&lt;&gt;"Geldi",F429&lt;&gt;"İptal"),"HATA: giriş durumu geçersiz",IF(AND(F429&lt;&gt;"İptal",COUNTIFS($A$6:$A$1005,A429,$D$6:$D$1005,"&lt;"&amp;E429,$E$6:$E$1005,"&gt;"&amp;D429,$F$6:$F$1005,"&lt;&gt;İptal")&gt;1),"HATA: oda bu tarihlerde çakışıyor",IF(AND(F429="Bekleniyor",D429&lt;RaporTarihi),"HATA: giriş günü geçti, Geldi veya İptal yapın","OK"))))))))))))</f>
        <v/>
      </c>
      <c r="L429" s="25">
        <f>IF(AND(ISNUMBER(A429),F429&lt;&gt;"İptal",ISNUMBER(D429),ISNUMBER(E429),D429&lt;=RaporTarihi,E429&gt;RaporTarihi),A429,"")</f>
        <v/>
      </c>
    </row>
    <row r="430">
      <c r="A430" s="22" t="n"/>
      <c r="B430" s="22" t="n"/>
      <c r="C430" s="22" t="n"/>
      <c r="D430" s="23" t="n"/>
      <c r="E430" s="23" t="n"/>
      <c r="F430" s="22" t="n"/>
      <c r="G430" s="24" t="n"/>
      <c r="H430" s="22" t="n"/>
      <c r="I430" s="25">
        <f>IF(AND(ISNUMBER(D430),ISNUMBER(E430)),E430-D430,"")</f>
        <v/>
      </c>
      <c r="J430" s="26">
        <f>IF(AND(ISNUMBER(I430),ISNUMBER(G430)),IF(I430&gt;0,G430/I430,""),"")</f>
        <v/>
      </c>
      <c r="K430" s="25">
        <f>IF(COUNTA(A430:H430)=0,"",IF(OR(A430="",B430="",C430="",D430="",E430="",F430="",G430="",H430=""),"HATA: eksik bilgi",IF(COUNTIF(OdaListesi,A430)=0,"HATA: geçersiz oda no",IF(OR(NOT(ISNUMBER(D430)),NOT(ISNUMBER(E430))),"HATA: tarih geçersiz",IF(E430&lt;=D430,"HATA: çıkış girişten sonra olmalı",IF(OR(NOT(ISNUMBER(C430)),C430&lt;1,C430&gt;MaxKisi,C430&lt;&gt;INT(C430)),"HATA: kişi sayısı geçersiz",IF(OR(NOT(ISNUMBER(G430)),G430&lt;0),"HATA: tutar geçersiz",IF(B430&lt;&gt;TRIM(B430),"HATA: isimde baştaki/sondaki boşluk",IF(COUNTIF(KaynakAralik,H430)=0,"HATA: kaynak listede yok",IF(AND(F430&lt;&gt;"Bekleniyor",F430&lt;&gt;"Geldi",F430&lt;&gt;"İptal"),"HATA: giriş durumu geçersiz",IF(AND(F430&lt;&gt;"İptal",COUNTIFS($A$6:$A$1005,A430,$D$6:$D$1005,"&lt;"&amp;E430,$E$6:$E$1005,"&gt;"&amp;D430,$F$6:$F$1005,"&lt;&gt;İptal")&gt;1),"HATA: oda bu tarihlerde çakışıyor",IF(AND(F430="Bekleniyor",D430&lt;RaporTarihi),"HATA: giriş günü geçti, Geldi veya İptal yapın","OK"))))))))))))</f>
        <v/>
      </c>
      <c r="L430" s="25">
        <f>IF(AND(ISNUMBER(A430),F430&lt;&gt;"İptal",ISNUMBER(D430),ISNUMBER(E430),D430&lt;=RaporTarihi,E430&gt;RaporTarihi),A430,"")</f>
        <v/>
      </c>
    </row>
    <row r="431">
      <c r="A431" s="22" t="n"/>
      <c r="B431" s="22" t="n"/>
      <c r="C431" s="22" t="n"/>
      <c r="D431" s="23" t="n"/>
      <c r="E431" s="23" t="n"/>
      <c r="F431" s="22" t="n"/>
      <c r="G431" s="24" t="n"/>
      <c r="H431" s="22" t="n"/>
      <c r="I431" s="25">
        <f>IF(AND(ISNUMBER(D431),ISNUMBER(E431)),E431-D431,"")</f>
        <v/>
      </c>
      <c r="J431" s="26">
        <f>IF(AND(ISNUMBER(I431),ISNUMBER(G431)),IF(I431&gt;0,G431/I431,""),"")</f>
        <v/>
      </c>
      <c r="K431" s="25">
        <f>IF(COUNTA(A431:H431)=0,"",IF(OR(A431="",B431="",C431="",D431="",E431="",F431="",G431="",H431=""),"HATA: eksik bilgi",IF(COUNTIF(OdaListesi,A431)=0,"HATA: geçersiz oda no",IF(OR(NOT(ISNUMBER(D431)),NOT(ISNUMBER(E431))),"HATA: tarih geçersiz",IF(E431&lt;=D431,"HATA: çıkış girişten sonra olmalı",IF(OR(NOT(ISNUMBER(C431)),C431&lt;1,C431&gt;MaxKisi,C431&lt;&gt;INT(C431)),"HATA: kişi sayısı geçersiz",IF(OR(NOT(ISNUMBER(G431)),G431&lt;0),"HATA: tutar geçersiz",IF(B431&lt;&gt;TRIM(B431),"HATA: isimde baştaki/sondaki boşluk",IF(COUNTIF(KaynakAralik,H431)=0,"HATA: kaynak listede yok",IF(AND(F431&lt;&gt;"Bekleniyor",F431&lt;&gt;"Geldi",F431&lt;&gt;"İptal"),"HATA: giriş durumu geçersiz",IF(AND(F431&lt;&gt;"İptal",COUNTIFS($A$6:$A$1005,A431,$D$6:$D$1005,"&lt;"&amp;E431,$E$6:$E$1005,"&gt;"&amp;D431,$F$6:$F$1005,"&lt;&gt;İptal")&gt;1),"HATA: oda bu tarihlerde çakışıyor",IF(AND(F431="Bekleniyor",D431&lt;RaporTarihi),"HATA: giriş günü geçti, Geldi veya İptal yapın","OK"))))))))))))</f>
        <v/>
      </c>
      <c r="L431" s="25">
        <f>IF(AND(ISNUMBER(A431),F431&lt;&gt;"İptal",ISNUMBER(D431),ISNUMBER(E431),D431&lt;=RaporTarihi,E431&gt;RaporTarihi),A431,"")</f>
        <v/>
      </c>
    </row>
    <row r="432">
      <c r="A432" s="22" t="n"/>
      <c r="B432" s="22" t="n"/>
      <c r="C432" s="22" t="n"/>
      <c r="D432" s="23" t="n"/>
      <c r="E432" s="23" t="n"/>
      <c r="F432" s="22" t="n"/>
      <c r="G432" s="24" t="n"/>
      <c r="H432" s="22" t="n"/>
      <c r="I432" s="25">
        <f>IF(AND(ISNUMBER(D432),ISNUMBER(E432)),E432-D432,"")</f>
        <v/>
      </c>
      <c r="J432" s="26">
        <f>IF(AND(ISNUMBER(I432),ISNUMBER(G432)),IF(I432&gt;0,G432/I432,""),"")</f>
        <v/>
      </c>
      <c r="K432" s="25">
        <f>IF(COUNTA(A432:H432)=0,"",IF(OR(A432="",B432="",C432="",D432="",E432="",F432="",G432="",H432=""),"HATA: eksik bilgi",IF(COUNTIF(OdaListesi,A432)=0,"HATA: geçersiz oda no",IF(OR(NOT(ISNUMBER(D432)),NOT(ISNUMBER(E432))),"HATA: tarih geçersiz",IF(E432&lt;=D432,"HATA: çıkış girişten sonra olmalı",IF(OR(NOT(ISNUMBER(C432)),C432&lt;1,C432&gt;MaxKisi,C432&lt;&gt;INT(C432)),"HATA: kişi sayısı geçersiz",IF(OR(NOT(ISNUMBER(G432)),G432&lt;0),"HATA: tutar geçersiz",IF(B432&lt;&gt;TRIM(B432),"HATA: isimde baştaki/sondaki boşluk",IF(COUNTIF(KaynakAralik,H432)=0,"HATA: kaynak listede yok",IF(AND(F432&lt;&gt;"Bekleniyor",F432&lt;&gt;"Geldi",F432&lt;&gt;"İptal"),"HATA: giriş durumu geçersiz",IF(AND(F432&lt;&gt;"İptal",COUNTIFS($A$6:$A$1005,A432,$D$6:$D$1005,"&lt;"&amp;E432,$E$6:$E$1005,"&gt;"&amp;D432,$F$6:$F$1005,"&lt;&gt;İptal")&gt;1),"HATA: oda bu tarihlerde çakışıyor",IF(AND(F432="Bekleniyor",D432&lt;RaporTarihi),"HATA: giriş günü geçti, Geldi veya İptal yapın","OK"))))))))))))</f>
        <v/>
      </c>
      <c r="L432" s="25">
        <f>IF(AND(ISNUMBER(A432),F432&lt;&gt;"İptal",ISNUMBER(D432),ISNUMBER(E432),D432&lt;=RaporTarihi,E432&gt;RaporTarihi),A432,"")</f>
        <v/>
      </c>
    </row>
    <row r="433">
      <c r="A433" s="22" t="n"/>
      <c r="B433" s="22" t="n"/>
      <c r="C433" s="22" t="n"/>
      <c r="D433" s="23" t="n"/>
      <c r="E433" s="23" t="n"/>
      <c r="F433" s="22" t="n"/>
      <c r="G433" s="24" t="n"/>
      <c r="H433" s="22" t="n"/>
      <c r="I433" s="25">
        <f>IF(AND(ISNUMBER(D433),ISNUMBER(E433)),E433-D433,"")</f>
        <v/>
      </c>
      <c r="J433" s="26">
        <f>IF(AND(ISNUMBER(I433),ISNUMBER(G433)),IF(I433&gt;0,G433/I433,""),"")</f>
        <v/>
      </c>
      <c r="K433" s="25">
        <f>IF(COUNTA(A433:H433)=0,"",IF(OR(A433="",B433="",C433="",D433="",E433="",F433="",G433="",H433=""),"HATA: eksik bilgi",IF(COUNTIF(OdaListesi,A433)=0,"HATA: geçersiz oda no",IF(OR(NOT(ISNUMBER(D433)),NOT(ISNUMBER(E433))),"HATA: tarih geçersiz",IF(E433&lt;=D433,"HATA: çıkış girişten sonra olmalı",IF(OR(NOT(ISNUMBER(C433)),C433&lt;1,C433&gt;MaxKisi,C433&lt;&gt;INT(C433)),"HATA: kişi sayısı geçersiz",IF(OR(NOT(ISNUMBER(G433)),G433&lt;0),"HATA: tutar geçersiz",IF(B433&lt;&gt;TRIM(B433),"HATA: isimde baştaki/sondaki boşluk",IF(COUNTIF(KaynakAralik,H433)=0,"HATA: kaynak listede yok",IF(AND(F433&lt;&gt;"Bekleniyor",F433&lt;&gt;"Geldi",F433&lt;&gt;"İptal"),"HATA: giriş durumu geçersiz",IF(AND(F433&lt;&gt;"İptal",COUNTIFS($A$6:$A$1005,A433,$D$6:$D$1005,"&lt;"&amp;E433,$E$6:$E$1005,"&gt;"&amp;D433,$F$6:$F$1005,"&lt;&gt;İptal")&gt;1),"HATA: oda bu tarihlerde çakışıyor",IF(AND(F433="Bekleniyor",D433&lt;RaporTarihi),"HATA: giriş günü geçti, Geldi veya İptal yapın","OK"))))))))))))</f>
        <v/>
      </c>
      <c r="L433" s="25">
        <f>IF(AND(ISNUMBER(A433),F433&lt;&gt;"İptal",ISNUMBER(D433),ISNUMBER(E433),D433&lt;=RaporTarihi,E433&gt;RaporTarihi),A433,"")</f>
        <v/>
      </c>
    </row>
    <row r="434">
      <c r="A434" s="22" t="n"/>
      <c r="B434" s="22" t="n"/>
      <c r="C434" s="22" t="n"/>
      <c r="D434" s="23" t="n"/>
      <c r="E434" s="23" t="n"/>
      <c r="F434" s="22" t="n"/>
      <c r="G434" s="24" t="n"/>
      <c r="H434" s="22" t="n"/>
      <c r="I434" s="25">
        <f>IF(AND(ISNUMBER(D434),ISNUMBER(E434)),E434-D434,"")</f>
        <v/>
      </c>
      <c r="J434" s="26">
        <f>IF(AND(ISNUMBER(I434),ISNUMBER(G434)),IF(I434&gt;0,G434/I434,""),"")</f>
        <v/>
      </c>
      <c r="K434" s="25">
        <f>IF(COUNTA(A434:H434)=0,"",IF(OR(A434="",B434="",C434="",D434="",E434="",F434="",G434="",H434=""),"HATA: eksik bilgi",IF(COUNTIF(OdaListesi,A434)=0,"HATA: geçersiz oda no",IF(OR(NOT(ISNUMBER(D434)),NOT(ISNUMBER(E434))),"HATA: tarih geçersiz",IF(E434&lt;=D434,"HATA: çıkış girişten sonra olmalı",IF(OR(NOT(ISNUMBER(C434)),C434&lt;1,C434&gt;MaxKisi,C434&lt;&gt;INT(C434)),"HATA: kişi sayısı geçersiz",IF(OR(NOT(ISNUMBER(G434)),G434&lt;0),"HATA: tutar geçersiz",IF(B434&lt;&gt;TRIM(B434),"HATA: isimde baştaki/sondaki boşluk",IF(COUNTIF(KaynakAralik,H434)=0,"HATA: kaynak listede yok",IF(AND(F434&lt;&gt;"Bekleniyor",F434&lt;&gt;"Geldi",F434&lt;&gt;"İptal"),"HATA: giriş durumu geçersiz",IF(AND(F434&lt;&gt;"İptal",COUNTIFS($A$6:$A$1005,A434,$D$6:$D$1005,"&lt;"&amp;E434,$E$6:$E$1005,"&gt;"&amp;D434,$F$6:$F$1005,"&lt;&gt;İptal")&gt;1),"HATA: oda bu tarihlerde çakışıyor",IF(AND(F434="Bekleniyor",D434&lt;RaporTarihi),"HATA: giriş günü geçti, Geldi veya İptal yapın","OK"))))))))))))</f>
        <v/>
      </c>
      <c r="L434" s="25">
        <f>IF(AND(ISNUMBER(A434),F434&lt;&gt;"İptal",ISNUMBER(D434),ISNUMBER(E434),D434&lt;=RaporTarihi,E434&gt;RaporTarihi),A434,"")</f>
        <v/>
      </c>
    </row>
    <row r="435">
      <c r="A435" s="22" t="n"/>
      <c r="B435" s="22" t="n"/>
      <c r="C435" s="22" t="n"/>
      <c r="D435" s="23" t="n"/>
      <c r="E435" s="23" t="n"/>
      <c r="F435" s="22" t="n"/>
      <c r="G435" s="24" t="n"/>
      <c r="H435" s="22" t="n"/>
      <c r="I435" s="25">
        <f>IF(AND(ISNUMBER(D435),ISNUMBER(E435)),E435-D435,"")</f>
        <v/>
      </c>
      <c r="J435" s="26">
        <f>IF(AND(ISNUMBER(I435),ISNUMBER(G435)),IF(I435&gt;0,G435/I435,""),"")</f>
        <v/>
      </c>
      <c r="K435" s="25">
        <f>IF(COUNTA(A435:H435)=0,"",IF(OR(A435="",B435="",C435="",D435="",E435="",F435="",G435="",H435=""),"HATA: eksik bilgi",IF(COUNTIF(OdaListesi,A435)=0,"HATA: geçersiz oda no",IF(OR(NOT(ISNUMBER(D435)),NOT(ISNUMBER(E435))),"HATA: tarih geçersiz",IF(E435&lt;=D435,"HATA: çıkış girişten sonra olmalı",IF(OR(NOT(ISNUMBER(C435)),C435&lt;1,C435&gt;MaxKisi,C435&lt;&gt;INT(C435)),"HATA: kişi sayısı geçersiz",IF(OR(NOT(ISNUMBER(G435)),G435&lt;0),"HATA: tutar geçersiz",IF(B435&lt;&gt;TRIM(B435),"HATA: isimde baştaki/sondaki boşluk",IF(COUNTIF(KaynakAralik,H435)=0,"HATA: kaynak listede yok",IF(AND(F435&lt;&gt;"Bekleniyor",F435&lt;&gt;"Geldi",F435&lt;&gt;"İptal"),"HATA: giriş durumu geçersiz",IF(AND(F435&lt;&gt;"İptal",COUNTIFS($A$6:$A$1005,A435,$D$6:$D$1005,"&lt;"&amp;E435,$E$6:$E$1005,"&gt;"&amp;D435,$F$6:$F$1005,"&lt;&gt;İptal")&gt;1),"HATA: oda bu tarihlerde çakışıyor",IF(AND(F435="Bekleniyor",D435&lt;RaporTarihi),"HATA: giriş günü geçti, Geldi veya İptal yapın","OK"))))))))))))</f>
        <v/>
      </c>
      <c r="L435" s="25">
        <f>IF(AND(ISNUMBER(A435),F435&lt;&gt;"İptal",ISNUMBER(D435),ISNUMBER(E435),D435&lt;=RaporTarihi,E435&gt;RaporTarihi),A435,"")</f>
        <v/>
      </c>
    </row>
    <row r="436">
      <c r="A436" s="22" t="n"/>
      <c r="B436" s="22" t="n"/>
      <c r="C436" s="22" t="n"/>
      <c r="D436" s="23" t="n"/>
      <c r="E436" s="23" t="n"/>
      <c r="F436" s="22" t="n"/>
      <c r="G436" s="24" t="n"/>
      <c r="H436" s="22" t="n"/>
      <c r="I436" s="25">
        <f>IF(AND(ISNUMBER(D436),ISNUMBER(E436)),E436-D436,"")</f>
        <v/>
      </c>
      <c r="J436" s="26">
        <f>IF(AND(ISNUMBER(I436),ISNUMBER(G436)),IF(I436&gt;0,G436/I436,""),"")</f>
        <v/>
      </c>
      <c r="K436" s="25">
        <f>IF(COUNTA(A436:H436)=0,"",IF(OR(A436="",B436="",C436="",D436="",E436="",F436="",G436="",H436=""),"HATA: eksik bilgi",IF(COUNTIF(OdaListesi,A436)=0,"HATA: geçersiz oda no",IF(OR(NOT(ISNUMBER(D436)),NOT(ISNUMBER(E436))),"HATA: tarih geçersiz",IF(E436&lt;=D436,"HATA: çıkış girişten sonra olmalı",IF(OR(NOT(ISNUMBER(C436)),C436&lt;1,C436&gt;MaxKisi,C436&lt;&gt;INT(C436)),"HATA: kişi sayısı geçersiz",IF(OR(NOT(ISNUMBER(G436)),G436&lt;0),"HATA: tutar geçersiz",IF(B436&lt;&gt;TRIM(B436),"HATA: isimde baştaki/sondaki boşluk",IF(COUNTIF(KaynakAralik,H436)=0,"HATA: kaynak listede yok",IF(AND(F436&lt;&gt;"Bekleniyor",F436&lt;&gt;"Geldi",F436&lt;&gt;"İptal"),"HATA: giriş durumu geçersiz",IF(AND(F436&lt;&gt;"İptal",COUNTIFS($A$6:$A$1005,A436,$D$6:$D$1005,"&lt;"&amp;E436,$E$6:$E$1005,"&gt;"&amp;D436,$F$6:$F$1005,"&lt;&gt;İptal")&gt;1),"HATA: oda bu tarihlerde çakışıyor",IF(AND(F436="Bekleniyor",D436&lt;RaporTarihi),"HATA: giriş günü geçti, Geldi veya İptal yapın","OK"))))))))))))</f>
        <v/>
      </c>
      <c r="L436" s="25">
        <f>IF(AND(ISNUMBER(A436),F436&lt;&gt;"İptal",ISNUMBER(D436),ISNUMBER(E436),D436&lt;=RaporTarihi,E436&gt;RaporTarihi),A436,"")</f>
        <v/>
      </c>
    </row>
    <row r="437">
      <c r="A437" s="22" t="n"/>
      <c r="B437" s="22" t="n"/>
      <c r="C437" s="22" t="n"/>
      <c r="D437" s="23" t="n"/>
      <c r="E437" s="23" t="n"/>
      <c r="F437" s="22" t="n"/>
      <c r="G437" s="24" t="n"/>
      <c r="H437" s="22" t="n"/>
      <c r="I437" s="25">
        <f>IF(AND(ISNUMBER(D437),ISNUMBER(E437)),E437-D437,"")</f>
        <v/>
      </c>
      <c r="J437" s="26">
        <f>IF(AND(ISNUMBER(I437),ISNUMBER(G437)),IF(I437&gt;0,G437/I437,""),"")</f>
        <v/>
      </c>
      <c r="K437" s="25">
        <f>IF(COUNTA(A437:H437)=0,"",IF(OR(A437="",B437="",C437="",D437="",E437="",F437="",G437="",H437=""),"HATA: eksik bilgi",IF(COUNTIF(OdaListesi,A437)=0,"HATA: geçersiz oda no",IF(OR(NOT(ISNUMBER(D437)),NOT(ISNUMBER(E437))),"HATA: tarih geçersiz",IF(E437&lt;=D437,"HATA: çıkış girişten sonra olmalı",IF(OR(NOT(ISNUMBER(C437)),C437&lt;1,C437&gt;MaxKisi,C437&lt;&gt;INT(C437)),"HATA: kişi sayısı geçersiz",IF(OR(NOT(ISNUMBER(G437)),G437&lt;0),"HATA: tutar geçersiz",IF(B437&lt;&gt;TRIM(B437),"HATA: isimde baştaki/sondaki boşluk",IF(COUNTIF(KaynakAralik,H437)=0,"HATA: kaynak listede yok",IF(AND(F437&lt;&gt;"Bekleniyor",F437&lt;&gt;"Geldi",F437&lt;&gt;"İptal"),"HATA: giriş durumu geçersiz",IF(AND(F437&lt;&gt;"İptal",COUNTIFS($A$6:$A$1005,A437,$D$6:$D$1005,"&lt;"&amp;E437,$E$6:$E$1005,"&gt;"&amp;D437,$F$6:$F$1005,"&lt;&gt;İptal")&gt;1),"HATA: oda bu tarihlerde çakışıyor",IF(AND(F437="Bekleniyor",D437&lt;RaporTarihi),"HATA: giriş günü geçti, Geldi veya İptal yapın","OK"))))))))))))</f>
        <v/>
      </c>
      <c r="L437" s="25">
        <f>IF(AND(ISNUMBER(A437),F437&lt;&gt;"İptal",ISNUMBER(D437),ISNUMBER(E437),D437&lt;=RaporTarihi,E437&gt;RaporTarihi),A437,"")</f>
        <v/>
      </c>
    </row>
    <row r="438">
      <c r="A438" s="22" t="n"/>
      <c r="B438" s="22" t="n"/>
      <c r="C438" s="22" t="n"/>
      <c r="D438" s="23" t="n"/>
      <c r="E438" s="23" t="n"/>
      <c r="F438" s="22" t="n"/>
      <c r="G438" s="24" t="n"/>
      <c r="H438" s="22" t="n"/>
      <c r="I438" s="25">
        <f>IF(AND(ISNUMBER(D438),ISNUMBER(E438)),E438-D438,"")</f>
        <v/>
      </c>
      <c r="J438" s="26">
        <f>IF(AND(ISNUMBER(I438),ISNUMBER(G438)),IF(I438&gt;0,G438/I438,""),"")</f>
        <v/>
      </c>
      <c r="K438" s="25">
        <f>IF(COUNTA(A438:H438)=0,"",IF(OR(A438="",B438="",C438="",D438="",E438="",F438="",G438="",H438=""),"HATA: eksik bilgi",IF(COUNTIF(OdaListesi,A438)=0,"HATA: geçersiz oda no",IF(OR(NOT(ISNUMBER(D438)),NOT(ISNUMBER(E438))),"HATA: tarih geçersiz",IF(E438&lt;=D438,"HATA: çıkış girişten sonra olmalı",IF(OR(NOT(ISNUMBER(C438)),C438&lt;1,C438&gt;MaxKisi,C438&lt;&gt;INT(C438)),"HATA: kişi sayısı geçersiz",IF(OR(NOT(ISNUMBER(G438)),G438&lt;0),"HATA: tutar geçersiz",IF(B438&lt;&gt;TRIM(B438),"HATA: isimde baştaki/sondaki boşluk",IF(COUNTIF(KaynakAralik,H438)=0,"HATA: kaynak listede yok",IF(AND(F438&lt;&gt;"Bekleniyor",F438&lt;&gt;"Geldi",F438&lt;&gt;"İptal"),"HATA: giriş durumu geçersiz",IF(AND(F438&lt;&gt;"İptal",COUNTIFS($A$6:$A$1005,A438,$D$6:$D$1005,"&lt;"&amp;E438,$E$6:$E$1005,"&gt;"&amp;D438,$F$6:$F$1005,"&lt;&gt;İptal")&gt;1),"HATA: oda bu tarihlerde çakışıyor",IF(AND(F438="Bekleniyor",D438&lt;RaporTarihi),"HATA: giriş günü geçti, Geldi veya İptal yapın","OK"))))))))))))</f>
        <v/>
      </c>
      <c r="L438" s="25">
        <f>IF(AND(ISNUMBER(A438),F438&lt;&gt;"İptal",ISNUMBER(D438),ISNUMBER(E438),D438&lt;=RaporTarihi,E438&gt;RaporTarihi),A438,"")</f>
        <v/>
      </c>
    </row>
    <row r="439">
      <c r="A439" s="22" t="n"/>
      <c r="B439" s="22" t="n"/>
      <c r="C439" s="22" t="n"/>
      <c r="D439" s="23" t="n"/>
      <c r="E439" s="23" t="n"/>
      <c r="F439" s="22" t="n"/>
      <c r="G439" s="24" t="n"/>
      <c r="H439" s="22" t="n"/>
      <c r="I439" s="25">
        <f>IF(AND(ISNUMBER(D439),ISNUMBER(E439)),E439-D439,"")</f>
        <v/>
      </c>
      <c r="J439" s="26">
        <f>IF(AND(ISNUMBER(I439),ISNUMBER(G439)),IF(I439&gt;0,G439/I439,""),"")</f>
        <v/>
      </c>
      <c r="K439" s="25">
        <f>IF(COUNTA(A439:H439)=0,"",IF(OR(A439="",B439="",C439="",D439="",E439="",F439="",G439="",H439=""),"HATA: eksik bilgi",IF(COUNTIF(OdaListesi,A439)=0,"HATA: geçersiz oda no",IF(OR(NOT(ISNUMBER(D439)),NOT(ISNUMBER(E439))),"HATA: tarih geçersiz",IF(E439&lt;=D439,"HATA: çıkış girişten sonra olmalı",IF(OR(NOT(ISNUMBER(C439)),C439&lt;1,C439&gt;MaxKisi,C439&lt;&gt;INT(C439)),"HATA: kişi sayısı geçersiz",IF(OR(NOT(ISNUMBER(G439)),G439&lt;0),"HATA: tutar geçersiz",IF(B439&lt;&gt;TRIM(B439),"HATA: isimde baştaki/sondaki boşluk",IF(COUNTIF(KaynakAralik,H439)=0,"HATA: kaynak listede yok",IF(AND(F439&lt;&gt;"Bekleniyor",F439&lt;&gt;"Geldi",F439&lt;&gt;"İptal"),"HATA: giriş durumu geçersiz",IF(AND(F439&lt;&gt;"İptal",COUNTIFS($A$6:$A$1005,A439,$D$6:$D$1005,"&lt;"&amp;E439,$E$6:$E$1005,"&gt;"&amp;D439,$F$6:$F$1005,"&lt;&gt;İptal")&gt;1),"HATA: oda bu tarihlerde çakışıyor",IF(AND(F439="Bekleniyor",D439&lt;RaporTarihi),"HATA: giriş günü geçti, Geldi veya İptal yapın","OK"))))))))))))</f>
        <v/>
      </c>
      <c r="L439" s="25">
        <f>IF(AND(ISNUMBER(A439),F439&lt;&gt;"İptal",ISNUMBER(D439),ISNUMBER(E439),D439&lt;=RaporTarihi,E439&gt;RaporTarihi),A439,"")</f>
        <v/>
      </c>
    </row>
    <row r="440">
      <c r="A440" s="22" t="n"/>
      <c r="B440" s="22" t="n"/>
      <c r="C440" s="22" t="n"/>
      <c r="D440" s="23" t="n"/>
      <c r="E440" s="23" t="n"/>
      <c r="F440" s="22" t="n"/>
      <c r="G440" s="24" t="n"/>
      <c r="H440" s="22" t="n"/>
      <c r="I440" s="25">
        <f>IF(AND(ISNUMBER(D440),ISNUMBER(E440)),E440-D440,"")</f>
        <v/>
      </c>
      <c r="J440" s="26">
        <f>IF(AND(ISNUMBER(I440),ISNUMBER(G440)),IF(I440&gt;0,G440/I440,""),"")</f>
        <v/>
      </c>
      <c r="K440" s="25">
        <f>IF(COUNTA(A440:H440)=0,"",IF(OR(A440="",B440="",C440="",D440="",E440="",F440="",G440="",H440=""),"HATA: eksik bilgi",IF(COUNTIF(OdaListesi,A440)=0,"HATA: geçersiz oda no",IF(OR(NOT(ISNUMBER(D440)),NOT(ISNUMBER(E440))),"HATA: tarih geçersiz",IF(E440&lt;=D440,"HATA: çıkış girişten sonra olmalı",IF(OR(NOT(ISNUMBER(C440)),C440&lt;1,C440&gt;MaxKisi,C440&lt;&gt;INT(C440)),"HATA: kişi sayısı geçersiz",IF(OR(NOT(ISNUMBER(G440)),G440&lt;0),"HATA: tutar geçersiz",IF(B440&lt;&gt;TRIM(B440),"HATA: isimde baştaki/sondaki boşluk",IF(COUNTIF(KaynakAralik,H440)=0,"HATA: kaynak listede yok",IF(AND(F440&lt;&gt;"Bekleniyor",F440&lt;&gt;"Geldi",F440&lt;&gt;"İptal"),"HATA: giriş durumu geçersiz",IF(AND(F440&lt;&gt;"İptal",COUNTIFS($A$6:$A$1005,A440,$D$6:$D$1005,"&lt;"&amp;E440,$E$6:$E$1005,"&gt;"&amp;D440,$F$6:$F$1005,"&lt;&gt;İptal")&gt;1),"HATA: oda bu tarihlerde çakışıyor",IF(AND(F440="Bekleniyor",D440&lt;RaporTarihi),"HATA: giriş günü geçti, Geldi veya İptal yapın","OK"))))))))))))</f>
        <v/>
      </c>
      <c r="L440" s="25">
        <f>IF(AND(ISNUMBER(A440),F440&lt;&gt;"İptal",ISNUMBER(D440),ISNUMBER(E440),D440&lt;=RaporTarihi,E440&gt;RaporTarihi),A440,"")</f>
        <v/>
      </c>
    </row>
    <row r="441">
      <c r="A441" s="22" t="n"/>
      <c r="B441" s="22" t="n"/>
      <c r="C441" s="22" t="n"/>
      <c r="D441" s="23" t="n"/>
      <c r="E441" s="23" t="n"/>
      <c r="F441" s="22" t="n"/>
      <c r="G441" s="24" t="n"/>
      <c r="H441" s="22" t="n"/>
      <c r="I441" s="25">
        <f>IF(AND(ISNUMBER(D441),ISNUMBER(E441)),E441-D441,"")</f>
        <v/>
      </c>
      <c r="J441" s="26">
        <f>IF(AND(ISNUMBER(I441),ISNUMBER(G441)),IF(I441&gt;0,G441/I441,""),"")</f>
        <v/>
      </c>
      <c r="K441" s="25">
        <f>IF(COUNTA(A441:H441)=0,"",IF(OR(A441="",B441="",C441="",D441="",E441="",F441="",G441="",H441=""),"HATA: eksik bilgi",IF(COUNTIF(OdaListesi,A441)=0,"HATA: geçersiz oda no",IF(OR(NOT(ISNUMBER(D441)),NOT(ISNUMBER(E441))),"HATA: tarih geçersiz",IF(E441&lt;=D441,"HATA: çıkış girişten sonra olmalı",IF(OR(NOT(ISNUMBER(C441)),C441&lt;1,C441&gt;MaxKisi,C441&lt;&gt;INT(C441)),"HATA: kişi sayısı geçersiz",IF(OR(NOT(ISNUMBER(G441)),G441&lt;0),"HATA: tutar geçersiz",IF(B441&lt;&gt;TRIM(B441),"HATA: isimde baştaki/sondaki boşluk",IF(COUNTIF(KaynakAralik,H441)=0,"HATA: kaynak listede yok",IF(AND(F441&lt;&gt;"Bekleniyor",F441&lt;&gt;"Geldi",F441&lt;&gt;"İptal"),"HATA: giriş durumu geçersiz",IF(AND(F441&lt;&gt;"İptal",COUNTIFS($A$6:$A$1005,A441,$D$6:$D$1005,"&lt;"&amp;E441,$E$6:$E$1005,"&gt;"&amp;D441,$F$6:$F$1005,"&lt;&gt;İptal")&gt;1),"HATA: oda bu tarihlerde çakışıyor",IF(AND(F441="Bekleniyor",D441&lt;RaporTarihi),"HATA: giriş günü geçti, Geldi veya İptal yapın","OK"))))))))))))</f>
        <v/>
      </c>
      <c r="L441" s="25">
        <f>IF(AND(ISNUMBER(A441),F441&lt;&gt;"İptal",ISNUMBER(D441),ISNUMBER(E441),D441&lt;=RaporTarihi,E441&gt;RaporTarihi),A441,"")</f>
        <v/>
      </c>
    </row>
    <row r="442">
      <c r="A442" s="22" t="n"/>
      <c r="B442" s="22" t="n"/>
      <c r="C442" s="22" t="n"/>
      <c r="D442" s="23" t="n"/>
      <c r="E442" s="23" t="n"/>
      <c r="F442" s="22" t="n"/>
      <c r="G442" s="24" t="n"/>
      <c r="H442" s="22" t="n"/>
      <c r="I442" s="25">
        <f>IF(AND(ISNUMBER(D442),ISNUMBER(E442)),E442-D442,"")</f>
        <v/>
      </c>
      <c r="J442" s="26">
        <f>IF(AND(ISNUMBER(I442),ISNUMBER(G442)),IF(I442&gt;0,G442/I442,""),"")</f>
        <v/>
      </c>
      <c r="K442" s="25">
        <f>IF(COUNTA(A442:H442)=0,"",IF(OR(A442="",B442="",C442="",D442="",E442="",F442="",G442="",H442=""),"HATA: eksik bilgi",IF(COUNTIF(OdaListesi,A442)=0,"HATA: geçersiz oda no",IF(OR(NOT(ISNUMBER(D442)),NOT(ISNUMBER(E442))),"HATA: tarih geçersiz",IF(E442&lt;=D442,"HATA: çıkış girişten sonra olmalı",IF(OR(NOT(ISNUMBER(C442)),C442&lt;1,C442&gt;MaxKisi,C442&lt;&gt;INT(C442)),"HATA: kişi sayısı geçersiz",IF(OR(NOT(ISNUMBER(G442)),G442&lt;0),"HATA: tutar geçersiz",IF(B442&lt;&gt;TRIM(B442),"HATA: isimde baştaki/sondaki boşluk",IF(COUNTIF(KaynakAralik,H442)=0,"HATA: kaynak listede yok",IF(AND(F442&lt;&gt;"Bekleniyor",F442&lt;&gt;"Geldi",F442&lt;&gt;"İptal"),"HATA: giriş durumu geçersiz",IF(AND(F442&lt;&gt;"İptal",COUNTIFS($A$6:$A$1005,A442,$D$6:$D$1005,"&lt;"&amp;E442,$E$6:$E$1005,"&gt;"&amp;D442,$F$6:$F$1005,"&lt;&gt;İptal")&gt;1),"HATA: oda bu tarihlerde çakışıyor",IF(AND(F442="Bekleniyor",D442&lt;RaporTarihi),"HATA: giriş günü geçti, Geldi veya İptal yapın","OK"))))))))))))</f>
        <v/>
      </c>
      <c r="L442" s="25">
        <f>IF(AND(ISNUMBER(A442),F442&lt;&gt;"İptal",ISNUMBER(D442),ISNUMBER(E442),D442&lt;=RaporTarihi,E442&gt;RaporTarihi),A442,"")</f>
        <v/>
      </c>
    </row>
    <row r="443">
      <c r="A443" s="22" t="n"/>
      <c r="B443" s="22" t="n"/>
      <c r="C443" s="22" t="n"/>
      <c r="D443" s="23" t="n"/>
      <c r="E443" s="23" t="n"/>
      <c r="F443" s="22" t="n"/>
      <c r="G443" s="24" t="n"/>
      <c r="H443" s="22" t="n"/>
      <c r="I443" s="25">
        <f>IF(AND(ISNUMBER(D443),ISNUMBER(E443)),E443-D443,"")</f>
        <v/>
      </c>
      <c r="J443" s="26">
        <f>IF(AND(ISNUMBER(I443),ISNUMBER(G443)),IF(I443&gt;0,G443/I443,""),"")</f>
        <v/>
      </c>
      <c r="K443" s="25">
        <f>IF(COUNTA(A443:H443)=0,"",IF(OR(A443="",B443="",C443="",D443="",E443="",F443="",G443="",H443=""),"HATA: eksik bilgi",IF(COUNTIF(OdaListesi,A443)=0,"HATA: geçersiz oda no",IF(OR(NOT(ISNUMBER(D443)),NOT(ISNUMBER(E443))),"HATA: tarih geçersiz",IF(E443&lt;=D443,"HATA: çıkış girişten sonra olmalı",IF(OR(NOT(ISNUMBER(C443)),C443&lt;1,C443&gt;MaxKisi,C443&lt;&gt;INT(C443)),"HATA: kişi sayısı geçersiz",IF(OR(NOT(ISNUMBER(G443)),G443&lt;0),"HATA: tutar geçersiz",IF(B443&lt;&gt;TRIM(B443),"HATA: isimde baştaki/sondaki boşluk",IF(COUNTIF(KaynakAralik,H443)=0,"HATA: kaynak listede yok",IF(AND(F443&lt;&gt;"Bekleniyor",F443&lt;&gt;"Geldi",F443&lt;&gt;"İptal"),"HATA: giriş durumu geçersiz",IF(AND(F443&lt;&gt;"İptal",COUNTIFS($A$6:$A$1005,A443,$D$6:$D$1005,"&lt;"&amp;E443,$E$6:$E$1005,"&gt;"&amp;D443,$F$6:$F$1005,"&lt;&gt;İptal")&gt;1),"HATA: oda bu tarihlerde çakışıyor",IF(AND(F443="Bekleniyor",D443&lt;RaporTarihi),"HATA: giriş günü geçti, Geldi veya İptal yapın","OK"))))))))))))</f>
        <v/>
      </c>
      <c r="L443" s="25">
        <f>IF(AND(ISNUMBER(A443),F443&lt;&gt;"İptal",ISNUMBER(D443),ISNUMBER(E443),D443&lt;=RaporTarihi,E443&gt;RaporTarihi),A443,"")</f>
        <v/>
      </c>
    </row>
    <row r="444">
      <c r="A444" s="22" t="n"/>
      <c r="B444" s="22" t="n"/>
      <c r="C444" s="22" t="n"/>
      <c r="D444" s="23" t="n"/>
      <c r="E444" s="23" t="n"/>
      <c r="F444" s="22" t="n"/>
      <c r="G444" s="24" t="n"/>
      <c r="H444" s="22" t="n"/>
      <c r="I444" s="25">
        <f>IF(AND(ISNUMBER(D444),ISNUMBER(E444)),E444-D444,"")</f>
        <v/>
      </c>
      <c r="J444" s="26">
        <f>IF(AND(ISNUMBER(I444),ISNUMBER(G444)),IF(I444&gt;0,G444/I444,""),"")</f>
        <v/>
      </c>
      <c r="K444" s="25">
        <f>IF(COUNTA(A444:H444)=0,"",IF(OR(A444="",B444="",C444="",D444="",E444="",F444="",G444="",H444=""),"HATA: eksik bilgi",IF(COUNTIF(OdaListesi,A444)=0,"HATA: geçersiz oda no",IF(OR(NOT(ISNUMBER(D444)),NOT(ISNUMBER(E444))),"HATA: tarih geçersiz",IF(E444&lt;=D444,"HATA: çıkış girişten sonra olmalı",IF(OR(NOT(ISNUMBER(C444)),C444&lt;1,C444&gt;MaxKisi,C444&lt;&gt;INT(C444)),"HATA: kişi sayısı geçersiz",IF(OR(NOT(ISNUMBER(G444)),G444&lt;0),"HATA: tutar geçersiz",IF(B444&lt;&gt;TRIM(B444),"HATA: isimde baştaki/sondaki boşluk",IF(COUNTIF(KaynakAralik,H444)=0,"HATA: kaynak listede yok",IF(AND(F444&lt;&gt;"Bekleniyor",F444&lt;&gt;"Geldi",F444&lt;&gt;"İptal"),"HATA: giriş durumu geçersiz",IF(AND(F444&lt;&gt;"İptal",COUNTIFS($A$6:$A$1005,A444,$D$6:$D$1005,"&lt;"&amp;E444,$E$6:$E$1005,"&gt;"&amp;D444,$F$6:$F$1005,"&lt;&gt;İptal")&gt;1),"HATA: oda bu tarihlerde çakışıyor",IF(AND(F444="Bekleniyor",D444&lt;RaporTarihi),"HATA: giriş günü geçti, Geldi veya İptal yapın","OK"))))))))))))</f>
        <v/>
      </c>
      <c r="L444" s="25">
        <f>IF(AND(ISNUMBER(A444),F444&lt;&gt;"İptal",ISNUMBER(D444),ISNUMBER(E444),D444&lt;=RaporTarihi,E444&gt;RaporTarihi),A444,"")</f>
        <v/>
      </c>
    </row>
    <row r="445">
      <c r="A445" s="22" t="n"/>
      <c r="B445" s="22" t="n"/>
      <c r="C445" s="22" t="n"/>
      <c r="D445" s="23" t="n"/>
      <c r="E445" s="23" t="n"/>
      <c r="F445" s="22" t="n"/>
      <c r="G445" s="24" t="n"/>
      <c r="H445" s="22" t="n"/>
      <c r="I445" s="25">
        <f>IF(AND(ISNUMBER(D445),ISNUMBER(E445)),E445-D445,"")</f>
        <v/>
      </c>
      <c r="J445" s="26">
        <f>IF(AND(ISNUMBER(I445),ISNUMBER(G445)),IF(I445&gt;0,G445/I445,""),"")</f>
        <v/>
      </c>
      <c r="K445" s="25">
        <f>IF(COUNTA(A445:H445)=0,"",IF(OR(A445="",B445="",C445="",D445="",E445="",F445="",G445="",H445=""),"HATA: eksik bilgi",IF(COUNTIF(OdaListesi,A445)=0,"HATA: geçersiz oda no",IF(OR(NOT(ISNUMBER(D445)),NOT(ISNUMBER(E445))),"HATA: tarih geçersiz",IF(E445&lt;=D445,"HATA: çıkış girişten sonra olmalı",IF(OR(NOT(ISNUMBER(C445)),C445&lt;1,C445&gt;MaxKisi,C445&lt;&gt;INT(C445)),"HATA: kişi sayısı geçersiz",IF(OR(NOT(ISNUMBER(G445)),G445&lt;0),"HATA: tutar geçersiz",IF(B445&lt;&gt;TRIM(B445),"HATA: isimde baştaki/sondaki boşluk",IF(COUNTIF(KaynakAralik,H445)=0,"HATA: kaynak listede yok",IF(AND(F445&lt;&gt;"Bekleniyor",F445&lt;&gt;"Geldi",F445&lt;&gt;"İptal"),"HATA: giriş durumu geçersiz",IF(AND(F445&lt;&gt;"İptal",COUNTIFS($A$6:$A$1005,A445,$D$6:$D$1005,"&lt;"&amp;E445,$E$6:$E$1005,"&gt;"&amp;D445,$F$6:$F$1005,"&lt;&gt;İptal")&gt;1),"HATA: oda bu tarihlerde çakışıyor",IF(AND(F445="Bekleniyor",D445&lt;RaporTarihi),"HATA: giriş günü geçti, Geldi veya İptal yapın","OK"))))))))))))</f>
        <v/>
      </c>
      <c r="L445" s="25">
        <f>IF(AND(ISNUMBER(A445),F445&lt;&gt;"İptal",ISNUMBER(D445),ISNUMBER(E445),D445&lt;=RaporTarihi,E445&gt;RaporTarihi),A445,"")</f>
        <v/>
      </c>
    </row>
    <row r="446">
      <c r="A446" s="22" t="n"/>
      <c r="B446" s="22" t="n"/>
      <c r="C446" s="22" t="n"/>
      <c r="D446" s="23" t="n"/>
      <c r="E446" s="23" t="n"/>
      <c r="F446" s="22" t="n"/>
      <c r="G446" s="24" t="n"/>
      <c r="H446" s="22" t="n"/>
      <c r="I446" s="25">
        <f>IF(AND(ISNUMBER(D446),ISNUMBER(E446)),E446-D446,"")</f>
        <v/>
      </c>
      <c r="J446" s="26">
        <f>IF(AND(ISNUMBER(I446),ISNUMBER(G446)),IF(I446&gt;0,G446/I446,""),"")</f>
        <v/>
      </c>
      <c r="K446" s="25">
        <f>IF(COUNTA(A446:H446)=0,"",IF(OR(A446="",B446="",C446="",D446="",E446="",F446="",G446="",H446=""),"HATA: eksik bilgi",IF(COUNTIF(OdaListesi,A446)=0,"HATA: geçersiz oda no",IF(OR(NOT(ISNUMBER(D446)),NOT(ISNUMBER(E446))),"HATA: tarih geçersiz",IF(E446&lt;=D446,"HATA: çıkış girişten sonra olmalı",IF(OR(NOT(ISNUMBER(C446)),C446&lt;1,C446&gt;MaxKisi,C446&lt;&gt;INT(C446)),"HATA: kişi sayısı geçersiz",IF(OR(NOT(ISNUMBER(G446)),G446&lt;0),"HATA: tutar geçersiz",IF(B446&lt;&gt;TRIM(B446),"HATA: isimde baştaki/sondaki boşluk",IF(COUNTIF(KaynakAralik,H446)=0,"HATA: kaynak listede yok",IF(AND(F446&lt;&gt;"Bekleniyor",F446&lt;&gt;"Geldi",F446&lt;&gt;"İptal"),"HATA: giriş durumu geçersiz",IF(AND(F446&lt;&gt;"İptal",COUNTIFS($A$6:$A$1005,A446,$D$6:$D$1005,"&lt;"&amp;E446,$E$6:$E$1005,"&gt;"&amp;D446,$F$6:$F$1005,"&lt;&gt;İptal")&gt;1),"HATA: oda bu tarihlerde çakışıyor",IF(AND(F446="Bekleniyor",D446&lt;RaporTarihi),"HATA: giriş günü geçti, Geldi veya İptal yapın","OK"))))))))))))</f>
        <v/>
      </c>
      <c r="L446" s="25">
        <f>IF(AND(ISNUMBER(A446),F446&lt;&gt;"İptal",ISNUMBER(D446),ISNUMBER(E446),D446&lt;=RaporTarihi,E446&gt;RaporTarihi),A446,"")</f>
        <v/>
      </c>
    </row>
    <row r="447">
      <c r="A447" s="22" t="n"/>
      <c r="B447" s="22" t="n"/>
      <c r="C447" s="22" t="n"/>
      <c r="D447" s="23" t="n"/>
      <c r="E447" s="23" t="n"/>
      <c r="F447" s="22" t="n"/>
      <c r="G447" s="24" t="n"/>
      <c r="H447" s="22" t="n"/>
      <c r="I447" s="25">
        <f>IF(AND(ISNUMBER(D447),ISNUMBER(E447)),E447-D447,"")</f>
        <v/>
      </c>
      <c r="J447" s="26">
        <f>IF(AND(ISNUMBER(I447),ISNUMBER(G447)),IF(I447&gt;0,G447/I447,""),"")</f>
        <v/>
      </c>
      <c r="K447" s="25">
        <f>IF(COUNTA(A447:H447)=0,"",IF(OR(A447="",B447="",C447="",D447="",E447="",F447="",G447="",H447=""),"HATA: eksik bilgi",IF(COUNTIF(OdaListesi,A447)=0,"HATA: geçersiz oda no",IF(OR(NOT(ISNUMBER(D447)),NOT(ISNUMBER(E447))),"HATA: tarih geçersiz",IF(E447&lt;=D447,"HATA: çıkış girişten sonra olmalı",IF(OR(NOT(ISNUMBER(C447)),C447&lt;1,C447&gt;MaxKisi,C447&lt;&gt;INT(C447)),"HATA: kişi sayısı geçersiz",IF(OR(NOT(ISNUMBER(G447)),G447&lt;0),"HATA: tutar geçersiz",IF(B447&lt;&gt;TRIM(B447),"HATA: isimde baştaki/sondaki boşluk",IF(COUNTIF(KaynakAralik,H447)=0,"HATA: kaynak listede yok",IF(AND(F447&lt;&gt;"Bekleniyor",F447&lt;&gt;"Geldi",F447&lt;&gt;"İptal"),"HATA: giriş durumu geçersiz",IF(AND(F447&lt;&gt;"İptal",COUNTIFS($A$6:$A$1005,A447,$D$6:$D$1005,"&lt;"&amp;E447,$E$6:$E$1005,"&gt;"&amp;D447,$F$6:$F$1005,"&lt;&gt;İptal")&gt;1),"HATA: oda bu tarihlerde çakışıyor",IF(AND(F447="Bekleniyor",D447&lt;RaporTarihi),"HATA: giriş günü geçti, Geldi veya İptal yapın","OK"))))))))))))</f>
        <v/>
      </c>
      <c r="L447" s="25">
        <f>IF(AND(ISNUMBER(A447),F447&lt;&gt;"İptal",ISNUMBER(D447),ISNUMBER(E447),D447&lt;=RaporTarihi,E447&gt;RaporTarihi),A447,"")</f>
        <v/>
      </c>
    </row>
    <row r="448">
      <c r="A448" s="22" t="n"/>
      <c r="B448" s="22" t="n"/>
      <c r="C448" s="22" t="n"/>
      <c r="D448" s="23" t="n"/>
      <c r="E448" s="23" t="n"/>
      <c r="F448" s="22" t="n"/>
      <c r="G448" s="24" t="n"/>
      <c r="H448" s="22" t="n"/>
      <c r="I448" s="25">
        <f>IF(AND(ISNUMBER(D448),ISNUMBER(E448)),E448-D448,"")</f>
        <v/>
      </c>
      <c r="J448" s="26">
        <f>IF(AND(ISNUMBER(I448),ISNUMBER(G448)),IF(I448&gt;0,G448/I448,""),"")</f>
        <v/>
      </c>
      <c r="K448" s="25">
        <f>IF(COUNTA(A448:H448)=0,"",IF(OR(A448="",B448="",C448="",D448="",E448="",F448="",G448="",H448=""),"HATA: eksik bilgi",IF(COUNTIF(OdaListesi,A448)=0,"HATA: geçersiz oda no",IF(OR(NOT(ISNUMBER(D448)),NOT(ISNUMBER(E448))),"HATA: tarih geçersiz",IF(E448&lt;=D448,"HATA: çıkış girişten sonra olmalı",IF(OR(NOT(ISNUMBER(C448)),C448&lt;1,C448&gt;MaxKisi,C448&lt;&gt;INT(C448)),"HATA: kişi sayısı geçersiz",IF(OR(NOT(ISNUMBER(G448)),G448&lt;0),"HATA: tutar geçersiz",IF(B448&lt;&gt;TRIM(B448),"HATA: isimde baştaki/sondaki boşluk",IF(COUNTIF(KaynakAralik,H448)=0,"HATA: kaynak listede yok",IF(AND(F448&lt;&gt;"Bekleniyor",F448&lt;&gt;"Geldi",F448&lt;&gt;"İptal"),"HATA: giriş durumu geçersiz",IF(AND(F448&lt;&gt;"İptal",COUNTIFS($A$6:$A$1005,A448,$D$6:$D$1005,"&lt;"&amp;E448,$E$6:$E$1005,"&gt;"&amp;D448,$F$6:$F$1005,"&lt;&gt;İptal")&gt;1),"HATA: oda bu tarihlerde çakışıyor",IF(AND(F448="Bekleniyor",D448&lt;RaporTarihi),"HATA: giriş günü geçti, Geldi veya İptal yapın","OK"))))))))))))</f>
        <v/>
      </c>
      <c r="L448" s="25">
        <f>IF(AND(ISNUMBER(A448),F448&lt;&gt;"İptal",ISNUMBER(D448),ISNUMBER(E448),D448&lt;=RaporTarihi,E448&gt;RaporTarihi),A448,"")</f>
        <v/>
      </c>
    </row>
    <row r="449">
      <c r="A449" s="22" t="n"/>
      <c r="B449" s="22" t="n"/>
      <c r="C449" s="22" t="n"/>
      <c r="D449" s="23" t="n"/>
      <c r="E449" s="23" t="n"/>
      <c r="F449" s="22" t="n"/>
      <c r="G449" s="24" t="n"/>
      <c r="H449" s="22" t="n"/>
      <c r="I449" s="25">
        <f>IF(AND(ISNUMBER(D449),ISNUMBER(E449)),E449-D449,"")</f>
        <v/>
      </c>
      <c r="J449" s="26">
        <f>IF(AND(ISNUMBER(I449),ISNUMBER(G449)),IF(I449&gt;0,G449/I449,""),"")</f>
        <v/>
      </c>
      <c r="K449" s="25">
        <f>IF(COUNTA(A449:H449)=0,"",IF(OR(A449="",B449="",C449="",D449="",E449="",F449="",G449="",H449=""),"HATA: eksik bilgi",IF(COUNTIF(OdaListesi,A449)=0,"HATA: geçersiz oda no",IF(OR(NOT(ISNUMBER(D449)),NOT(ISNUMBER(E449))),"HATA: tarih geçersiz",IF(E449&lt;=D449,"HATA: çıkış girişten sonra olmalı",IF(OR(NOT(ISNUMBER(C449)),C449&lt;1,C449&gt;MaxKisi,C449&lt;&gt;INT(C449)),"HATA: kişi sayısı geçersiz",IF(OR(NOT(ISNUMBER(G449)),G449&lt;0),"HATA: tutar geçersiz",IF(B449&lt;&gt;TRIM(B449),"HATA: isimde baştaki/sondaki boşluk",IF(COUNTIF(KaynakAralik,H449)=0,"HATA: kaynak listede yok",IF(AND(F449&lt;&gt;"Bekleniyor",F449&lt;&gt;"Geldi",F449&lt;&gt;"İptal"),"HATA: giriş durumu geçersiz",IF(AND(F449&lt;&gt;"İptal",COUNTIFS($A$6:$A$1005,A449,$D$6:$D$1005,"&lt;"&amp;E449,$E$6:$E$1005,"&gt;"&amp;D449,$F$6:$F$1005,"&lt;&gt;İptal")&gt;1),"HATA: oda bu tarihlerde çakışıyor",IF(AND(F449="Bekleniyor",D449&lt;RaporTarihi),"HATA: giriş günü geçti, Geldi veya İptal yapın","OK"))))))))))))</f>
        <v/>
      </c>
      <c r="L449" s="25">
        <f>IF(AND(ISNUMBER(A449),F449&lt;&gt;"İptal",ISNUMBER(D449),ISNUMBER(E449),D449&lt;=RaporTarihi,E449&gt;RaporTarihi),A449,"")</f>
        <v/>
      </c>
    </row>
    <row r="450">
      <c r="A450" s="22" t="n"/>
      <c r="B450" s="22" t="n"/>
      <c r="C450" s="22" t="n"/>
      <c r="D450" s="23" t="n"/>
      <c r="E450" s="23" t="n"/>
      <c r="F450" s="22" t="n"/>
      <c r="G450" s="24" t="n"/>
      <c r="H450" s="22" t="n"/>
      <c r="I450" s="25">
        <f>IF(AND(ISNUMBER(D450),ISNUMBER(E450)),E450-D450,"")</f>
        <v/>
      </c>
      <c r="J450" s="26">
        <f>IF(AND(ISNUMBER(I450),ISNUMBER(G450)),IF(I450&gt;0,G450/I450,""),"")</f>
        <v/>
      </c>
      <c r="K450" s="25">
        <f>IF(COUNTA(A450:H450)=0,"",IF(OR(A450="",B450="",C450="",D450="",E450="",F450="",G450="",H450=""),"HATA: eksik bilgi",IF(COUNTIF(OdaListesi,A450)=0,"HATA: geçersiz oda no",IF(OR(NOT(ISNUMBER(D450)),NOT(ISNUMBER(E450))),"HATA: tarih geçersiz",IF(E450&lt;=D450,"HATA: çıkış girişten sonra olmalı",IF(OR(NOT(ISNUMBER(C450)),C450&lt;1,C450&gt;MaxKisi,C450&lt;&gt;INT(C450)),"HATA: kişi sayısı geçersiz",IF(OR(NOT(ISNUMBER(G450)),G450&lt;0),"HATA: tutar geçersiz",IF(B450&lt;&gt;TRIM(B450),"HATA: isimde baştaki/sondaki boşluk",IF(COUNTIF(KaynakAralik,H450)=0,"HATA: kaynak listede yok",IF(AND(F450&lt;&gt;"Bekleniyor",F450&lt;&gt;"Geldi",F450&lt;&gt;"İptal"),"HATA: giriş durumu geçersiz",IF(AND(F450&lt;&gt;"İptal",COUNTIFS($A$6:$A$1005,A450,$D$6:$D$1005,"&lt;"&amp;E450,$E$6:$E$1005,"&gt;"&amp;D450,$F$6:$F$1005,"&lt;&gt;İptal")&gt;1),"HATA: oda bu tarihlerde çakışıyor",IF(AND(F450="Bekleniyor",D450&lt;RaporTarihi),"HATA: giriş günü geçti, Geldi veya İptal yapın","OK"))))))))))))</f>
        <v/>
      </c>
      <c r="L450" s="25">
        <f>IF(AND(ISNUMBER(A450),F450&lt;&gt;"İptal",ISNUMBER(D450),ISNUMBER(E450),D450&lt;=RaporTarihi,E450&gt;RaporTarihi),A450,"")</f>
        <v/>
      </c>
    </row>
    <row r="451">
      <c r="A451" s="22" t="n"/>
      <c r="B451" s="22" t="n"/>
      <c r="C451" s="22" t="n"/>
      <c r="D451" s="23" t="n"/>
      <c r="E451" s="23" t="n"/>
      <c r="F451" s="22" t="n"/>
      <c r="G451" s="24" t="n"/>
      <c r="H451" s="22" t="n"/>
      <c r="I451" s="25">
        <f>IF(AND(ISNUMBER(D451),ISNUMBER(E451)),E451-D451,"")</f>
        <v/>
      </c>
      <c r="J451" s="26">
        <f>IF(AND(ISNUMBER(I451),ISNUMBER(G451)),IF(I451&gt;0,G451/I451,""),"")</f>
        <v/>
      </c>
      <c r="K451" s="25">
        <f>IF(COUNTA(A451:H451)=0,"",IF(OR(A451="",B451="",C451="",D451="",E451="",F451="",G451="",H451=""),"HATA: eksik bilgi",IF(COUNTIF(OdaListesi,A451)=0,"HATA: geçersiz oda no",IF(OR(NOT(ISNUMBER(D451)),NOT(ISNUMBER(E451))),"HATA: tarih geçersiz",IF(E451&lt;=D451,"HATA: çıkış girişten sonra olmalı",IF(OR(NOT(ISNUMBER(C451)),C451&lt;1,C451&gt;MaxKisi,C451&lt;&gt;INT(C451)),"HATA: kişi sayısı geçersiz",IF(OR(NOT(ISNUMBER(G451)),G451&lt;0),"HATA: tutar geçersiz",IF(B451&lt;&gt;TRIM(B451),"HATA: isimde baştaki/sondaki boşluk",IF(COUNTIF(KaynakAralik,H451)=0,"HATA: kaynak listede yok",IF(AND(F451&lt;&gt;"Bekleniyor",F451&lt;&gt;"Geldi",F451&lt;&gt;"İptal"),"HATA: giriş durumu geçersiz",IF(AND(F451&lt;&gt;"İptal",COUNTIFS($A$6:$A$1005,A451,$D$6:$D$1005,"&lt;"&amp;E451,$E$6:$E$1005,"&gt;"&amp;D451,$F$6:$F$1005,"&lt;&gt;İptal")&gt;1),"HATA: oda bu tarihlerde çakışıyor",IF(AND(F451="Bekleniyor",D451&lt;RaporTarihi),"HATA: giriş günü geçti, Geldi veya İptal yapın","OK"))))))))))))</f>
        <v/>
      </c>
      <c r="L451" s="25">
        <f>IF(AND(ISNUMBER(A451),F451&lt;&gt;"İptal",ISNUMBER(D451),ISNUMBER(E451),D451&lt;=RaporTarihi,E451&gt;RaporTarihi),A451,"")</f>
        <v/>
      </c>
    </row>
    <row r="452">
      <c r="A452" s="22" t="n"/>
      <c r="B452" s="22" t="n"/>
      <c r="C452" s="22" t="n"/>
      <c r="D452" s="23" t="n"/>
      <c r="E452" s="23" t="n"/>
      <c r="F452" s="22" t="n"/>
      <c r="G452" s="24" t="n"/>
      <c r="H452" s="22" t="n"/>
      <c r="I452" s="25">
        <f>IF(AND(ISNUMBER(D452),ISNUMBER(E452)),E452-D452,"")</f>
        <v/>
      </c>
      <c r="J452" s="26">
        <f>IF(AND(ISNUMBER(I452),ISNUMBER(G452)),IF(I452&gt;0,G452/I452,""),"")</f>
        <v/>
      </c>
      <c r="K452" s="25">
        <f>IF(COUNTA(A452:H452)=0,"",IF(OR(A452="",B452="",C452="",D452="",E452="",F452="",G452="",H452=""),"HATA: eksik bilgi",IF(COUNTIF(OdaListesi,A452)=0,"HATA: geçersiz oda no",IF(OR(NOT(ISNUMBER(D452)),NOT(ISNUMBER(E452))),"HATA: tarih geçersiz",IF(E452&lt;=D452,"HATA: çıkış girişten sonra olmalı",IF(OR(NOT(ISNUMBER(C452)),C452&lt;1,C452&gt;MaxKisi,C452&lt;&gt;INT(C452)),"HATA: kişi sayısı geçersiz",IF(OR(NOT(ISNUMBER(G452)),G452&lt;0),"HATA: tutar geçersiz",IF(B452&lt;&gt;TRIM(B452),"HATA: isimde baştaki/sondaki boşluk",IF(COUNTIF(KaynakAralik,H452)=0,"HATA: kaynak listede yok",IF(AND(F452&lt;&gt;"Bekleniyor",F452&lt;&gt;"Geldi",F452&lt;&gt;"İptal"),"HATA: giriş durumu geçersiz",IF(AND(F452&lt;&gt;"İptal",COUNTIFS($A$6:$A$1005,A452,$D$6:$D$1005,"&lt;"&amp;E452,$E$6:$E$1005,"&gt;"&amp;D452,$F$6:$F$1005,"&lt;&gt;İptal")&gt;1),"HATA: oda bu tarihlerde çakışıyor",IF(AND(F452="Bekleniyor",D452&lt;RaporTarihi),"HATA: giriş günü geçti, Geldi veya İptal yapın","OK"))))))))))))</f>
        <v/>
      </c>
      <c r="L452" s="25">
        <f>IF(AND(ISNUMBER(A452),F452&lt;&gt;"İptal",ISNUMBER(D452),ISNUMBER(E452),D452&lt;=RaporTarihi,E452&gt;RaporTarihi),A452,"")</f>
        <v/>
      </c>
    </row>
    <row r="453">
      <c r="A453" s="22" t="n"/>
      <c r="B453" s="22" t="n"/>
      <c r="C453" s="22" t="n"/>
      <c r="D453" s="23" t="n"/>
      <c r="E453" s="23" t="n"/>
      <c r="F453" s="22" t="n"/>
      <c r="G453" s="24" t="n"/>
      <c r="H453" s="22" t="n"/>
      <c r="I453" s="25">
        <f>IF(AND(ISNUMBER(D453),ISNUMBER(E453)),E453-D453,"")</f>
        <v/>
      </c>
      <c r="J453" s="26">
        <f>IF(AND(ISNUMBER(I453),ISNUMBER(G453)),IF(I453&gt;0,G453/I453,""),"")</f>
        <v/>
      </c>
      <c r="K453" s="25">
        <f>IF(COUNTA(A453:H453)=0,"",IF(OR(A453="",B453="",C453="",D453="",E453="",F453="",G453="",H453=""),"HATA: eksik bilgi",IF(COUNTIF(OdaListesi,A453)=0,"HATA: geçersiz oda no",IF(OR(NOT(ISNUMBER(D453)),NOT(ISNUMBER(E453))),"HATA: tarih geçersiz",IF(E453&lt;=D453,"HATA: çıkış girişten sonra olmalı",IF(OR(NOT(ISNUMBER(C453)),C453&lt;1,C453&gt;MaxKisi,C453&lt;&gt;INT(C453)),"HATA: kişi sayısı geçersiz",IF(OR(NOT(ISNUMBER(G453)),G453&lt;0),"HATA: tutar geçersiz",IF(B453&lt;&gt;TRIM(B453),"HATA: isimde baştaki/sondaki boşluk",IF(COUNTIF(KaynakAralik,H453)=0,"HATA: kaynak listede yok",IF(AND(F453&lt;&gt;"Bekleniyor",F453&lt;&gt;"Geldi",F453&lt;&gt;"İptal"),"HATA: giriş durumu geçersiz",IF(AND(F453&lt;&gt;"İptal",COUNTIFS($A$6:$A$1005,A453,$D$6:$D$1005,"&lt;"&amp;E453,$E$6:$E$1005,"&gt;"&amp;D453,$F$6:$F$1005,"&lt;&gt;İptal")&gt;1),"HATA: oda bu tarihlerde çakışıyor",IF(AND(F453="Bekleniyor",D453&lt;RaporTarihi),"HATA: giriş günü geçti, Geldi veya İptal yapın","OK"))))))))))))</f>
        <v/>
      </c>
      <c r="L453" s="25">
        <f>IF(AND(ISNUMBER(A453),F453&lt;&gt;"İptal",ISNUMBER(D453),ISNUMBER(E453),D453&lt;=RaporTarihi,E453&gt;RaporTarihi),A453,"")</f>
        <v/>
      </c>
    </row>
    <row r="454">
      <c r="A454" s="22" t="n"/>
      <c r="B454" s="22" t="n"/>
      <c r="C454" s="22" t="n"/>
      <c r="D454" s="23" t="n"/>
      <c r="E454" s="23" t="n"/>
      <c r="F454" s="22" t="n"/>
      <c r="G454" s="24" t="n"/>
      <c r="H454" s="22" t="n"/>
      <c r="I454" s="25">
        <f>IF(AND(ISNUMBER(D454),ISNUMBER(E454)),E454-D454,"")</f>
        <v/>
      </c>
      <c r="J454" s="26">
        <f>IF(AND(ISNUMBER(I454),ISNUMBER(G454)),IF(I454&gt;0,G454/I454,""),"")</f>
        <v/>
      </c>
      <c r="K454" s="25">
        <f>IF(COUNTA(A454:H454)=0,"",IF(OR(A454="",B454="",C454="",D454="",E454="",F454="",G454="",H454=""),"HATA: eksik bilgi",IF(COUNTIF(OdaListesi,A454)=0,"HATA: geçersiz oda no",IF(OR(NOT(ISNUMBER(D454)),NOT(ISNUMBER(E454))),"HATA: tarih geçersiz",IF(E454&lt;=D454,"HATA: çıkış girişten sonra olmalı",IF(OR(NOT(ISNUMBER(C454)),C454&lt;1,C454&gt;MaxKisi,C454&lt;&gt;INT(C454)),"HATA: kişi sayısı geçersiz",IF(OR(NOT(ISNUMBER(G454)),G454&lt;0),"HATA: tutar geçersiz",IF(B454&lt;&gt;TRIM(B454),"HATA: isimde baştaki/sondaki boşluk",IF(COUNTIF(KaynakAralik,H454)=0,"HATA: kaynak listede yok",IF(AND(F454&lt;&gt;"Bekleniyor",F454&lt;&gt;"Geldi",F454&lt;&gt;"İptal"),"HATA: giriş durumu geçersiz",IF(AND(F454&lt;&gt;"İptal",COUNTIFS($A$6:$A$1005,A454,$D$6:$D$1005,"&lt;"&amp;E454,$E$6:$E$1005,"&gt;"&amp;D454,$F$6:$F$1005,"&lt;&gt;İptal")&gt;1),"HATA: oda bu tarihlerde çakışıyor",IF(AND(F454="Bekleniyor",D454&lt;RaporTarihi),"HATA: giriş günü geçti, Geldi veya İptal yapın","OK"))))))))))))</f>
        <v/>
      </c>
      <c r="L454" s="25">
        <f>IF(AND(ISNUMBER(A454),F454&lt;&gt;"İptal",ISNUMBER(D454),ISNUMBER(E454),D454&lt;=RaporTarihi,E454&gt;RaporTarihi),A454,"")</f>
        <v/>
      </c>
    </row>
    <row r="455">
      <c r="A455" s="22" t="n"/>
      <c r="B455" s="22" t="n"/>
      <c r="C455" s="22" t="n"/>
      <c r="D455" s="23" t="n"/>
      <c r="E455" s="23" t="n"/>
      <c r="F455" s="22" t="n"/>
      <c r="G455" s="24" t="n"/>
      <c r="H455" s="22" t="n"/>
      <c r="I455" s="25">
        <f>IF(AND(ISNUMBER(D455),ISNUMBER(E455)),E455-D455,"")</f>
        <v/>
      </c>
      <c r="J455" s="26">
        <f>IF(AND(ISNUMBER(I455),ISNUMBER(G455)),IF(I455&gt;0,G455/I455,""),"")</f>
        <v/>
      </c>
      <c r="K455" s="25">
        <f>IF(COUNTA(A455:H455)=0,"",IF(OR(A455="",B455="",C455="",D455="",E455="",F455="",G455="",H455=""),"HATA: eksik bilgi",IF(COUNTIF(OdaListesi,A455)=0,"HATA: geçersiz oda no",IF(OR(NOT(ISNUMBER(D455)),NOT(ISNUMBER(E455))),"HATA: tarih geçersiz",IF(E455&lt;=D455,"HATA: çıkış girişten sonra olmalı",IF(OR(NOT(ISNUMBER(C455)),C455&lt;1,C455&gt;MaxKisi,C455&lt;&gt;INT(C455)),"HATA: kişi sayısı geçersiz",IF(OR(NOT(ISNUMBER(G455)),G455&lt;0),"HATA: tutar geçersiz",IF(B455&lt;&gt;TRIM(B455),"HATA: isimde baştaki/sondaki boşluk",IF(COUNTIF(KaynakAralik,H455)=0,"HATA: kaynak listede yok",IF(AND(F455&lt;&gt;"Bekleniyor",F455&lt;&gt;"Geldi",F455&lt;&gt;"İptal"),"HATA: giriş durumu geçersiz",IF(AND(F455&lt;&gt;"İptal",COUNTIFS($A$6:$A$1005,A455,$D$6:$D$1005,"&lt;"&amp;E455,$E$6:$E$1005,"&gt;"&amp;D455,$F$6:$F$1005,"&lt;&gt;İptal")&gt;1),"HATA: oda bu tarihlerde çakışıyor",IF(AND(F455="Bekleniyor",D455&lt;RaporTarihi),"HATA: giriş günü geçti, Geldi veya İptal yapın","OK"))))))))))))</f>
        <v/>
      </c>
      <c r="L455" s="25">
        <f>IF(AND(ISNUMBER(A455),F455&lt;&gt;"İptal",ISNUMBER(D455),ISNUMBER(E455),D455&lt;=RaporTarihi,E455&gt;RaporTarihi),A455,"")</f>
        <v/>
      </c>
    </row>
    <row r="456">
      <c r="A456" s="22" t="n"/>
      <c r="B456" s="22" t="n"/>
      <c r="C456" s="22" t="n"/>
      <c r="D456" s="23" t="n"/>
      <c r="E456" s="23" t="n"/>
      <c r="F456" s="22" t="n"/>
      <c r="G456" s="24" t="n"/>
      <c r="H456" s="22" t="n"/>
      <c r="I456" s="25">
        <f>IF(AND(ISNUMBER(D456),ISNUMBER(E456)),E456-D456,"")</f>
        <v/>
      </c>
      <c r="J456" s="26">
        <f>IF(AND(ISNUMBER(I456),ISNUMBER(G456)),IF(I456&gt;0,G456/I456,""),"")</f>
        <v/>
      </c>
      <c r="K456" s="25">
        <f>IF(COUNTA(A456:H456)=0,"",IF(OR(A456="",B456="",C456="",D456="",E456="",F456="",G456="",H456=""),"HATA: eksik bilgi",IF(COUNTIF(OdaListesi,A456)=0,"HATA: geçersiz oda no",IF(OR(NOT(ISNUMBER(D456)),NOT(ISNUMBER(E456))),"HATA: tarih geçersiz",IF(E456&lt;=D456,"HATA: çıkış girişten sonra olmalı",IF(OR(NOT(ISNUMBER(C456)),C456&lt;1,C456&gt;MaxKisi,C456&lt;&gt;INT(C456)),"HATA: kişi sayısı geçersiz",IF(OR(NOT(ISNUMBER(G456)),G456&lt;0),"HATA: tutar geçersiz",IF(B456&lt;&gt;TRIM(B456),"HATA: isimde baştaki/sondaki boşluk",IF(COUNTIF(KaynakAralik,H456)=0,"HATA: kaynak listede yok",IF(AND(F456&lt;&gt;"Bekleniyor",F456&lt;&gt;"Geldi",F456&lt;&gt;"İptal"),"HATA: giriş durumu geçersiz",IF(AND(F456&lt;&gt;"İptal",COUNTIFS($A$6:$A$1005,A456,$D$6:$D$1005,"&lt;"&amp;E456,$E$6:$E$1005,"&gt;"&amp;D456,$F$6:$F$1005,"&lt;&gt;İptal")&gt;1),"HATA: oda bu tarihlerde çakışıyor",IF(AND(F456="Bekleniyor",D456&lt;RaporTarihi),"HATA: giriş günü geçti, Geldi veya İptal yapın","OK"))))))))))))</f>
        <v/>
      </c>
      <c r="L456" s="25">
        <f>IF(AND(ISNUMBER(A456),F456&lt;&gt;"İptal",ISNUMBER(D456),ISNUMBER(E456),D456&lt;=RaporTarihi,E456&gt;RaporTarihi),A456,"")</f>
        <v/>
      </c>
    </row>
    <row r="457">
      <c r="A457" s="22" t="n"/>
      <c r="B457" s="22" t="n"/>
      <c r="C457" s="22" t="n"/>
      <c r="D457" s="23" t="n"/>
      <c r="E457" s="23" t="n"/>
      <c r="F457" s="22" t="n"/>
      <c r="G457" s="24" t="n"/>
      <c r="H457" s="22" t="n"/>
      <c r="I457" s="25">
        <f>IF(AND(ISNUMBER(D457),ISNUMBER(E457)),E457-D457,"")</f>
        <v/>
      </c>
      <c r="J457" s="26">
        <f>IF(AND(ISNUMBER(I457),ISNUMBER(G457)),IF(I457&gt;0,G457/I457,""),"")</f>
        <v/>
      </c>
      <c r="K457" s="25">
        <f>IF(COUNTA(A457:H457)=0,"",IF(OR(A457="",B457="",C457="",D457="",E457="",F457="",G457="",H457=""),"HATA: eksik bilgi",IF(COUNTIF(OdaListesi,A457)=0,"HATA: geçersiz oda no",IF(OR(NOT(ISNUMBER(D457)),NOT(ISNUMBER(E457))),"HATA: tarih geçersiz",IF(E457&lt;=D457,"HATA: çıkış girişten sonra olmalı",IF(OR(NOT(ISNUMBER(C457)),C457&lt;1,C457&gt;MaxKisi,C457&lt;&gt;INT(C457)),"HATA: kişi sayısı geçersiz",IF(OR(NOT(ISNUMBER(G457)),G457&lt;0),"HATA: tutar geçersiz",IF(B457&lt;&gt;TRIM(B457),"HATA: isimde baştaki/sondaki boşluk",IF(COUNTIF(KaynakAralik,H457)=0,"HATA: kaynak listede yok",IF(AND(F457&lt;&gt;"Bekleniyor",F457&lt;&gt;"Geldi",F457&lt;&gt;"İptal"),"HATA: giriş durumu geçersiz",IF(AND(F457&lt;&gt;"İptal",COUNTIFS($A$6:$A$1005,A457,$D$6:$D$1005,"&lt;"&amp;E457,$E$6:$E$1005,"&gt;"&amp;D457,$F$6:$F$1005,"&lt;&gt;İptal")&gt;1),"HATA: oda bu tarihlerde çakışıyor",IF(AND(F457="Bekleniyor",D457&lt;RaporTarihi),"HATA: giriş günü geçti, Geldi veya İptal yapın","OK"))))))))))))</f>
        <v/>
      </c>
      <c r="L457" s="25">
        <f>IF(AND(ISNUMBER(A457),F457&lt;&gt;"İptal",ISNUMBER(D457),ISNUMBER(E457),D457&lt;=RaporTarihi,E457&gt;RaporTarihi),A457,"")</f>
        <v/>
      </c>
    </row>
    <row r="458">
      <c r="A458" s="22" t="n"/>
      <c r="B458" s="22" t="n"/>
      <c r="C458" s="22" t="n"/>
      <c r="D458" s="23" t="n"/>
      <c r="E458" s="23" t="n"/>
      <c r="F458" s="22" t="n"/>
      <c r="G458" s="24" t="n"/>
      <c r="H458" s="22" t="n"/>
      <c r="I458" s="25">
        <f>IF(AND(ISNUMBER(D458),ISNUMBER(E458)),E458-D458,"")</f>
        <v/>
      </c>
      <c r="J458" s="26">
        <f>IF(AND(ISNUMBER(I458),ISNUMBER(G458)),IF(I458&gt;0,G458/I458,""),"")</f>
        <v/>
      </c>
      <c r="K458" s="25">
        <f>IF(COUNTA(A458:H458)=0,"",IF(OR(A458="",B458="",C458="",D458="",E458="",F458="",G458="",H458=""),"HATA: eksik bilgi",IF(COUNTIF(OdaListesi,A458)=0,"HATA: geçersiz oda no",IF(OR(NOT(ISNUMBER(D458)),NOT(ISNUMBER(E458))),"HATA: tarih geçersiz",IF(E458&lt;=D458,"HATA: çıkış girişten sonra olmalı",IF(OR(NOT(ISNUMBER(C458)),C458&lt;1,C458&gt;MaxKisi,C458&lt;&gt;INT(C458)),"HATA: kişi sayısı geçersiz",IF(OR(NOT(ISNUMBER(G458)),G458&lt;0),"HATA: tutar geçersiz",IF(B458&lt;&gt;TRIM(B458),"HATA: isimde baştaki/sondaki boşluk",IF(COUNTIF(KaynakAralik,H458)=0,"HATA: kaynak listede yok",IF(AND(F458&lt;&gt;"Bekleniyor",F458&lt;&gt;"Geldi",F458&lt;&gt;"İptal"),"HATA: giriş durumu geçersiz",IF(AND(F458&lt;&gt;"İptal",COUNTIFS($A$6:$A$1005,A458,$D$6:$D$1005,"&lt;"&amp;E458,$E$6:$E$1005,"&gt;"&amp;D458,$F$6:$F$1005,"&lt;&gt;İptal")&gt;1),"HATA: oda bu tarihlerde çakışıyor",IF(AND(F458="Bekleniyor",D458&lt;RaporTarihi),"HATA: giriş günü geçti, Geldi veya İptal yapın","OK"))))))))))))</f>
        <v/>
      </c>
      <c r="L458" s="25">
        <f>IF(AND(ISNUMBER(A458),F458&lt;&gt;"İptal",ISNUMBER(D458),ISNUMBER(E458),D458&lt;=RaporTarihi,E458&gt;RaporTarihi),A458,"")</f>
        <v/>
      </c>
    </row>
    <row r="459">
      <c r="A459" s="22" t="n"/>
      <c r="B459" s="22" t="n"/>
      <c r="C459" s="22" t="n"/>
      <c r="D459" s="23" t="n"/>
      <c r="E459" s="23" t="n"/>
      <c r="F459" s="22" t="n"/>
      <c r="G459" s="24" t="n"/>
      <c r="H459" s="22" t="n"/>
      <c r="I459" s="25">
        <f>IF(AND(ISNUMBER(D459),ISNUMBER(E459)),E459-D459,"")</f>
        <v/>
      </c>
      <c r="J459" s="26">
        <f>IF(AND(ISNUMBER(I459),ISNUMBER(G459)),IF(I459&gt;0,G459/I459,""),"")</f>
        <v/>
      </c>
      <c r="K459" s="25">
        <f>IF(COUNTA(A459:H459)=0,"",IF(OR(A459="",B459="",C459="",D459="",E459="",F459="",G459="",H459=""),"HATA: eksik bilgi",IF(COUNTIF(OdaListesi,A459)=0,"HATA: geçersiz oda no",IF(OR(NOT(ISNUMBER(D459)),NOT(ISNUMBER(E459))),"HATA: tarih geçersiz",IF(E459&lt;=D459,"HATA: çıkış girişten sonra olmalı",IF(OR(NOT(ISNUMBER(C459)),C459&lt;1,C459&gt;MaxKisi,C459&lt;&gt;INT(C459)),"HATA: kişi sayısı geçersiz",IF(OR(NOT(ISNUMBER(G459)),G459&lt;0),"HATA: tutar geçersiz",IF(B459&lt;&gt;TRIM(B459),"HATA: isimde baştaki/sondaki boşluk",IF(COUNTIF(KaynakAralik,H459)=0,"HATA: kaynak listede yok",IF(AND(F459&lt;&gt;"Bekleniyor",F459&lt;&gt;"Geldi",F459&lt;&gt;"İptal"),"HATA: giriş durumu geçersiz",IF(AND(F459&lt;&gt;"İptal",COUNTIFS($A$6:$A$1005,A459,$D$6:$D$1005,"&lt;"&amp;E459,$E$6:$E$1005,"&gt;"&amp;D459,$F$6:$F$1005,"&lt;&gt;İptal")&gt;1),"HATA: oda bu tarihlerde çakışıyor",IF(AND(F459="Bekleniyor",D459&lt;RaporTarihi),"HATA: giriş günü geçti, Geldi veya İptal yapın","OK"))))))))))))</f>
        <v/>
      </c>
      <c r="L459" s="25">
        <f>IF(AND(ISNUMBER(A459),F459&lt;&gt;"İptal",ISNUMBER(D459),ISNUMBER(E459),D459&lt;=RaporTarihi,E459&gt;RaporTarihi),A459,"")</f>
        <v/>
      </c>
    </row>
    <row r="460">
      <c r="A460" s="22" t="n"/>
      <c r="B460" s="22" t="n"/>
      <c r="C460" s="22" t="n"/>
      <c r="D460" s="23" t="n"/>
      <c r="E460" s="23" t="n"/>
      <c r="F460" s="22" t="n"/>
      <c r="G460" s="24" t="n"/>
      <c r="H460" s="22" t="n"/>
      <c r="I460" s="25">
        <f>IF(AND(ISNUMBER(D460),ISNUMBER(E460)),E460-D460,"")</f>
        <v/>
      </c>
      <c r="J460" s="26">
        <f>IF(AND(ISNUMBER(I460),ISNUMBER(G460)),IF(I460&gt;0,G460/I460,""),"")</f>
        <v/>
      </c>
      <c r="K460" s="25">
        <f>IF(COUNTA(A460:H460)=0,"",IF(OR(A460="",B460="",C460="",D460="",E460="",F460="",G460="",H460=""),"HATA: eksik bilgi",IF(COUNTIF(OdaListesi,A460)=0,"HATA: geçersiz oda no",IF(OR(NOT(ISNUMBER(D460)),NOT(ISNUMBER(E460))),"HATA: tarih geçersiz",IF(E460&lt;=D460,"HATA: çıkış girişten sonra olmalı",IF(OR(NOT(ISNUMBER(C460)),C460&lt;1,C460&gt;MaxKisi,C460&lt;&gt;INT(C460)),"HATA: kişi sayısı geçersiz",IF(OR(NOT(ISNUMBER(G460)),G460&lt;0),"HATA: tutar geçersiz",IF(B460&lt;&gt;TRIM(B460),"HATA: isimde baştaki/sondaki boşluk",IF(COUNTIF(KaynakAralik,H460)=0,"HATA: kaynak listede yok",IF(AND(F460&lt;&gt;"Bekleniyor",F460&lt;&gt;"Geldi",F460&lt;&gt;"İptal"),"HATA: giriş durumu geçersiz",IF(AND(F460&lt;&gt;"İptal",COUNTIFS($A$6:$A$1005,A460,$D$6:$D$1005,"&lt;"&amp;E460,$E$6:$E$1005,"&gt;"&amp;D460,$F$6:$F$1005,"&lt;&gt;İptal")&gt;1),"HATA: oda bu tarihlerde çakışıyor",IF(AND(F460="Bekleniyor",D460&lt;RaporTarihi),"HATA: giriş günü geçti, Geldi veya İptal yapın","OK"))))))))))))</f>
        <v/>
      </c>
      <c r="L460" s="25">
        <f>IF(AND(ISNUMBER(A460),F460&lt;&gt;"İptal",ISNUMBER(D460),ISNUMBER(E460),D460&lt;=RaporTarihi,E460&gt;RaporTarihi),A460,"")</f>
        <v/>
      </c>
    </row>
    <row r="461">
      <c r="A461" s="22" t="n"/>
      <c r="B461" s="22" t="n"/>
      <c r="C461" s="22" t="n"/>
      <c r="D461" s="23" t="n"/>
      <c r="E461" s="23" t="n"/>
      <c r="F461" s="22" t="n"/>
      <c r="G461" s="24" t="n"/>
      <c r="H461" s="22" t="n"/>
      <c r="I461" s="25">
        <f>IF(AND(ISNUMBER(D461),ISNUMBER(E461)),E461-D461,"")</f>
        <v/>
      </c>
      <c r="J461" s="26">
        <f>IF(AND(ISNUMBER(I461),ISNUMBER(G461)),IF(I461&gt;0,G461/I461,""),"")</f>
        <v/>
      </c>
      <c r="K461" s="25">
        <f>IF(COUNTA(A461:H461)=0,"",IF(OR(A461="",B461="",C461="",D461="",E461="",F461="",G461="",H461=""),"HATA: eksik bilgi",IF(COUNTIF(OdaListesi,A461)=0,"HATA: geçersiz oda no",IF(OR(NOT(ISNUMBER(D461)),NOT(ISNUMBER(E461))),"HATA: tarih geçersiz",IF(E461&lt;=D461,"HATA: çıkış girişten sonra olmalı",IF(OR(NOT(ISNUMBER(C461)),C461&lt;1,C461&gt;MaxKisi,C461&lt;&gt;INT(C461)),"HATA: kişi sayısı geçersiz",IF(OR(NOT(ISNUMBER(G461)),G461&lt;0),"HATA: tutar geçersiz",IF(B461&lt;&gt;TRIM(B461),"HATA: isimde baştaki/sondaki boşluk",IF(COUNTIF(KaynakAralik,H461)=0,"HATA: kaynak listede yok",IF(AND(F461&lt;&gt;"Bekleniyor",F461&lt;&gt;"Geldi",F461&lt;&gt;"İptal"),"HATA: giriş durumu geçersiz",IF(AND(F461&lt;&gt;"İptal",COUNTIFS($A$6:$A$1005,A461,$D$6:$D$1005,"&lt;"&amp;E461,$E$6:$E$1005,"&gt;"&amp;D461,$F$6:$F$1005,"&lt;&gt;İptal")&gt;1),"HATA: oda bu tarihlerde çakışıyor",IF(AND(F461="Bekleniyor",D461&lt;RaporTarihi),"HATA: giriş günü geçti, Geldi veya İptal yapın","OK"))))))))))))</f>
        <v/>
      </c>
      <c r="L461" s="25">
        <f>IF(AND(ISNUMBER(A461),F461&lt;&gt;"İptal",ISNUMBER(D461),ISNUMBER(E461),D461&lt;=RaporTarihi,E461&gt;RaporTarihi),A461,"")</f>
        <v/>
      </c>
    </row>
    <row r="462">
      <c r="A462" s="22" t="n"/>
      <c r="B462" s="22" t="n"/>
      <c r="C462" s="22" t="n"/>
      <c r="D462" s="23" t="n"/>
      <c r="E462" s="23" t="n"/>
      <c r="F462" s="22" t="n"/>
      <c r="G462" s="24" t="n"/>
      <c r="H462" s="22" t="n"/>
      <c r="I462" s="25">
        <f>IF(AND(ISNUMBER(D462),ISNUMBER(E462)),E462-D462,"")</f>
        <v/>
      </c>
      <c r="J462" s="26">
        <f>IF(AND(ISNUMBER(I462),ISNUMBER(G462)),IF(I462&gt;0,G462/I462,""),"")</f>
        <v/>
      </c>
      <c r="K462" s="25">
        <f>IF(COUNTA(A462:H462)=0,"",IF(OR(A462="",B462="",C462="",D462="",E462="",F462="",G462="",H462=""),"HATA: eksik bilgi",IF(COUNTIF(OdaListesi,A462)=0,"HATA: geçersiz oda no",IF(OR(NOT(ISNUMBER(D462)),NOT(ISNUMBER(E462))),"HATA: tarih geçersiz",IF(E462&lt;=D462,"HATA: çıkış girişten sonra olmalı",IF(OR(NOT(ISNUMBER(C462)),C462&lt;1,C462&gt;MaxKisi,C462&lt;&gt;INT(C462)),"HATA: kişi sayısı geçersiz",IF(OR(NOT(ISNUMBER(G462)),G462&lt;0),"HATA: tutar geçersiz",IF(B462&lt;&gt;TRIM(B462),"HATA: isimde baştaki/sondaki boşluk",IF(COUNTIF(KaynakAralik,H462)=0,"HATA: kaynak listede yok",IF(AND(F462&lt;&gt;"Bekleniyor",F462&lt;&gt;"Geldi",F462&lt;&gt;"İptal"),"HATA: giriş durumu geçersiz",IF(AND(F462&lt;&gt;"İptal",COUNTIFS($A$6:$A$1005,A462,$D$6:$D$1005,"&lt;"&amp;E462,$E$6:$E$1005,"&gt;"&amp;D462,$F$6:$F$1005,"&lt;&gt;İptal")&gt;1),"HATA: oda bu tarihlerde çakışıyor",IF(AND(F462="Bekleniyor",D462&lt;RaporTarihi),"HATA: giriş günü geçti, Geldi veya İptal yapın","OK"))))))))))))</f>
        <v/>
      </c>
      <c r="L462" s="25">
        <f>IF(AND(ISNUMBER(A462),F462&lt;&gt;"İptal",ISNUMBER(D462),ISNUMBER(E462),D462&lt;=RaporTarihi,E462&gt;RaporTarihi),A462,"")</f>
        <v/>
      </c>
    </row>
    <row r="463">
      <c r="A463" s="22" t="n"/>
      <c r="B463" s="22" t="n"/>
      <c r="C463" s="22" t="n"/>
      <c r="D463" s="23" t="n"/>
      <c r="E463" s="23" t="n"/>
      <c r="F463" s="22" t="n"/>
      <c r="G463" s="24" t="n"/>
      <c r="H463" s="22" t="n"/>
      <c r="I463" s="25">
        <f>IF(AND(ISNUMBER(D463),ISNUMBER(E463)),E463-D463,"")</f>
        <v/>
      </c>
      <c r="J463" s="26">
        <f>IF(AND(ISNUMBER(I463),ISNUMBER(G463)),IF(I463&gt;0,G463/I463,""),"")</f>
        <v/>
      </c>
      <c r="K463" s="25">
        <f>IF(COUNTA(A463:H463)=0,"",IF(OR(A463="",B463="",C463="",D463="",E463="",F463="",G463="",H463=""),"HATA: eksik bilgi",IF(COUNTIF(OdaListesi,A463)=0,"HATA: geçersiz oda no",IF(OR(NOT(ISNUMBER(D463)),NOT(ISNUMBER(E463))),"HATA: tarih geçersiz",IF(E463&lt;=D463,"HATA: çıkış girişten sonra olmalı",IF(OR(NOT(ISNUMBER(C463)),C463&lt;1,C463&gt;MaxKisi,C463&lt;&gt;INT(C463)),"HATA: kişi sayısı geçersiz",IF(OR(NOT(ISNUMBER(G463)),G463&lt;0),"HATA: tutar geçersiz",IF(B463&lt;&gt;TRIM(B463),"HATA: isimde baştaki/sondaki boşluk",IF(COUNTIF(KaynakAralik,H463)=0,"HATA: kaynak listede yok",IF(AND(F463&lt;&gt;"Bekleniyor",F463&lt;&gt;"Geldi",F463&lt;&gt;"İptal"),"HATA: giriş durumu geçersiz",IF(AND(F463&lt;&gt;"İptal",COUNTIFS($A$6:$A$1005,A463,$D$6:$D$1005,"&lt;"&amp;E463,$E$6:$E$1005,"&gt;"&amp;D463,$F$6:$F$1005,"&lt;&gt;İptal")&gt;1),"HATA: oda bu tarihlerde çakışıyor",IF(AND(F463="Bekleniyor",D463&lt;RaporTarihi),"HATA: giriş günü geçti, Geldi veya İptal yapın","OK"))))))))))))</f>
        <v/>
      </c>
      <c r="L463" s="25">
        <f>IF(AND(ISNUMBER(A463),F463&lt;&gt;"İptal",ISNUMBER(D463),ISNUMBER(E463),D463&lt;=RaporTarihi,E463&gt;RaporTarihi),A463,"")</f>
        <v/>
      </c>
    </row>
    <row r="464">
      <c r="A464" s="22" t="n"/>
      <c r="B464" s="22" t="n"/>
      <c r="C464" s="22" t="n"/>
      <c r="D464" s="23" t="n"/>
      <c r="E464" s="23" t="n"/>
      <c r="F464" s="22" t="n"/>
      <c r="G464" s="24" t="n"/>
      <c r="H464" s="22" t="n"/>
      <c r="I464" s="25">
        <f>IF(AND(ISNUMBER(D464),ISNUMBER(E464)),E464-D464,"")</f>
        <v/>
      </c>
      <c r="J464" s="26">
        <f>IF(AND(ISNUMBER(I464),ISNUMBER(G464)),IF(I464&gt;0,G464/I464,""),"")</f>
        <v/>
      </c>
      <c r="K464" s="25">
        <f>IF(COUNTA(A464:H464)=0,"",IF(OR(A464="",B464="",C464="",D464="",E464="",F464="",G464="",H464=""),"HATA: eksik bilgi",IF(COUNTIF(OdaListesi,A464)=0,"HATA: geçersiz oda no",IF(OR(NOT(ISNUMBER(D464)),NOT(ISNUMBER(E464))),"HATA: tarih geçersiz",IF(E464&lt;=D464,"HATA: çıkış girişten sonra olmalı",IF(OR(NOT(ISNUMBER(C464)),C464&lt;1,C464&gt;MaxKisi,C464&lt;&gt;INT(C464)),"HATA: kişi sayısı geçersiz",IF(OR(NOT(ISNUMBER(G464)),G464&lt;0),"HATA: tutar geçersiz",IF(B464&lt;&gt;TRIM(B464),"HATA: isimde baştaki/sondaki boşluk",IF(COUNTIF(KaynakAralik,H464)=0,"HATA: kaynak listede yok",IF(AND(F464&lt;&gt;"Bekleniyor",F464&lt;&gt;"Geldi",F464&lt;&gt;"İptal"),"HATA: giriş durumu geçersiz",IF(AND(F464&lt;&gt;"İptal",COUNTIFS($A$6:$A$1005,A464,$D$6:$D$1005,"&lt;"&amp;E464,$E$6:$E$1005,"&gt;"&amp;D464,$F$6:$F$1005,"&lt;&gt;İptal")&gt;1),"HATA: oda bu tarihlerde çakışıyor",IF(AND(F464="Bekleniyor",D464&lt;RaporTarihi),"HATA: giriş günü geçti, Geldi veya İptal yapın","OK"))))))))))))</f>
        <v/>
      </c>
      <c r="L464" s="25">
        <f>IF(AND(ISNUMBER(A464),F464&lt;&gt;"İptal",ISNUMBER(D464),ISNUMBER(E464),D464&lt;=RaporTarihi,E464&gt;RaporTarihi),A464,"")</f>
        <v/>
      </c>
    </row>
    <row r="465">
      <c r="A465" s="22" t="n"/>
      <c r="B465" s="22" t="n"/>
      <c r="C465" s="22" t="n"/>
      <c r="D465" s="23" t="n"/>
      <c r="E465" s="23" t="n"/>
      <c r="F465" s="22" t="n"/>
      <c r="G465" s="24" t="n"/>
      <c r="H465" s="22" t="n"/>
      <c r="I465" s="25">
        <f>IF(AND(ISNUMBER(D465),ISNUMBER(E465)),E465-D465,"")</f>
        <v/>
      </c>
      <c r="J465" s="26">
        <f>IF(AND(ISNUMBER(I465),ISNUMBER(G465)),IF(I465&gt;0,G465/I465,""),"")</f>
        <v/>
      </c>
      <c r="K465" s="25">
        <f>IF(COUNTA(A465:H465)=0,"",IF(OR(A465="",B465="",C465="",D465="",E465="",F465="",G465="",H465=""),"HATA: eksik bilgi",IF(COUNTIF(OdaListesi,A465)=0,"HATA: geçersiz oda no",IF(OR(NOT(ISNUMBER(D465)),NOT(ISNUMBER(E465))),"HATA: tarih geçersiz",IF(E465&lt;=D465,"HATA: çıkış girişten sonra olmalı",IF(OR(NOT(ISNUMBER(C465)),C465&lt;1,C465&gt;MaxKisi,C465&lt;&gt;INT(C465)),"HATA: kişi sayısı geçersiz",IF(OR(NOT(ISNUMBER(G465)),G465&lt;0),"HATA: tutar geçersiz",IF(B465&lt;&gt;TRIM(B465),"HATA: isimde baştaki/sondaki boşluk",IF(COUNTIF(KaynakAralik,H465)=0,"HATA: kaynak listede yok",IF(AND(F465&lt;&gt;"Bekleniyor",F465&lt;&gt;"Geldi",F465&lt;&gt;"İptal"),"HATA: giriş durumu geçersiz",IF(AND(F465&lt;&gt;"İptal",COUNTIFS($A$6:$A$1005,A465,$D$6:$D$1005,"&lt;"&amp;E465,$E$6:$E$1005,"&gt;"&amp;D465,$F$6:$F$1005,"&lt;&gt;İptal")&gt;1),"HATA: oda bu tarihlerde çakışıyor",IF(AND(F465="Bekleniyor",D465&lt;RaporTarihi),"HATA: giriş günü geçti, Geldi veya İptal yapın","OK"))))))))))))</f>
        <v/>
      </c>
      <c r="L465" s="25">
        <f>IF(AND(ISNUMBER(A465),F465&lt;&gt;"İptal",ISNUMBER(D465),ISNUMBER(E465),D465&lt;=RaporTarihi,E465&gt;RaporTarihi),A465,"")</f>
        <v/>
      </c>
    </row>
    <row r="466">
      <c r="A466" s="22" t="n"/>
      <c r="B466" s="22" t="n"/>
      <c r="C466" s="22" t="n"/>
      <c r="D466" s="23" t="n"/>
      <c r="E466" s="23" t="n"/>
      <c r="F466" s="22" t="n"/>
      <c r="G466" s="24" t="n"/>
      <c r="H466" s="22" t="n"/>
      <c r="I466" s="25">
        <f>IF(AND(ISNUMBER(D466),ISNUMBER(E466)),E466-D466,"")</f>
        <v/>
      </c>
      <c r="J466" s="26">
        <f>IF(AND(ISNUMBER(I466),ISNUMBER(G466)),IF(I466&gt;0,G466/I466,""),"")</f>
        <v/>
      </c>
      <c r="K466" s="25">
        <f>IF(COUNTA(A466:H466)=0,"",IF(OR(A466="",B466="",C466="",D466="",E466="",F466="",G466="",H466=""),"HATA: eksik bilgi",IF(COUNTIF(OdaListesi,A466)=0,"HATA: geçersiz oda no",IF(OR(NOT(ISNUMBER(D466)),NOT(ISNUMBER(E466))),"HATA: tarih geçersiz",IF(E466&lt;=D466,"HATA: çıkış girişten sonra olmalı",IF(OR(NOT(ISNUMBER(C466)),C466&lt;1,C466&gt;MaxKisi,C466&lt;&gt;INT(C466)),"HATA: kişi sayısı geçersiz",IF(OR(NOT(ISNUMBER(G466)),G466&lt;0),"HATA: tutar geçersiz",IF(B466&lt;&gt;TRIM(B466),"HATA: isimde baştaki/sondaki boşluk",IF(COUNTIF(KaynakAralik,H466)=0,"HATA: kaynak listede yok",IF(AND(F466&lt;&gt;"Bekleniyor",F466&lt;&gt;"Geldi",F466&lt;&gt;"İptal"),"HATA: giriş durumu geçersiz",IF(AND(F466&lt;&gt;"İptal",COUNTIFS($A$6:$A$1005,A466,$D$6:$D$1005,"&lt;"&amp;E466,$E$6:$E$1005,"&gt;"&amp;D466,$F$6:$F$1005,"&lt;&gt;İptal")&gt;1),"HATA: oda bu tarihlerde çakışıyor",IF(AND(F466="Bekleniyor",D466&lt;RaporTarihi),"HATA: giriş günü geçti, Geldi veya İptal yapın","OK"))))))))))))</f>
        <v/>
      </c>
      <c r="L466" s="25">
        <f>IF(AND(ISNUMBER(A466),F466&lt;&gt;"İptal",ISNUMBER(D466),ISNUMBER(E466),D466&lt;=RaporTarihi,E466&gt;RaporTarihi),A466,"")</f>
        <v/>
      </c>
    </row>
    <row r="467">
      <c r="A467" s="22" t="n"/>
      <c r="B467" s="22" t="n"/>
      <c r="C467" s="22" t="n"/>
      <c r="D467" s="23" t="n"/>
      <c r="E467" s="23" t="n"/>
      <c r="F467" s="22" t="n"/>
      <c r="G467" s="24" t="n"/>
      <c r="H467" s="22" t="n"/>
      <c r="I467" s="25">
        <f>IF(AND(ISNUMBER(D467),ISNUMBER(E467)),E467-D467,"")</f>
        <v/>
      </c>
      <c r="J467" s="26">
        <f>IF(AND(ISNUMBER(I467),ISNUMBER(G467)),IF(I467&gt;0,G467/I467,""),"")</f>
        <v/>
      </c>
      <c r="K467" s="25">
        <f>IF(COUNTA(A467:H467)=0,"",IF(OR(A467="",B467="",C467="",D467="",E467="",F467="",G467="",H467=""),"HATA: eksik bilgi",IF(COUNTIF(OdaListesi,A467)=0,"HATA: geçersiz oda no",IF(OR(NOT(ISNUMBER(D467)),NOT(ISNUMBER(E467))),"HATA: tarih geçersiz",IF(E467&lt;=D467,"HATA: çıkış girişten sonra olmalı",IF(OR(NOT(ISNUMBER(C467)),C467&lt;1,C467&gt;MaxKisi,C467&lt;&gt;INT(C467)),"HATA: kişi sayısı geçersiz",IF(OR(NOT(ISNUMBER(G467)),G467&lt;0),"HATA: tutar geçersiz",IF(B467&lt;&gt;TRIM(B467),"HATA: isimde baştaki/sondaki boşluk",IF(COUNTIF(KaynakAralik,H467)=0,"HATA: kaynak listede yok",IF(AND(F467&lt;&gt;"Bekleniyor",F467&lt;&gt;"Geldi",F467&lt;&gt;"İptal"),"HATA: giriş durumu geçersiz",IF(AND(F467&lt;&gt;"İptal",COUNTIFS($A$6:$A$1005,A467,$D$6:$D$1005,"&lt;"&amp;E467,$E$6:$E$1005,"&gt;"&amp;D467,$F$6:$F$1005,"&lt;&gt;İptal")&gt;1),"HATA: oda bu tarihlerde çakışıyor",IF(AND(F467="Bekleniyor",D467&lt;RaporTarihi),"HATA: giriş günü geçti, Geldi veya İptal yapın","OK"))))))))))))</f>
        <v/>
      </c>
      <c r="L467" s="25">
        <f>IF(AND(ISNUMBER(A467),F467&lt;&gt;"İptal",ISNUMBER(D467),ISNUMBER(E467),D467&lt;=RaporTarihi,E467&gt;RaporTarihi),A467,"")</f>
        <v/>
      </c>
    </row>
    <row r="468">
      <c r="A468" s="22" t="n"/>
      <c r="B468" s="22" t="n"/>
      <c r="C468" s="22" t="n"/>
      <c r="D468" s="23" t="n"/>
      <c r="E468" s="23" t="n"/>
      <c r="F468" s="22" t="n"/>
      <c r="G468" s="24" t="n"/>
      <c r="H468" s="22" t="n"/>
      <c r="I468" s="25">
        <f>IF(AND(ISNUMBER(D468),ISNUMBER(E468)),E468-D468,"")</f>
        <v/>
      </c>
      <c r="J468" s="26">
        <f>IF(AND(ISNUMBER(I468),ISNUMBER(G468)),IF(I468&gt;0,G468/I468,""),"")</f>
        <v/>
      </c>
      <c r="K468" s="25">
        <f>IF(COUNTA(A468:H468)=0,"",IF(OR(A468="",B468="",C468="",D468="",E468="",F468="",G468="",H468=""),"HATA: eksik bilgi",IF(COUNTIF(OdaListesi,A468)=0,"HATA: geçersiz oda no",IF(OR(NOT(ISNUMBER(D468)),NOT(ISNUMBER(E468))),"HATA: tarih geçersiz",IF(E468&lt;=D468,"HATA: çıkış girişten sonra olmalı",IF(OR(NOT(ISNUMBER(C468)),C468&lt;1,C468&gt;MaxKisi,C468&lt;&gt;INT(C468)),"HATA: kişi sayısı geçersiz",IF(OR(NOT(ISNUMBER(G468)),G468&lt;0),"HATA: tutar geçersiz",IF(B468&lt;&gt;TRIM(B468),"HATA: isimde baştaki/sondaki boşluk",IF(COUNTIF(KaynakAralik,H468)=0,"HATA: kaynak listede yok",IF(AND(F468&lt;&gt;"Bekleniyor",F468&lt;&gt;"Geldi",F468&lt;&gt;"İptal"),"HATA: giriş durumu geçersiz",IF(AND(F468&lt;&gt;"İptal",COUNTIFS($A$6:$A$1005,A468,$D$6:$D$1005,"&lt;"&amp;E468,$E$6:$E$1005,"&gt;"&amp;D468,$F$6:$F$1005,"&lt;&gt;İptal")&gt;1),"HATA: oda bu tarihlerde çakışıyor",IF(AND(F468="Bekleniyor",D468&lt;RaporTarihi),"HATA: giriş günü geçti, Geldi veya İptal yapın","OK"))))))))))))</f>
        <v/>
      </c>
      <c r="L468" s="25">
        <f>IF(AND(ISNUMBER(A468),F468&lt;&gt;"İptal",ISNUMBER(D468),ISNUMBER(E468),D468&lt;=RaporTarihi,E468&gt;RaporTarihi),A468,"")</f>
        <v/>
      </c>
    </row>
    <row r="469">
      <c r="A469" s="22" t="n"/>
      <c r="B469" s="22" t="n"/>
      <c r="C469" s="22" t="n"/>
      <c r="D469" s="23" t="n"/>
      <c r="E469" s="23" t="n"/>
      <c r="F469" s="22" t="n"/>
      <c r="G469" s="24" t="n"/>
      <c r="H469" s="22" t="n"/>
      <c r="I469" s="25">
        <f>IF(AND(ISNUMBER(D469),ISNUMBER(E469)),E469-D469,"")</f>
        <v/>
      </c>
      <c r="J469" s="26">
        <f>IF(AND(ISNUMBER(I469),ISNUMBER(G469)),IF(I469&gt;0,G469/I469,""),"")</f>
        <v/>
      </c>
      <c r="K469" s="25">
        <f>IF(COUNTA(A469:H469)=0,"",IF(OR(A469="",B469="",C469="",D469="",E469="",F469="",G469="",H469=""),"HATA: eksik bilgi",IF(COUNTIF(OdaListesi,A469)=0,"HATA: geçersiz oda no",IF(OR(NOT(ISNUMBER(D469)),NOT(ISNUMBER(E469))),"HATA: tarih geçersiz",IF(E469&lt;=D469,"HATA: çıkış girişten sonra olmalı",IF(OR(NOT(ISNUMBER(C469)),C469&lt;1,C469&gt;MaxKisi,C469&lt;&gt;INT(C469)),"HATA: kişi sayısı geçersiz",IF(OR(NOT(ISNUMBER(G469)),G469&lt;0),"HATA: tutar geçersiz",IF(B469&lt;&gt;TRIM(B469),"HATA: isimde baştaki/sondaki boşluk",IF(COUNTIF(KaynakAralik,H469)=0,"HATA: kaynak listede yok",IF(AND(F469&lt;&gt;"Bekleniyor",F469&lt;&gt;"Geldi",F469&lt;&gt;"İptal"),"HATA: giriş durumu geçersiz",IF(AND(F469&lt;&gt;"İptal",COUNTIFS($A$6:$A$1005,A469,$D$6:$D$1005,"&lt;"&amp;E469,$E$6:$E$1005,"&gt;"&amp;D469,$F$6:$F$1005,"&lt;&gt;İptal")&gt;1),"HATA: oda bu tarihlerde çakışıyor",IF(AND(F469="Bekleniyor",D469&lt;RaporTarihi),"HATA: giriş günü geçti, Geldi veya İptal yapın","OK"))))))))))))</f>
        <v/>
      </c>
      <c r="L469" s="25">
        <f>IF(AND(ISNUMBER(A469),F469&lt;&gt;"İptal",ISNUMBER(D469),ISNUMBER(E469),D469&lt;=RaporTarihi,E469&gt;RaporTarihi),A469,"")</f>
        <v/>
      </c>
    </row>
    <row r="470">
      <c r="A470" s="22" t="n"/>
      <c r="B470" s="22" t="n"/>
      <c r="C470" s="22" t="n"/>
      <c r="D470" s="23" t="n"/>
      <c r="E470" s="23" t="n"/>
      <c r="F470" s="22" t="n"/>
      <c r="G470" s="24" t="n"/>
      <c r="H470" s="22" t="n"/>
      <c r="I470" s="25">
        <f>IF(AND(ISNUMBER(D470),ISNUMBER(E470)),E470-D470,"")</f>
        <v/>
      </c>
      <c r="J470" s="26">
        <f>IF(AND(ISNUMBER(I470),ISNUMBER(G470)),IF(I470&gt;0,G470/I470,""),"")</f>
        <v/>
      </c>
      <c r="K470" s="25">
        <f>IF(COUNTA(A470:H470)=0,"",IF(OR(A470="",B470="",C470="",D470="",E470="",F470="",G470="",H470=""),"HATA: eksik bilgi",IF(COUNTIF(OdaListesi,A470)=0,"HATA: geçersiz oda no",IF(OR(NOT(ISNUMBER(D470)),NOT(ISNUMBER(E470))),"HATA: tarih geçersiz",IF(E470&lt;=D470,"HATA: çıkış girişten sonra olmalı",IF(OR(NOT(ISNUMBER(C470)),C470&lt;1,C470&gt;MaxKisi,C470&lt;&gt;INT(C470)),"HATA: kişi sayısı geçersiz",IF(OR(NOT(ISNUMBER(G470)),G470&lt;0),"HATA: tutar geçersiz",IF(B470&lt;&gt;TRIM(B470),"HATA: isimde baştaki/sondaki boşluk",IF(COUNTIF(KaynakAralik,H470)=0,"HATA: kaynak listede yok",IF(AND(F470&lt;&gt;"Bekleniyor",F470&lt;&gt;"Geldi",F470&lt;&gt;"İptal"),"HATA: giriş durumu geçersiz",IF(AND(F470&lt;&gt;"İptal",COUNTIFS($A$6:$A$1005,A470,$D$6:$D$1005,"&lt;"&amp;E470,$E$6:$E$1005,"&gt;"&amp;D470,$F$6:$F$1005,"&lt;&gt;İptal")&gt;1),"HATA: oda bu tarihlerde çakışıyor",IF(AND(F470="Bekleniyor",D470&lt;RaporTarihi),"HATA: giriş günü geçti, Geldi veya İptal yapın","OK"))))))))))))</f>
        <v/>
      </c>
      <c r="L470" s="25">
        <f>IF(AND(ISNUMBER(A470),F470&lt;&gt;"İptal",ISNUMBER(D470),ISNUMBER(E470),D470&lt;=RaporTarihi,E470&gt;RaporTarihi),A470,"")</f>
        <v/>
      </c>
    </row>
    <row r="471">
      <c r="A471" s="22" t="n"/>
      <c r="B471" s="22" t="n"/>
      <c r="C471" s="22" t="n"/>
      <c r="D471" s="23" t="n"/>
      <c r="E471" s="23" t="n"/>
      <c r="F471" s="22" t="n"/>
      <c r="G471" s="24" t="n"/>
      <c r="H471" s="22" t="n"/>
      <c r="I471" s="25">
        <f>IF(AND(ISNUMBER(D471),ISNUMBER(E471)),E471-D471,"")</f>
        <v/>
      </c>
      <c r="J471" s="26">
        <f>IF(AND(ISNUMBER(I471),ISNUMBER(G471)),IF(I471&gt;0,G471/I471,""),"")</f>
        <v/>
      </c>
      <c r="K471" s="25">
        <f>IF(COUNTA(A471:H471)=0,"",IF(OR(A471="",B471="",C471="",D471="",E471="",F471="",G471="",H471=""),"HATA: eksik bilgi",IF(COUNTIF(OdaListesi,A471)=0,"HATA: geçersiz oda no",IF(OR(NOT(ISNUMBER(D471)),NOT(ISNUMBER(E471))),"HATA: tarih geçersiz",IF(E471&lt;=D471,"HATA: çıkış girişten sonra olmalı",IF(OR(NOT(ISNUMBER(C471)),C471&lt;1,C471&gt;MaxKisi,C471&lt;&gt;INT(C471)),"HATA: kişi sayısı geçersiz",IF(OR(NOT(ISNUMBER(G471)),G471&lt;0),"HATA: tutar geçersiz",IF(B471&lt;&gt;TRIM(B471),"HATA: isimde baştaki/sondaki boşluk",IF(COUNTIF(KaynakAralik,H471)=0,"HATA: kaynak listede yok",IF(AND(F471&lt;&gt;"Bekleniyor",F471&lt;&gt;"Geldi",F471&lt;&gt;"İptal"),"HATA: giriş durumu geçersiz",IF(AND(F471&lt;&gt;"İptal",COUNTIFS($A$6:$A$1005,A471,$D$6:$D$1005,"&lt;"&amp;E471,$E$6:$E$1005,"&gt;"&amp;D471,$F$6:$F$1005,"&lt;&gt;İptal")&gt;1),"HATA: oda bu tarihlerde çakışıyor",IF(AND(F471="Bekleniyor",D471&lt;RaporTarihi),"HATA: giriş günü geçti, Geldi veya İptal yapın","OK"))))))))))))</f>
        <v/>
      </c>
      <c r="L471" s="25">
        <f>IF(AND(ISNUMBER(A471),F471&lt;&gt;"İptal",ISNUMBER(D471),ISNUMBER(E471),D471&lt;=RaporTarihi,E471&gt;RaporTarihi),A471,"")</f>
        <v/>
      </c>
    </row>
    <row r="472">
      <c r="A472" s="22" t="n"/>
      <c r="B472" s="22" t="n"/>
      <c r="C472" s="22" t="n"/>
      <c r="D472" s="23" t="n"/>
      <c r="E472" s="23" t="n"/>
      <c r="F472" s="22" t="n"/>
      <c r="G472" s="24" t="n"/>
      <c r="H472" s="22" t="n"/>
      <c r="I472" s="25">
        <f>IF(AND(ISNUMBER(D472),ISNUMBER(E472)),E472-D472,"")</f>
        <v/>
      </c>
      <c r="J472" s="26">
        <f>IF(AND(ISNUMBER(I472),ISNUMBER(G472)),IF(I472&gt;0,G472/I472,""),"")</f>
        <v/>
      </c>
      <c r="K472" s="25">
        <f>IF(COUNTA(A472:H472)=0,"",IF(OR(A472="",B472="",C472="",D472="",E472="",F472="",G472="",H472=""),"HATA: eksik bilgi",IF(COUNTIF(OdaListesi,A472)=0,"HATA: geçersiz oda no",IF(OR(NOT(ISNUMBER(D472)),NOT(ISNUMBER(E472))),"HATA: tarih geçersiz",IF(E472&lt;=D472,"HATA: çıkış girişten sonra olmalı",IF(OR(NOT(ISNUMBER(C472)),C472&lt;1,C472&gt;MaxKisi,C472&lt;&gt;INT(C472)),"HATA: kişi sayısı geçersiz",IF(OR(NOT(ISNUMBER(G472)),G472&lt;0),"HATA: tutar geçersiz",IF(B472&lt;&gt;TRIM(B472),"HATA: isimde baştaki/sondaki boşluk",IF(COUNTIF(KaynakAralik,H472)=0,"HATA: kaynak listede yok",IF(AND(F472&lt;&gt;"Bekleniyor",F472&lt;&gt;"Geldi",F472&lt;&gt;"İptal"),"HATA: giriş durumu geçersiz",IF(AND(F472&lt;&gt;"İptal",COUNTIFS($A$6:$A$1005,A472,$D$6:$D$1005,"&lt;"&amp;E472,$E$6:$E$1005,"&gt;"&amp;D472,$F$6:$F$1005,"&lt;&gt;İptal")&gt;1),"HATA: oda bu tarihlerde çakışıyor",IF(AND(F472="Bekleniyor",D472&lt;RaporTarihi),"HATA: giriş günü geçti, Geldi veya İptal yapın","OK"))))))))))))</f>
        <v/>
      </c>
      <c r="L472" s="25">
        <f>IF(AND(ISNUMBER(A472),F472&lt;&gt;"İptal",ISNUMBER(D472),ISNUMBER(E472),D472&lt;=RaporTarihi,E472&gt;RaporTarihi),A472,"")</f>
        <v/>
      </c>
    </row>
    <row r="473">
      <c r="A473" s="22" t="n"/>
      <c r="B473" s="22" t="n"/>
      <c r="C473" s="22" t="n"/>
      <c r="D473" s="23" t="n"/>
      <c r="E473" s="23" t="n"/>
      <c r="F473" s="22" t="n"/>
      <c r="G473" s="24" t="n"/>
      <c r="H473" s="22" t="n"/>
      <c r="I473" s="25">
        <f>IF(AND(ISNUMBER(D473),ISNUMBER(E473)),E473-D473,"")</f>
        <v/>
      </c>
      <c r="J473" s="26">
        <f>IF(AND(ISNUMBER(I473),ISNUMBER(G473)),IF(I473&gt;0,G473/I473,""),"")</f>
        <v/>
      </c>
      <c r="K473" s="25">
        <f>IF(COUNTA(A473:H473)=0,"",IF(OR(A473="",B473="",C473="",D473="",E473="",F473="",G473="",H473=""),"HATA: eksik bilgi",IF(COUNTIF(OdaListesi,A473)=0,"HATA: geçersiz oda no",IF(OR(NOT(ISNUMBER(D473)),NOT(ISNUMBER(E473))),"HATA: tarih geçersiz",IF(E473&lt;=D473,"HATA: çıkış girişten sonra olmalı",IF(OR(NOT(ISNUMBER(C473)),C473&lt;1,C473&gt;MaxKisi,C473&lt;&gt;INT(C473)),"HATA: kişi sayısı geçersiz",IF(OR(NOT(ISNUMBER(G473)),G473&lt;0),"HATA: tutar geçersiz",IF(B473&lt;&gt;TRIM(B473),"HATA: isimde baştaki/sondaki boşluk",IF(COUNTIF(KaynakAralik,H473)=0,"HATA: kaynak listede yok",IF(AND(F473&lt;&gt;"Bekleniyor",F473&lt;&gt;"Geldi",F473&lt;&gt;"İptal"),"HATA: giriş durumu geçersiz",IF(AND(F473&lt;&gt;"İptal",COUNTIFS($A$6:$A$1005,A473,$D$6:$D$1005,"&lt;"&amp;E473,$E$6:$E$1005,"&gt;"&amp;D473,$F$6:$F$1005,"&lt;&gt;İptal")&gt;1),"HATA: oda bu tarihlerde çakışıyor",IF(AND(F473="Bekleniyor",D473&lt;RaporTarihi),"HATA: giriş günü geçti, Geldi veya İptal yapın","OK"))))))))))))</f>
        <v/>
      </c>
      <c r="L473" s="25">
        <f>IF(AND(ISNUMBER(A473),F473&lt;&gt;"İptal",ISNUMBER(D473),ISNUMBER(E473),D473&lt;=RaporTarihi,E473&gt;RaporTarihi),A473,"")</f>
        <v/>
      </c>
    </row>
    <row r="474">
      <c r="A474" s="22" t="n"/>
      <c r="B474" s="22" t="n"/>
      <c r="C474" s="22" t="n"/>
      <c r="D474" s="23" t="n"/>
      <c r="E474" s="23" t="n"/>
      <c r="F474" s="22" t="n"/>
      <c r="G474" s="24" t="n"/>
      <c r="H474" s="22" t="n"/>
      <c r="I474" s="25">
        <f>IF(AND(ISNUMBER(D474),ISNUMBER(E474)),E474-D474,"")</f>
        <v/>
      </c>
      <c r="J474" s="26">
        <f>IF(AND(ISNUMBER(I474),ISNUMBER(G474)),IF(I474&gt;0,G474/I474,""),"")</f>
        <v/>
      </c>
      <c r="K474" s="25">
        <f>IF(COUNTA(A474:H474)=0,"",IF(OR(A474="",B474="",C474="",D474="",E474="",F474="",G474="",H474=""),"HATA: eksik bilgi",IF(COUNTIF(OdaListesi,A474)=0,"HATA: geçersiz oda no",IF(OR(NOT(ISNUMBER(D474)),NOT(ISNUMBER(E474))),"HATA: tarih geçersiz",IF(E474&lt;=D474,"HATA: çıkış girişten sonra olmalı",IF(OR(NOT(ISNUMBER(C474)),C474&lt;1,C474&gt;MaxKisi,C474&lt;&gt;INT(C474)),"HATA: kişi sayısı geçersiz",IF(OR(NOT(ISNUMBER(G474)),G474&lt;0),"HATA: tutar geçersiz",IF(B474&lt;&gt;TRIM(B474),"HATA: isimde baştaki/sondaki boşluk",IF(COUNTIF(KaynakAralik,H474)=0,"HATA: kaynak listede yok",IF(AND(F474&lt;&gt;"Bekleniyor",F474&lt;&gt;"Geldi",F474&lt;&gt;"İptal"),"HATA: giriş durumu geçersiz",IF(AND(F474&lt;&gt;"İptal",COUNTIFS($A$6:$A$1005,A474,$D$6:$D$1005,"&lt;"&amp;E474,$E$6:$E$1005,"&gt;"&amp;D474,$F$6:$F$1005,"&lt;&gt;İptal")&gt;1),"HATA: oda bu tarihlerde çakışıyor",IF(AND(F474="Bekleniyor",D474&lt;RaporTarihi),"HATA: giriş günü geçti, Geldi veya İptal yapın","OK"))))))))))))</f>
        <v/>
      </c>
      <c r="L474" s="25">
        <f>IF(AND(ISNUMBER(A474),F474&lt;&gt;"İptal",ISNUMBER(D474),ISNUMBER(E474),D474&lt;=RaporTarihi,E474&gt;RaporTarihi),A474,"")</f>
        <v/>
      </c>
    </row>
    <row r="475">
      <c r="A475" s="22" t="n"/>
      <c r="B475" s="22" t="n"/>
      <c r="C475" s="22" t="n"/>
      <c r="D475" s="23" t="n"/>
      <c r="E475" s="23" t="n"/>
      <c r="F475" s="22" t="n"/>
      <c r="G475" s="24" t="n"/>
      <c r="H475" s="22" t="n"/>
      <c r="I475" s="25">
        <f>IF(AND(ISNUMBER(D475),ISNUMBER(E475)),E475-D475,"")</f>
        <v/>
      </c>
      <c r="J475" s="26">
        <f>IF(AND(ISNUMBER(I475),ISNUMBER(G475)),IF(I475&gt;0,G475/I475,""),"")</f>
        <v/>
      </c>
      <c r="K475" s="25">
        <f>IF(COUNTA(A475:H475)=0,"",IF(OR(A475="",B475="",C475="",D475="",E475="",F475="",G475="",H475=""),"HATA: eksik bilgi",IF(COUNTIF(OdaListesi,A475)=0,"HATA: geçersiz oda no",IF(OR(NOT(ISNUMBER(D475)),NOT(ISNUMBER(E475))),"HATA: tarih geçersiz",IF(E475&lt;=D475,"HATA: çıkış girişten sonra olmalı",IF(OR(NOT(ISNUMBER(C475)),C475&lt;1,C475&gt;MaxKisi,C475&lt;&gt;INT(C475)),"HATA: kişi sayısı geçersiz",IF(OR(NOT(ISNUMBER(G475)),G475&lt;0),"HATA: tutar geçersiz",IF(B475&lt;&gt;TRIM(B475),"HATA: isimde baştaki/sondaki boşluk",IF(COUNTIF(KaynakAralik,H475)=0,"HATA: kaynak listede yok",IF(AND(F475&lt;&gt;"Bekleniyor",F475&lt;&gt;"Geldi",F475&lt;&gt;"İptal"),"HATA: giriş durumu geçersiz",IF(AND(F475&lt;&gt;"İptal",COUNTIFS($A$6:$A$1005,A475,$D$6:$D$1005,"&lt;"&amp;E475,$E$6:$E$1005,"&gt;"&amp;D475,$F$6:$F$1005,"&lt;&gt;İptal")&gt;1),"HATA: oda bu tarihlerde çakışıyor",IF(AND(F475="Bekleniyor",D475&lt;RaporTarihi),"HATA: giriş günü geçti, Geldi veya İptal yapın","OK"))))))))))))</f>
        <v/>
      </c>
      <c r="L475" s="25">
        <f>IF(AND(ISNUMBER(A475),F475&lt;&gt;"İptal",ISNUMBER(D475),ISNUMBER(E475),D475&lt;=RaporTarihi,E475&gt;RaporTarihi),A475,"")</f>
        <v/>
      </c>
    </row>
    <row r="476">
      <c r="A476" s="22" t="n"/>
      <c r="B476" s="22" t="n"/>
      <c r="C476" s="22" t="n"/>
      <c r="D476" s="23" t="n"/>
      <c r="E476" s="23" t="n"/>
      <c r="F476" s="22" t="n"/>
      <c r="G476" s="24" t="n"/>
      <c r="H476" s="22" t="n"/>
      <c r="I476" s="25">
        <f>IF(AND(ISNUMBER(D476),ISNUMBER(E476)),E476-D476,"")</f>
        <v/>
      </c>
      <c r="J476" s="26">
        <f>IF(AND(ISNUMBER(I476),ISNUMBER(G476)),IF(I476&gt;0,G476/I476,""),"")</f>
        <v/>
      </c>
      <c r="K476" s="25">
        <f>IF(COUNTA(A476:H476)=0,"",IF(OR(A476="",B476="",C476="",D476="",E476="",F476="",G476="",H476=""),"HATA: eksik bilgi",IF(COUNTIF(OdaListesi,A476)=0,"HATA: geçersiz oda no",IF(OR(NOT(ISNUMBER(D476)),NOT(ISNUMBER(E476))),"HATA: tarih geçersiz",IF(E476&lt;=D476,"HATA: çıkış girişten sonra olmalı",IF(OR(NOT(ISNUMBER(C476)),C476&lt;1,C476&gt;MaxKisi,C476&lt;&gt;INT(C476)),"HATA: kişi sayısı geçersiz",IF(OR(NOT(ISNUMBER(G476)),G476&lt;0),"HATA: tutar geçersiz",IF(B476&lt;&gt;TRIM(B476),"HATA: isimde baştaki/sondaki boşluk",IF(COUNTIF(KaynakAralik,H476)=0,"HATA: kaynak listede yok",IF(AND(F476&lt;&gt;"Bekleniyor",F476&lt;&gt;"Geldi",F476&lt;&gt;"İptal"),"HATA: giriş durumu geçersiz",IF(AND(F476&lt;&gt;"İptal",COUNTIFS($A$6:$A$1005,A476,$D$6:$D$1005,"&lt;"&amp;E476,$E$6:$E$1005,"&gt;"&amp;D476,$F$6:$F$1005,"&lt;&gt;İptal")&gt;1),"HATA: oda bu tarihlerde çakışıyor",IF(AND(F476="Bekleniyor",D476&lt;RaporTarihi),"HATA: giriş günü geçti, Geldi veya İptal yapın","OK"))))))))))))</f>
        <v/>
      </c>
      <c r="L476" s="25">
        <f>IF(AND(ISNUMBER(A476),F476&lt;&gt;"İptal",ISNUMBER(D476),ISNUMBER(E476),D476&lt;=RaporTarihi,E476&gt;RaporTarihi),A476,"")</f>
        <v/>
      </c>
    </row>
    <row r="477">
      <c r="A477" s="22" t="n"/>
      <c r="B477" s="22" t="n"/>
      <c r="C477" s="22" t="n"/>
      <c r="D477" s="23" t="n"/>
      <c r="E477" s="23" t="n"/>
      <c r="F477" s="22" t="n"/>
      <c r="G477" s="24" t="n"/>
      <c r="H477" s="22" t="n"/>
      <c r="I477" s="25">
        <f>IF(AND(ISNUMBER(D477),ISNUMBER(E477)),E477-D477,"")</f>
        <v/>
      </c>
      <c r="J477" s="26">
        <f>IF(AND(ISNUMBER(I477),ISNUMBER(G477)),IF(I477&gt;0,G477/I477,""),"")</f>
        <v/>
      </c>
      <c r="K477" s="25">
        <f>IF(COUNTA(A477:H477)=0,"",IF(OR(A477="",B477="",C477="",D477="",E477="",F477="",G477="",H477=""),"HATA: eksik bilgi",IF(COUNTIF(OdaListesi,A477)=0,"HATA: geçersiz oda no",IF(OR(NOT(ISNUMBER(D477)),NOT(ISNUMBER(E477))),"HATA: tarih geçersiz",IF(E477&lt;=D477,"HATA: çıkış girişten sonra olmalı",IF(OR(NOT(ISNUMBER(C477)),C477&lt;1,C477&gt;MaxKisi,C477&lt;&gt;INT(C477)),"HATA: kişi sayısı geçersiz",IF(OR(NOT(ISNUMBER(G477)),G477&lt;0),"HATA: tutar geçersiz",IF(B477&lt;&gt;TRIM(B477),"HATA: isimde baştaki/sondaki boşluk",IF(COUNTIF(KaynakAralik,H477)=0,"HATA: kaynak listede yok",IF(AND(F477&lt;&gt;"Bekleniyor",F477&lt;&gt;"Geldi",F477&lt;&gt;"İptal"),"HATA: giriş durumu geçersiz",IF(AND(F477&lt;&gt;"İptal",COUNTIFS($A$6:$A$1005,A477,$D$6:$D$1005,"&lt;"&amp;E477,$E$6:$E$1005,"&gt;"&amp;D477,$F$6:$F$1005,"&lt;&gt;İptal")&gt;1),"HATA: oda bu tarihlerde çakışıyor",IF(AND(F477="Bekleniyor",D477&lt;RaporTarihi),"HATA: giriş günü geçti, Geldi veya İptal yapın","OK"))))))))))))</f>
        <v/>
      </c>
      <c r="L477" s="25">
        <f>IF(AND(ISNUMBER(A477),F477&lt;&gt;"İptal",ISNUMBER(D477),ISNUMBER(E477),D477&lt;=RaporTarihi,E477&gt;RaporTarihi),A477,"")</f>
        <v/>
      </c>
    </row>
    <row r="478">
      <c r="A478" s="22" t="n"/>
      <c r="B478" s="22" t="n"/>
      <c r="C478" s="22" t="n"/>
      <c r="D478" s="23" t="n"/>
      <c r="E478" s="23" t="n"/>
      <c r="F478" s="22" t="n"/>
      <c r="G478" s="24" t="n"/>
      <c r="H478" s="22" t="n"/>
      <c r="I478" s="25">
        <f>IF(AND(ISNUMBER(D478),ISNUMBER(E478)),E478-D478,"")</f>
        <v/>
      </c>
      <c r="J478" s="26">
        <f>IF(AND(ISNUMBER(I478),ISNUMBER(G478)),IF(I478&gt;0,G478/I478,""),"")</f>
        <v/>
      </c>
      <c r="K478" s="25">
        <f>IF(COUNTA(A478:H478)=0,"",IF(OR(A478="",B478="",C478="",D478="",E478="",F478="",G478="",H478=""),"HATA: eksik bilgi",IF(COUNTIF(OdaListesi,A478)=0,"HATA: geçersiz oda no",IF(OR(NOT(ISNUMBER(D478)),NOT(ISNUMBER(E478))),"HATA: tarih geçersiz",IF(E478&lt;=D478,"HATA: çıkış girişten sonra olmalı",IF(OR(NOT(ISNUMBER(C478)),C478&lt;1,C478&gt;MaxKisi,C478&lt;&gt;INT(C478)),"HATA: kişi sayısı geçersiz",IF(OR(NOT(ISNUMBER(G478)),G478&lt;0),"HATA: tutar geçersiz",IF(B478&lt;&gt;TRIM(B478),"HATA: isimde baştaki/sondaki boşluk",IF(COUNTIF(KaynakAralik,H478)=0,"HATA: kaynak listede yok",IF(AND(F478&lt;&gt;"Bekleniyor",F478&lt;&gt;"Geldi",F478&lt;&gt;"İptal"),"HATA: giriş durumu geçersiz",IF(AND(F478&lt;&gt;"İptal",COUNTIFS($A$6:$A$1005,A478,$D$6:$D$1005,"&lt;"&amp;E478,$E$6:$E$1005,"&gt;"&amp;D478,$F$6:$F$1005,"&lt;&gt;İptal")&gt;1),"HATA: oda bu tarihlerde çakışıyor",IF(AND(F478="Bekleniyor",D478&lt;RaporTarihi),"HATA: giriş günü geçti, Geldi veya İptal yapın","OK"))))))))))))</f>
        <v/>
      </c>
      <c r="L478" s="25">
        <f>IF(AND(ISNUMBER(A478),F478&lt;&gt;"İptal",ISNUMBER(D478),ISNUMBER(E478),D478&lt;=RaporTarihi,E478&gt;RaporTarihi),A478,"")</f>
        <v/>
      </c>
    </row>
    <row r="479">
      <c r="A479" s="22" t="n"/>
      <c r="B479" s="22" t="n"/>
      <c r="C479" s="22" t="n"/>
      <c r="D479" s="23" t="n"/>
      <c r="E479" s="23" t="n"/>
      <c r="F479" s="22" t="n"/>
      <c r="G479" s="24" t="n"/>
      <c r="H479" s="22" t="n"/>
      <c r="I479" s="25">
        <f>IF(AND(ISNUMBER(D479),ISNUMBER(E479)),E479-D479,"")</f>
        <v/>
      </c>
      <c r="J479" s="26">
        <f>IF(AND(ISNUMBER(I479),ISNUMBER(G479)),IF(I479&gt;0,G479/I479,""),"")</f>
        <v/>
      </c>
      <c r="K479" s="25">
        <f>IF(COUNTA(A479:H479)=0,"",IF(OR(A479="",B479="",C479="",D479="",E479="",F479="",G479="",H479=""),"HATA: eksik bilgi",IF(COUNTIF(OdaListesi,A479)=0,"HATA: geçersiz oda no",IF(OR(NOT(ISNUMBER(D479)),NOT(ISNUMBER(E479))),"HATA: tarih geçersiz",IF(E479&lt;=D479,"HATA: çıkış girişten sonra olmalı",IF(OR(NOT(ISNUMBER(C479)),C479&lt;1,C479&gt;MaxKisi,C479&lt;&gt;INT(C479)),"HATA: kişi sayısı geçersiz",IF(OR(NOT(ISNUMBER(G479)),G479&lt;0),"HATA: tutar geçersiz",IF(B479&lt;&gt;TRIM(B479),"HATA: isimde baştaki/sondaki boşluk",IF(COUNTIF(KaynakAralik,H479)=0,"HATA: kaynak listede yok",IF(AND(F479&lt;&gt;"Bekleniyor",F479&lt;&gt;"Geldi",F479&lt;&gt;"İptal"),"HATA: giriş durumu geçersiz",IF(AND(F479&lt;&gt;"İptal",COUNTIFS($A$6:$A$1005,A479,$D$6:$D$1005,"&lt;"&amp;E479,$E$6:$E$1005,"&gt;"&amp;D479,$F$6:$F$1005,"&lt;&gt;İptal")&gt;1),"HATA: oda bu tarihlerde çakışıyor",IF(AND(F479="Bekleniyor",D479&lt;RaporTarihi),"HATA: giriş günü geçti, Geldi veya İptal yapın","OK"))))))))))))</f>
        <v/>
      </c>
      <c r="L479" s="25">
        <f>IF(AND(ISNUMBER(A479),F479&lt;&gt;"İptal",ISNUMBER(D479),ISNUMBER(E479),D479&lt;=RaporTarihi,E479&gt;RaporTarihi),A479,"")</f>
        <v/>
      </c>
    </row>
    <row r="480">
      <c r="A480" s="22" t="n"/>
      <c r="B480" s="22" t="n"/>
      <c r="C480" s="22" t="n"/>
      <c r="D480" s="23" t="n"/>
      <c r="E480" s="23" t="n"/>
      <c r="F480" s="22" t="n"/>
      <c r="G480" s="24" t="n"/>
      <c r="H480" s="22" t="n"/>
      <c r="I480" s="25">
        <f>IF(AND(ISNUMBER(D480),ISNUMBER(E480)),E480-D480,"")</f>
        <v/>
      </c>
      <c r="J480" s="26">
        <f>IF(AND(ISNUMBER(I480),ISNUMBER(G480)),IF(I480&gt;0,G480/I480,""),"")</f>
        <v/>
      </c>
      <c r="K480" s="25">
        <f>IF(COUNTA(A480:H480)=0,"",IF(OR(A480="",B480="",C480="",D480="",E480="",F480="",G480="",H480=""),"HATA: eksik bilgi",IF(COUNTIF(OdaListesi,A480)=0,"HATA: geçersiz oda no",IF(OR(NOT(ISNUMBER(D480)),NOT(ISNUMBER(E480))),"HATA: tarih geçersiz",IF(E480&lt;=D480,"HATA: çıkış girişten sonra olmalı",IF(OR(NOT(ISNUMBER(C480)),C480&lt;1,C480&gt;MaxKisi,C480&lt;&gt;INT(C480)),"HATA: kişi sayısı geçersiz",IF(OR(NOT(ISNUMBER(G480)),G480&lt;0),"HATA: tutar geçersiz",IF(B480&lt;&gt;TRIM(B480),"HATA: isimde baştaki/sondaki boşluk",IF(COUNTIF(KaynakAralik,H480)=0,"HATA: kaynak listede yok",IF(AND(F480&lt;&gt;"Bekleniyor",F480&lt;&gt;"Geldi",F480&lt;&gt;"İptal"),"HATA: giriş durumu geçersiz",IF(AND(F480&lt;&gt;"İptal",COUNTIFS($A$6:$A$1005,A480,$D$6:$D$1005,"&lt;"&amp;E480,$E$6:$E$1005,"&gt;"&amp;D480,$F$6:$F$1005,"&lt;&gt;İptal")&gt;1),"HATA: oda bu tarihlerde çakışıyor",IF(AND(F480="Bekleniyor",D480&lt;RaporTarihi),"HATA: giriş günü geçti, Geldi veya İptal yapın","OK"))))))))))))</f>
        <v/>
      </c>
      <c r="L480" s="25">
        <f>IF(AND(ISNUMBER(A480),F480&lt;&gt;"İptal",ISNUMBER(D480),ISNUMBER(E480),D480&lt;=RaporTarihi,E480&gt;RaporTarihi),A480,"")</f>
        <v/>
      </c>
    </row>
    <row r="481">
      <c r="A481" s="22" t="n"/>
      <c r="B481" s="22" t="n"/>
      <c r="C481" s="22" t="n"/>
      <c r="D481" s="23" t="n"/>
      <c r="E481" s="23" t="n"/>
      <c r="F481" s="22" t="n"/>
      <c r="G481" s="24" t="n"/>
      <c r="H481" s="22" t="n"/>
      <c r="I481" s="25">
        <f>IF(AND(ISNUMBER(D481),ISNUMBER(E481)),E481-D481,"")</f>
        <v/>
      </c>
      <c r="J481" s="26">
        <f>IF(AND(ISNUMBER(I481),ISNUMBER(G481)),IF(I481&gt;0,G481/I481,""),"")</f>
        <v/>
      </c>
      <c r="K481" s="25">
        <f>IF(COUNTA(A481:H481)=0,"",IF(OR(A481="",B481="",C481="",D481="",E481="",F481="",G481="",H481=""),"HATA: eksik bilgi",IF(COUNTIF(OdaListesi,A481)=0,"HATA: geçersiz oda no",IF(OR(NOT(ISNUMBER(D481)),NOT(ISNUMBER(E481))),"HATA: tarih geçersiz",IF(E481&lt;=D481,"HATA: çıkış girişten sonra olmalı",IF(OR(NOT(ISNUMBER(C481)),C481&lt;1,C481&gt;MaxKisi,C481&lt;&gt;INT(C481)),"HATA: kişi sayısı geçersiz",IF(OR(NOT(ISNUMBER(G481)),G481&lt;0),"HATA: tutar geçersiz",IF(B481&lt;&gt;TRIM(B481),"HATA: isimde baştaki/sondaki boşluk",IF(COUNTIF(KaynakAralik,H481)=0,"HATA: kaynak listede yok",IF(AND(F481&lt;&gt;"Bekleniyor",F481&lt;&gt;"Geldi",F481&lt;&gt;"İptal"),"HATA: giriş durumu geçersiz",IF(AND(F481&lt;&gt;"İptal",COUNTIFS($A$6:$A$1005,A481,$D$6:$D$1005,"&lt;"&amp;E481,$E$6:$E$1005,"&gt;"&amp;D481,$F$6:$F$1005,"&lt;&gt;İptal")&gt;1),"HATA: oda bu tarihlerde çakışıyor",IF(AND(F481="Bekleniyor",D481&lt;RaporTarihi),"HATA: giriş günü geçti, Geldi veya İptal yapın","OK"))))))))))))</f>
        <v/>
      </c>
      <c r="L481" s="25">
        <f>IF(AND(ISNUMBER(A481),F481&lt;&gt;"İptal",ISNUMBER(D481),ISNUMBER(E481),D481&lt;=RaporTarihi,E481&gt;RaporTarihi),A481,"")</f>
        <v/>
      </c>
    </row>
    <row r="482">
      <c r="A482" s="22" t="n"/>
      <c r="B482" s="22" t="n"/>
      <c r="C482" s="22" t="n"/>
      <c r="D482" s="23" t="n"/>
      <c r="E482" s="23" t="n"/>
      <c r="F482" s="22" t="n"/>
      <c r="G482" s="24" t="n"/>
      <c r="H482" s="22" t="n"/>
      <c r="I482" s="25">
        <f>IF(AND(ISNUMBER(D482),ISNUMBER(E482)),E482-D482,"")</f>
        <v/>
      </c>
      <c r="J482" s="26">
        <f>IF(AND(ISNUMBER(I482),ISNUMBER(G482)),IF(I482&gt;0,G482/I482,""),"")</f>
        <v/>
      </c>
      <c r="K482" s="25">
        <f>IF(COUNTA(A482:H482)=0,"",IF(OR(A482="",B482="",C482="",D482="",E482="",F482="",G482="",H482=""),"HATA: eksik bilgi",IF(COUNTIF(OdaListesi,A482)=0,"HATA: geçersiz oda no",IF(OR(NOT(ISNUMBER(D482)),NOT(ISNUMBER(E482))),"HATA: tarih geçersiz",IF(E482&lt;=D482,"HATA: çıkış girişten sonra olmalı",IF(OR(NOT(ISNUMBER(C482)),C482&lt;1,C482&gt;MaxKisi,C482&lt;&gt;INT(C482)),"HATA: kişi sayısı geçersiz",IF(OR(NOT(ISNUMBER(G482)),G482&lt;0),"HATA: tutar geçersiz",IF(B482&lt;&gt;TRIM(B482),"HATA: isimde baştaki/sondaki boşluk",IF(COUNTIF(KaynakAralik,H482)=0,"HATA: kaynak listede yok",IF(AND(F482&lt;&gt;"Bekleniyor",F482&lt;&gt;"Geldi",F482&lt;&gt;"İptal"),"HATA: giriş durumu geçersiz",IF(AND(F482&lt;&gt;"İptal",COUNTIFS($A$6:$A$1005,A482,$D$6:$D$1005,"&lt;"&amp;E482,$E$6:$E$1005,"&gt;"&amp;D482,$F$6:$F$1005,"&lt;&gt;İptal")&gt;1),"HATA: oda bu tarihlerde çakışıyor",IF(AND(F482="Bekleniyor",D482&lt;RaporTarihi),"HATA: giriş günü geçti, Geldi veya İptal yapın","OK"))))))))))))</f>
        <v/>
      </c>
      <c r="L482" s="25">
        <f>IF(AND(ISNUMBER(A482),F482&lt;&gt;"İptal",ISNUMBER(D482),ISNUMBER(E482),D482&lt;=RaporTarihi,E482&gt;RaporTarihi),A482,"")</f>
        <v/>
      </c>
    </row>
    <row r="483">
      <c r="A483" s="22" t="n"/>
      <c r="B483" s="22" t="n"/>
      <c r="C483" s="22" t="n"/>
      <c r="D483" s="23" t="n"/>
      <c r="E483" s="23" t="n"/>
      <c r="F483" s="22" t="n"/>
      <c r="G483" s="24" t="n"/>
      <c r="H483" s="22" t="n"/>
      <c r="I483" s="25">
        <f>IF(AND(ISNUMBER(D483),ISNUMBER(E483)),E483-D483,"")</f>
        <v/>
      </c>
      <c r="J483" s="26">
        <f>IF(AND(ISNUMBER(I483),ISNUMBER(G483)),IF(I483&gt;0,G483/I483,""),"")</f>
        <v/>
      </c>
      <c r="K483" s="25">
        <f>IF(COUNTA(A483:H483)=0,"",IF(OR(A483="",B483="",C483="",D483="",E483="",F483="",G483="",H483=""),"HATA: eksik bilgi",IF(COUNTIF(OdaListesi,A483)=0,"HATA: geçersiz oda no",IF(OR(NOT(ISNUMBER(D483)),NOT(ISNUMBER(E483))),"HATA: tarih geçersiz",IF(E483&lt;=D483,"HATA: çıkış girişten sonra olmalı",IF(OR(NOT(ISNUMBER(C483)),C483&lt;1,C483&gt;MaxKisi,C483&lt;&gt;INT(C483)),"HATA: kişi sayısı geçersiz",IF(OR(NOT(ISNUMBER(G483)),G483&lt;0),"HATA: tutar geçersiz",IF(B483&lt;&gt;TRIM(B483),"HATA: isimde baştaki/sondaki boşluk",IF(COUNTIF(KaynakAralik,H483)=0,"HATA: kaynak listede yok",IF(AND(F483&lt;&gt;"Bekleniyor",F483&lt;&gt;"Geldi",F483&lt;&gt;"İptal"),"HATA: giriş durumu geçersiz",IF(AND(F483&lt;&gt;"İptal",COUNTIFS($A$6:$A$1005,A483,$D$6:$D$1005,"&lt;"&amp;E483,$E$6:$E$1005,"&gt;"&amp;D483,$F$6:$F$1005,"&lt;&gt;İptal")&gt;1),"HATA: oda bu tarihlerde çakışıyor",IF(AND(F483="Bekleniyor",D483&lt;RaporTarihi),"HATA: giriş günü geçti, Geldi veya İptal yapın","OK"))))))))))))</f>
        <v/>
      </c>
      <c r="L483" s="25">
        <f>IF(AND(ISNUMBER(A483),F483&lt;&gt;"İptal",ISNUMBER(D483),ISNUMBER(E483),D483&lt;=RaporTarihi,E483&gt;RaporTarihi),A483,"")</f>
        <v/>
      </c>
    </row>
    <row r="484">
      <c r="A484" s="22" t="n"/>
      <c r="B484" s="22" t="n"/>
      <c r="C484" s="22" t="n"/>
      <c r="D484" s="23" t="n"/>
      <c r="E484" s="23" t="n"/>
      <c r="F484" s="22" t="n"/>
      <c r="G484" s="24" t="n"/>
      <c r="H484" s="22" t="n"/>
      <c r="I484" s="25">
        <f>IF(AND(ISNUMBER(D484),ISNUMBER(E484)),E484-D484,"")</f>
        <v/>
      </c>
      <c r="J484" s="26">
        <f>IF(AND(ISNUMBER(I484),ISNUMBER(G484)),IF(I484&gt;0,G484/I484,""),"")</f>
        <v/>
      </c>
      <c r="K484" s="25">
        <f>IF(COUNTA(A484:H484)=0,"",IF(OR(A484="",B484="",C484="",D484="",E484="",F484="",G484="",H484=""),"HATA: eksik bilgi",IF(COUNTIF(OdaListesi,A484)=0,"HATA: geçersiz oda no",IF(OR(NOT(ISNUMBER(D484)),NOT(ISNUMBER(E484))),"HATA: tarih geçersiz",IF(E484&lt;=D484,"HATA: çıkış girişten sonra olmalı",IF(OR(NOT(ISNUMBER(C484)),C484&lt;1,C484&gt;MaxKisi,C484&lt;&gt;INT(C484)),"HATA: kişi sayısı geçersiz",IF(OR(NOT(ISNUMBER(G484)),G484&lt;0),"HATA: tutar geçersiz",IF(B484&lt;&gt;TRIM(B484),"HATA: isimde baştaki/sondaki boşluk",IF(COUNTIF(KaynakAralik,H484)=0,"HATA: kaynak listede yok",IF(AND(F484&lt;&gt;"Bekleniyor",F484&lt;&gt;"Geldi",F484&lt;&gt;"İptal"),"HATA: giriş durumu geçersiz",IF(AND(F484&lt;&gt;"İptal",COUNTIFS($A$6:$A$1005,A484,$D$6:$D$1005,"&lt;"&amp;E484,$E$6:$E$1005,"&gt;"&amp;D484,$F$6:$F$1005,"&lt;&gt;İptal")&gt;1),"HATA: oda bu tarihlerde çakışıyor",IF(AND(F484="Bekleniyor",D484&lt;RaporTarihi),"HATA: giriş günü geçti, Geldi veya İptal yapın","OK"))))))))))))</f>
        <v/>
      </c>
      <c r="L484" s="25">
        <f>IF(AND(ISNUMBER(A484),F484&lt;&gt;"İptal",ISNUMBER(D484),ISNUMBER(E484),D484&lt;=RaporTarihi,E484&gt;RaporTarihi),A484,"")</f>
        <v/>
      </c>
    </row>
    <row r="485">
      <c r="A485" s="22" t="n"/>
      <c r="B485" s="22" t="n"/>
      <c r="C485" s="22" t="n"/>
      <c r="D485" s="23" t="n"/>
      <c r="E485" s="23" t="n"/>
      <c r="F485" s="22" t="n"/>
      <c r="G485" s="24" t="n"/>
      <c r="H485" s="22" t="n"/>
      <c r="I485" s="25">
        <f>IF(AND(ISNUMBER(D485),ISNUMBER(E485)),E485-D485,"")</f>
        <v/>
      </c>
      <c r="J485" s="26">
        <f>IF(AND(ISNUMBER(I485),ISNUMBER(G485)),IF(I485&gt;0,G485/I485,""),"")</f>
        <v/>
      </c>
      <c r="K485" s="25">
        <f>IF(COUNTA(A485:H485)=0,"",IF(OR(A485="",B485="",C485="",D485="",E485="",F485="",G485="",H485=""),"HATA: eksik bilgi",IF(COUNTIF(OdaListesi,A485)=0,"HATA: geçersiz oda no",IF(OR(NOT(ISNUMBER(D485)),NOT(ISNUMBER(E485))),"HATA: tarih geçersiz",IF(E485&lt;=D485,"HATA: çıkış girişten sonra olmalı",IF(OR(NOT(ISNUMBER(C485)),C485&lt;1,C485&gt;MaxKisi,C485&lt;&gt;INT(C485)),"HATA: kişi sayısı geçersiz",IF(OR(NOT(ISNUMBER(G485)),G485&lt;0),"HATA: tutar geçersiz",IF(B485&lt;&gt;TRIM(B485),"HATA: isimde baştaki/sondaki boşluk",IF(COUNTIF(KaynakAralik,H485)=0,"HATA: kaynak listede yok",IF(AND(F485&lt;&gt;"Bekleniyor",F485&lt;&gt;"Geldi",F485&lt;&gt;"İptal"),"HATA: giriş durumu geçersiz",IF(AND(F485&lt;&gt;"İptal",COUNTIFS($A$6:$A$1005,A485,$D$6:$D$1005,"&lt;"&amp;E485,$E$6:$E$1005,"&gt;"&amp;D485,$F$6:$F$1005,"&lt;&gt;İptal")&gt;1),"HATA: oda bu tarihlerde çakışıyor",IF(AND(F485="Bekleniyor",D485&lt;RaporTarihi),"HATA: giriş günü geçti, Geldi veya İptal yapın","OK"))))))))))))</f>
        <v/>
      </c>
      <c r="L485" s="25">
        <f>IF(AND(ISNUMBER(A485),F485&lt;&gt;"İptal",ISNUMBER(D485),ISNUMBER(E485),D485&lt;=RaporTarihi,E485&gt;RaporTarihi),A485,"")</f>
        <v/>
      </c>
    </row>
    <row r="486">
      <c r="A486" s="22" t="n"/>
      <c r="B486" s="22" t="n"/>
      <c r="C486" s="22" t="n"/>
      <c r="D486" s="23" t="n"/>
      <c r="E486" s="23" t="n"/>
      <c r="F486" s="22" t="n"/>
      <c r="G486" s="24" t="n"/>
      <c r="H486" s="22" t="n"/>
      <c r="I486" s="25">
        <f>IF(AND(ISNUMBER(D486),ISNUMBER(E486)),E486-D486,"")</f>
        <v/>
      </c>
      <c r="J486" s="26">
        <f>IF(AND(ISNUMBER(I486),ISNUMBER(G486)),IF(I486&gt;0,G486/I486,""),"")</f>
        <v/>
      </c>
      <c r="K486" s="25">
        <f>IF(COUNTA(A486:H486)=0,"",IF(OR(A486="",B486="",C486="",D486="",E486="",F486="",G486="",H486=""),"HATA: eksik bilgi",IF(COUNTIF(OdaListesi,A486)=0,"HATA: geçersiz oda no",IF(OR(NOT(ISNUMBER(D486)),NOT(ISNUMBER(E486))),"HATA: tarih geçersiz",IF(E486&lt;=D486,"HATA: çıkış girişten sonra olmalı",IF(OR(NOT(ISNUMBER(C486)),C486&lt;1,C486&gt;MaxKisi,C486&lt;&gt;INT(C486)),"HATA: kişi sayısı geçersiz",IF(OR(NOT(ISNUMBER(G486)),G486&lt;0),"HATA: tutar geçersiz",IF(B486&lt;&gt;TRIM(B486),"HATA: isimde baştaki/sondaki boşluk",IF(COUNTIF(KaynakAralik,H486)=0,"HATA: kaynak listede yok",IF(AND(F486&lt;&gt;"Bekleniyor",F486&lt;&gt;"Geldi",F486&lt;&gt;"İptal"),"HATA: giriş durumu geçersiz",IF(AND(F486&lt;&gt;"İptal",COUNTIFS($A$6:$A$1005,A486,$D$6:$D$1005,"&lt;"&amp;E486,$E$6:$E$1005,"&gt;"&amp;D486,$F$6:$F$1005,"&lt;&gt;İptal")&gt;1),"HATA: oda bu tarihlerde çakışıyor",IF(AND(F486="Bekleniyor",D486&lt;RaporTarihi),"HATA: giriş günü geçti, Geldi veya İptal yapın","OK"))))))))))))</f>
        <v/>
      </c>
      <c r="L486" s="25">
        <f>IF(AND(ISNUMBER(A486),F486&lt;&gt;"İptal",ISNUMBER(D486),ISNUMBER(E486),D486&lt;=RaporTarihi,E486&gt;RaporTarihi),A486,"")</f>
        <v/>
      </c>
    </row>
    <row r="487">
      <c r="A487" s="22" t="n"/>
      <c r="B487" s="22" t="n"/>
      <c r="C487" s="22" t="n"/>
      <c r="D487" s="23" t="n"/>
      <c r="E487" s="23" t="n"/>
      <c r="F487" s="22" t="n"/>
      <c r="G487" s="24" t="n"/>
      <c r="H487" s="22" t="n"/>
      <c r="I487" s="25">
        <f>IF(AND(ISNUMBER(D487),ISNUMBER(E487)),E487-D487,"")</f>
        <v/>
      </c>
      <c r="J487" s="26">
        <f>IF(AND(ISNUMBER(I487),ISNUMBER(G487)),IF(I487&gt;0,G487/I487,""),"")</f>
        <v/>
      </c>
      <c r="K487" s="25">
        <f>IF(COUNTA(A487:H487)=0,"",IF(OR(A487="",B487="",C487="",D487="",E487="",F487="",G487="",H487=""),"HATA: eksik bilgi",IF(COUNTIF(OdaListesi,A487)=0,"HATA: geçersiz oda no",IF(OR(NOT(ISNUMBER(D487)),NOT(ISNUMBER(E487))),"HATA: tarih geçersiz",IF(E487&lt;=D487,"HATA: çıkış girişten sonra olmalı",IF(OR(NOT(ISNUMBER(C487)),C487&lt;1,C487&gt;MaxKisi,C487&lt;&gt;INT(C487)),"HATA: kişi sayısı geçersiz",IF(OR(NOT(ISNUMBER(G487)),G487&lt;0),"HATA: tutar geçersiz",IF(B487&lt;&gt;TRIM(B487),"HATA: isimde baştaki/sondaki boşluk",IF(COUNTIF(KaynakAralik,H487)=0,"HATA: kaynak listede yok",IF(AND(F487&lt;&gt;"Bekleniyor",F487&lt;&gt;"Geldi",F487&lt;&gt;"İptal"),"HATA: giriş durumu geçersiz",IF(AND(F487&lt;&gt;"İptal",COUNTIFS($A$6:$A$1005,A487,$D$6:$D$1005,"&lt;"&amp;E487,$E$6:$E$1005,"&gt;"&amp;D487,$F$6:$F$1005,"&lt;&gt;İptal")&gt;1),"HATA: oda bu tarihlerde çakışıyor",IF(AND(F487="Bekleniyor",D487&lt;RaporTarihi),"HATA: giriş günü geçti, Geldi veya İptal yapın","OK"))))))))))))</f>
        <v/>
      </c>
      <c r="L487" s="25">
        <f>IF(AND(ISNUMBER(A487),F487&lt;&gt;"İptal",ISNUMBER(D487),ISNUMBER(E487),D487&lt;=RaporTarihi,E487&gt;RaporTarihi),A487,"")</f>
        <v/>
      </c>
    </row>
    <row r="488">
      <c r="A488" s="22" t="n"/>
      <c r="B488" s="22" t="n"/>
      <c r="C488" s="22" t="n"/>
      <c r="D488" s="23" t="n"/>
      <c r="E488" s="23" t="n"/>
      <c r="F488" s="22" t="n"/>
      <c r="G488" s="24" t="n"/>
      <c r="H488" s="22" t="n"/>
      <c r="I488" s="25">
        <f>IF(AND(ISNUMBER(D488),ISNUMBER(E488)),E488-D488,"")</f>
        <v/>
      </c>
      <c r="J488" s="26">
        <f>IF(AND(ISNUMBER(I488),ISNUMBER(G488)),IF(I488&gt;0,G488/I488,""),"")</f>
        <v/>
      </c>
      <c r="K488" s="25">
        <f>IF(COUNTA(A488:H488)=0,"",IF(OR(A488="",B488="",C488="",D488="",E488="",F488="",G488="",H488=""),"HATA: eksik bilgi",IF(COUNTIF(OdaListesi,A488)=0,"HATA: geçersiz oda no",IF(OR(NOT(ISNUMBER(D488)),NOT(ISNUMBER(E488))),"HATA: tarih geçersiz",IF(E488&lt;=D488,"HATA: çıkış girişten sonra olmalı",IF(OR(NOT(ISNUMBER(C488)),C488&lt;1,C488&gt;MaxKisi,C488&lt;&gt;INT(C488)),"HATA: kişi sayısı geçersiz",IF(OR(NOT(ISNUMBER(G488)),G488&lt;0),"HATA: tutar geçersiz",IF(B488&lt;&gt;TRIM(B488),"HATA: isimde baştaki/sondaki boşluk",IF(COUNTIF(KaynakAralik,H488)=0,"HATA: kaynak listede yok",IF(AND(F488&lt;&gt;"Bekleniyor",F488&lt;&gt;"Geldi",F488&lt;&gt;"İptal"),"HATA: giriş durumu geçersiz",IF(AND(F488&lt;&gt;"İptal",COUNTIFS($A$6:$A$1005,A488,$D$6:$D$1005,"&lt;"&amp;E488,$E$6:$E$1005,"&gt;"&amp;D488,$F$6:$F$1005,"&lt;&gt;İptal")&gt;1),"HATA: oda bu tarihlerde çakışıyor",IF(AND(F488="Bekleniyor",D488&lt;RaporTarihi),"HATA: giriş günü geçti, Geldi veya İptal yapın","OK"))))))))))))</f>
        <v/>
      </c>
      <c r="L488" s="25">
        <f>IF(AND(ISNUMBER(A488),F488&lt;&gt;"İptal",ISNUMBER(D488),ISNUMBER(E488),D488&lt;=RaporTarihi,E488&gt;RaporTarihi),A488,"")</f>
        <v/>
      </c>
    </row>
    <row r="489">
      <c r="A489" s="22" t="n"/>
      <c r="B489" s="22" t="n"/>
      <c r="C489" s="22" t="n"/>
      <c r="D489" s="23" t="n"/>
      <c r="E489" s="23" t="n"/>
      <c r="F489" s="22" t="n"/>
      <c r="G489" s="24" t="n"/>
      <c r="H489" s="22" t="n"/>
      <c r="I489" s="25">
        <f>IF(AND(ISNUMBER(D489),ISNUMBER(E489)),E489-D489,"")</f>
        <v/>
      </c>
      <c r="J489" s="26">
        <f>IF(AND(ISNUMBER(I489),ISNUMBER(G489)),IF(I489&gt;0,G489/I489,""),"")</f>
        <v/>
      </c>
      <c r="K489" s="25">
        <f>IF(COUNTA(A489:H489)=0,"",IF(OR(A489="",B489="",C489="",D489="",E489="",F489="",G489="",H489=""),"HATA: eksik bilgi",IF(COUNTIF(OdaListesi,A489)=0,"HATA: geçersiz oda no",IF(OR(NOT(ISNUMBER(D489)),NOT(ISNUMBER(E489))),"HATA: tarih geçersiz",IF(E489&lt;=D489,"HATA: çıkış girişten sonra olmalı",IF(OR(NOT(ISNUMBER(C489)),C489&lt;1,C489&gt;MaxKisi,C489&lt;&gt;INT(C489)),"HATA: kişi sayısı geçersiz",IF(OR(NOT(ISNUMBER(G489)),G489&lt;0),"HATA: tutar geçersiz",IF(B489&lt;&gt;TRIM(B489),"HATA: isimde baştaki/sondaki boşluk",IF(COUNTIF(KaynakAralik,H489)=0,"HATA: kaynak listede yok",IF(AND(F489&lt;&gt;"Bekleniyor",F489&lt;&gt;"Geldi",F489&lt;&gt;"İptal"),"HATA: giriş durumu geçersiz",IF(AND(F489&lt;&gt;"İptal",COUNTIFS($A$6:$A$1005,A489,$D$6:$D$1005,"&lt;"&amp;E489,$E$6:$E$1005,"&gt;"&amp;D489,$F$6:$F$1005,"&lt;&gt;İptal")&gt;1),"HATA: oda bu tarihlerde çakışıyor",IF(AND(F489="Bekleniyor",D489&lt;RaporTarihi),"HATA: giriş günü geçti, Geldi veya İptal yapın","OK"))))))))))))</f>
        <v/>
      </c>
      <c r="L489" s="25">
        <f>IF(AND(ISNUMBER(A489),F489&lt;&gt;"İptal",ISNUMBER(D489),ISNUMBER(E489),D489&lt;=RaporTarihi,E489&gt;RaporTarihi),A489,"")</f>
        <v/>
      </c>
    </row>
    <row r="490">
      <c r="A490" s="22" t="n"/>
      <c r="B490" s="22" t="n"/>
      <c r="C490" s="22" t="n"/>
      <c r="D490" s="23" t="n"/>
      <c r="E490" s="23" t="n"/>
      <c r="F490" s="22" t="n"/>
      <c r="G490" s="24" t="n"/>
      <c r="H490" s="22" t="n"/>
      <c r="I490" s="25">
        <f>IF(AND(ISNUMBER(D490),ISNUMBER(E490)),E490-D490,"")</f>
        <v/>
      </c>
      <c r="J490" s="26">
        <f>IF(AND(ISNUMBER(I490),ISNUMBER(G490)),IF(I490&gt;0,G490/I490,""),"")</f>
        <v/>
      </c>
      <c r="K490" s="25">
        <f>IF(COUNTA(A490:H490)=0,"",IF(OR(A490="",B490="",C490="",D490="",E490="",F490="",G490="",H490=""),"HATA: eksik bilgi",IF(COUNTIF(OdaListesi,A490)=0,"HATA: geçersiz oda no",IF(OR(NOT(ISNUMBER(D490)),NOT(ISNUMBER(E490))),"HATA: tarih geçersiz",IF(E490&lt;=D490,"HATA: çıkış girişten sonra olmalı",IF(OR(NOT(ISNUMBER(C490)),C490&lt;1,C490&gt;MaxKisi,C490&lt;&gt;INT(C490)),"HATA: kişi sayısı geçersiz",IF(OR(NOT(ISNUMBER(G490)),G490&lt;0),"HATA: tutar geçersiz",IF(B490&lt;&gt;TRIM(B490),"HATA: isimde baştaki/sondaki boşluk",IF(COUNTIF(KaynakAralik,H490)=0,"HATA: kaynak listede yok",IF(AND(F490&lt;&gt;"Bekleniyor",F490&lt;&gt;"Geldi",F490&lt;&gt;"İptal"),"HATA: giriş durumu geçersiz",IF(AND(F490&lt;&gt;"İptal",COUNTIFS($A$6:$A$1005,A490,$D$6:$D$1005,"&lt;"&amp;E490,$E$6:$E$1005,"&gt;"&amp;D490,$F$6:$F$1005,"&lt;&gt;İptal")&gt;1),"HATA: oda bu tarihlerde çakışıyor",IF(AND(F490="Bekleniyor",D490&lt;RaporTarihi),"HATA: giriş günü geçti, Geldi veya İptal yapın","OK"))))))))))))</f>
        <v/>
      </c>
      <c r="L490" s="25">
        <f>IF(AND(ISNUMBER(A490),F490&lt;&gt;"İptal",ISNUMBER(D490),ISNUMBER(E490),D490&lt;=RaporTarihi,E490&gt;RaporTarihi),A490,"")</f>
        <v/>
      </c>
    </row>
    <row r="491">
      <c r="A491" s="22" t="n"/>
      <c r="B491" s="22" t="n"/>
      <c r="C491" s="22" t="n"/>
      <c r="D491" s="23" t="n"/>
      <c r="E491" s="23" t="n"/>
      <c r="F491" s="22" t="n"/>
      <c r="G491" s="24" t="n"/>
      <c r="H491" s="22" t="n"/>
      <c r="I491" s="25">
        <f>IF(AND(ISNUMBER(D491),ISNUMBER(E491)),E491-D491,"")</f>
        <v/>
      </c>
      <c r="J491" s="26">
        <f>IF(AND(ISNUMBER(I491),ISNUMBER(G491)),IF(I491&gt;0,G491/I491,""),"")</f>
        <v/>
      </c>
      <c r="K491" s="25">
        <f>IF(COUNTA(A491:H491)=0,"",IF(OR(A491="",B491="",C491="",D491="",E491="",F491="",G491="",H491=""),"HATA: eksik bilgi",IF(COUNTIF(OdaListesi,A491)=0,"HATA: geçersiz oda no",IF(OR(NOT(ISNUMBER(D491)),NOT(ISNUMBER(E491))),"HATA: tarih geçersiz",IF(E491&lt;=D491,"HATA: çıkış girişten sonra olmalı",IF(OR(NOT(ISNUMBER(C491)),C491&lt;1,C491&gt;MaxKisi,C491&lt;&gt;INT(C491)),"HATA: kişi sayısı geçersiz",IF(OR(NOT(ISNUMBER(G491)),G491&lt;0),"HATA: tutar geçersiz",IF(B491&lt;&gt;TRIM(B491),"HATA: isimde baştaki/sondaki boşluk",IF(COUNTIF(KaynakAralik,H491)=0,"HATA: kaynak listede yok",IF(AND(F491&lt;&gt;"Bekleniyor",F491&lt;&gt;"Geldi",F491&lt;&gt;"İptal"),"HATA: giriş durumu geçersiz",IF(AND(F491&lt;&gt;"İptal",COUNTIFS($A$6:$A$1005,A491,$D$6:$D$1005,"&lt;"&amp;E491,$E$6:$E$1005,"&gt;"&amp;D491,$F$6:$F$1005,"&lt;&gt;İptal")&gt;1),"HATA: oda bu tarihlerde çakışıyor",IF(AND(F491="Bekleniyor",D491&lt;RaporTarihi),"HATA: giriş günü geçti, Geldi veya İptal yapın","OK"))))))))))))</f>
        <v/>
      </c>
      <c r="L491" s="25">
        <f>IF(AND(ISNUMBER(A491),F491&lt;&gt;"İptal",ISNUMBER(D491),ISNUMBER(E491),D491&lt;=RaporTarihi,E491&gt;RaporTarihi),A491,"")</f>
        <v/>
      </c>
    </row>
    <row r="492">
      <c r="A492" s="22" t="n"/>
      <c r="B492" s="22" t="n"/>
      <c r="C492" s="22" t="n"/>
      <c r="D492" s="23" t="n"/>
      <c r="E492" s="23" t="n"/>
      <c r="F492" s="22" t="n"/>
      <c r="G492" s="24" t="n"/>
      <c r="H492" s="22" t="n"/>
      <c r="I492" s="25">
        <f>IF(AND(ISNUMBER(D492),ISNUMBER(E492)),E492-D492,"")</f>
        <v/>
      </c>
      <c r="J492" s="26">
        <f>IF(AND(ISNUMBER(I492),ISNUMBER(G492)),IF(I492&gt;0,G492/I492,""),"")</f>
        <v/>
      </c>
      <c r="K492" s="25">
        <f>IF(COUNTA(A492:H492)=0,"",IF(OR(A492="",B492="",C492="",D492="",E492="",F492="",G492="",H492=""),"HATA: eksik bilgi",IF(COUNTIF(OdaListesi,A492)=0,"HATA: geçersiz oda no",IF(OR(NOT(ISNUMBER(D492)),NOT(ISNUMBER(E492))),"HATA: tarih geçersiz",IF(E492&lt;=D492,"HATA: çıkış girişten sonra olmalı",IF(OR(NOT(ISNUMBER(C492)),C492&lt;1,C492&gt;MaxKisi,C492&lt;&gt;INT(C492)),"HATA: kişi sayısı geçersiz",IF(OR(NOT(ISNUMBER(G492)),G492&lt;0),"HATA: tutar geçersiz",IF(B492&lt;&gt;TRIM(B492),"HATA: isimde baştaki/sondaki boşluk",IF(COUNTIF(KaynakAralik,H492)=0,"HATA: kaynak listede yok",IF(AND(F492&lt;&gt;"Bekleniyor",F492&lt;&gt;"Geldi",F492&lt;&gt;"İptal"),"HATA: giriş durumu geçersiz",IF(AND(F492&lt;&gt;"İptal",COUNTIFS($A$6:$A$1005,A492,$D$6:$D$1005,"&lt;"&amp;E492,$E$6:$E$1005,"&gt;"&amp;D492,$F$6:$F$1005,"&lt;&gt;İptal")&gt;1),"HATA: oda bu tarihlerde çakışıyor",IF(AND(F492="Bekleniyor",D492&lt;RaporTarihi),"HATA: giriş günü geçti, Geldi veya İptal yapın","OK"))))))))))))</f>
        <v/>
      </c>
      <c r="L492" s="25">
        <f>IF(AND(ISNUMBER(A492),F492&lt;&gt;"İptal",ISNUMBER(D492),ISNUMBER(E492),D492&lt;=RaporTarihi,E492&gt;RaporTarihi),A492,"")</f>
        <v/>
      </c>
    </row>
    <row r="493">
      <c r="A493" s="22" t="n"/>
      <c r="B493" s="22" t="n"/>
      <c r="C493" s="22" t="n"/>
      <c r="D493" s="23" t="n"/>
      <c r="E493" s="23" t="n"/>
      <c r="F493" s="22" t="n"/>
      <c r="G493" s="24" t="n"/>
      <c r="H493" s="22" t="n"/>
      <c r="I493" s="25">
        <f>IF(AND(ISNUMBER(D493),ISNUMBER(E493)),E493-D493,"")</f>
        <v/>
      </c>
      <c r="J493" s="26">
        <f>IF(AND(ISNUMBER(I493),ISNUMBER(G493)),IF(I493&gt;0,G493/I493,""),"")</f>
        <v/>
      </c>
      <c r="K493" s="25">
        <f>IF(COUNTA(A493:H493)=0,"",IF(OR(A493="",B493="",C493="",D493="",E493="",F493="",G493="",H493=""),"HATA: eksik bilgi",IF(COUNTIF(OdaListesi,A493)=0,"HATA: geçersiz oda no",IF(OR(NOT(ISNUMBER(D493)),NOT(ISNUMBER(E493))),"HATA: tarih geçersiz",IF(E493&lt;=D493,"HATA: çıkış girişten sonra olmalı",IF(OR(NOT(ISNUMBER(C493)),C493&lt;1,C493&gt;MaxKisi,C493&lt;&gt;INT(C493)),"HATA: kişi sayısı geçersiz",IF(OR(NOT(ISNUMBER(G493)),G493&lt;0),"HATA: tutar geçersiz",IF(B493&lt;&gt;TRIM(B493),"HATA: isimde baştaki/sondaki boşluk",IF(COUNTIF(KaynakAralik,H493)=0,"HATA: kaynak listede yok",IF(AND(F493&lt;&gt;"Bekleniyor",F493&lt;&gt;"Geldi",F493&lt;&gt;"İptal"),"HATA: giriş durumu geçersiz",IF(AND(F493&lt;&gt;"İptal",COUNTIFS($A$6:$A$1005,A493,$D$6:$D$1005,"&lt;"&amp;E493,$E$6:$E$1005,"&gt;"&amp;D493,$F$6:$F$1005,"&lt;&gt;İptal")&gt;1),"HATA: oda bu tarihlerde çakışıyor",IF(AND(F493="Bekleniyor",D493&lt;RaporTarihi),"HATA: giriş günü geçti, Geldi veya İptal yapın","OK"))))))))))))</f>
        <v/>
      </c>
      <c r="L493" s="25">
        <f>IF(AND(ISNUMBER(A493),F493&lt;&gt;"İptal",ISNUMBER(D493),ISNUMBER(E493),D493&lt;=RaporTarihi,E493&gt;RaporTarihi),A493,"")</f>
        <v/>
      </c>
    </row>
    <row r="494">
      <c r="A494" s="22" t="n"/>
      <c r="B494" s="22" t="n"/>
      <c r="C494" s="22" t="n"/>
      <c r="D494" s="23" t="n"/>
      <c r="E494" s="23" t="n"/>
      <c r="F494" s="22" t="n"/>
      <c r="G494" s="24" t="n"/>
      <c r="H494" s="22" t="n"/>
      <c r="I494" s="25">
        <f>IF(AND(ISNUMBER(D494),ISNUMBER(E494)),E494-D494,"")</f>
        <v/>
      </c>
      <c r="J494" s="26">
        <f>IF(AND(ISNUMBER(I494),ISNUMBER(G494)),IF(I494&gt;0,G494/I494,""),"")</f>
        <v/>
      </c>
      <c r="K494" s="25">
        <f>IF(COUNTA(A494:H494)=0,"",IF(OR(A494="",B494="",C494="",D494="",E494="",F494="",G494="",H494=""),"HATA: eksik bilgi",IF(COUNTIF(OdaListesi,A494)=0,"HATA: geçersiz oda no",IF(OR(NOT(ISNUMBER(D494)),NOT(ISNUMBER(E494))),"HATA: tarih geçersiz",IF(E494&lt;=D494,"HATA: çıkış girişten sonra olmalı",IF(OR(NOT(ISNUMBER(C494)),C494&lt;1,C494&gt;MaxKisi,C494&lt;&gt;INT(C494)),"HATA: kişi sayısı geçersiz",IF(OR(NOT(ISNUMBER(G494)),G494&lt;0),"HATA: tutar geçersiz",IF(B494&lt;&gt;TRIM(B494),"HATA: isimde baştaki/sondaki boşluk",IF(COUNTIF(KaynakAralik,H494)=0,"HATA: kaynak listede yok",IF(AND(F494&lt;&gt;"Bekleniyor",F494&lt;&gt;"Geldi",F494&lt;&gt;"İptal"),"HATA: giriş durumu geçersiz",IF(AND(F494&lt;&gt;"İptal",COUNTIFS($A$6:$A$1005,A494,$D$6:$D$1005,"&lt;"&amp;E494,$E$6:$E$1005,"&gt;"&amp;D494,$F$6:$F$1005,"&lt;&gt;İptal")&gt;1),"HATA: oda bu tarihlerde çakışıyor",IF(AND(F494="Bekleniyor",D494&lt;RaporTarihi),"HATA: giriş günü geçti, Geldi veya İptal yapın","OK"))))))))))))</f>
        <v/>
      </c>
      <c r="L494" s="25">
        <f>IF(AND(ISNUMBER(A494),F494&lt;&gt;"İptal",ISNUMBER(D494),ISNUMBER(E494),D494&lt;=RaporTarihi,E494&gt;RaporTarihi),A494,"")</f>
        <v/>
      </c>
    </row>
    <row r="495">
      <c r="A495" s="22" t="n"/>
      <c r="B495" s="22" t="n"/>
      <c r="C495" s="22" t="n"/>
      <c r="D495" s="23" t="n"/>
      <c r="E495" s="23" t="n"/>
      <c r="F495" s="22" t="n"/>
      <c r="G495" s="24" t="n"/>
      <c r="H495" s="22" t="n"/>
      <c r="I495" s="25">
        <f>IF(AND(ISNUMBER(D495),ISNUMBER(E495)),E495-D495,"")</f>
        <v/>
      </c>
      <c r="J495" s="26">
        <f>IF(AND(ISNUMBER(I495),ISNUMBER(G495)),IF(I495&gt;0,G495/I495,""),"")</f>
        <v/>
      </c>
      <c r="K495" s="25">
        <f>IF(COUNTA(A495:H495)=0,"",IF(OR(A495="",B495="",C495="",D495="",E495="",F495="",G495="",H495=""),"HATA: eksik bilgi",IF(COUNTIF(OdaListesi,A495)=0,"HATA: geçersiz oda no",IF(OR(NOT(ISNUMBER(D495)),NOT(ISNUMBER(E495))),"HATA: tarih geçersiz",IF(E495&lt;=D495,"HATA: çıkış girişten sonra olmalı",IF(OR(NOT(ISNUMBER(C495)),C495&lt;1,C495&gt;MaxKisi,C495&lt;&gt;INT(C495)),"HATA: kişi sayısı geçersiz",IF(OR(NOT(ISNUMBER(G495)),G495&lt;0),"HATA: tutar geçersiz",IF(B495&lt;&gt;TRIM(B495),"HATA: isimde baştaki/sondaki boşluk",IF(COUNTIF(KaynakAralik,H495)=0,"HATA: kaynak listede yok",IF(AND(F495&lt;&gt;"Bekleniyor",F495&lt;&gt;"Geldi",F495&lt;&gt;"İptal"),"HATA: giriş durumu geçersiz",IF(AND(F495&lt;&gt;"İptal",COUNTIFS($A$6:$A$1005,A495,$D$6:$D$1005,"&lt;"&amp;E495,$E$6:$E$1005,"&gt;"&amp;D495,$F$6:$F$1005,"&lt;&gt;İptal")&gt;1),"HATA: oda bu tarihlerde çakışıyor",IF(AND(F495="Bekleniyor",D495&lt;RaporTarihi),"HATA: giriş günü geçti, Geldi veya İptal yapın","OK"))))))))))))</f>
        <v/>
      </c>
      <c r="L495" s="25">
        <f>IF(AND(ISNUMBER(A495),F495&lt;&gt;"İptal",ISNUMBER(D495),ISNUMBER(E495),D495&lt;=RaporTarihi,E495&gt;RaporTarihi),A495,"")</f>
        <v/>
      </c>
    </row>
    <row r="496">
      <c r="A496" s="22" t="n"/>
      <c r="B496" s="22" t="n"/>
      <c r="C496" s="22" t="n"/>
      <c r="D496" s="23" t="n"/>
      <c r="E496" s="23" t="n"/>
      <c r="F496" s="22" t="n"/>
      <c r="G496" s="24" t="n"/>
      <c r="H496" s="22" t="n"/>
      <c r="I496" s="25">
        <f>IF(AND(ISNUMBER(D496),ISNUMBER(E496)),E496-D496,"")</f>
        <v/>
      </c>
      <c r="J496" s="26">
        <f>IF(AND(ISNUMBER(I496),ISNUMBER(G496)),IF(I496&gt;0,G496/I496,""),"")</f>
        <v/>
      </c>
      <c r="K496" s="25">
        <f>IF(COUNTA(A496:H496)=0,"",IF(OR(A496="",B496="",C496="",D496="",E496="",F496="",G496="",H496=""),"HATA: eksik bilgi",IF(COUNTIF(OdaListesi,A496)=0,"HATA: geçersiz oda no",IF(OR(NOT(ISNUMBER(D496)),NOT(ISNUMBER(E496))),"HATA: tarih geçersiz",IF(E496&lt;=D496,"HATA: çıkış girişten sonra olmalı",IF(OR(NOT(ISNUMBER(C496)),C496&lt;1,C496&gt;MaxKisi,C496&lt;&gt;INT(C496)),"HATA: kişi sayısı geçersiz",IF(OR(NOT(ISNUMBER(G496)),G496&lt;0),"HATA: tutar geçersiz",IF(B496&lt;&gt;TRIM(B496),"HATA: isimde baştaki/sondaki boşluk",IF(COUNTIF(KaynakAralik,H496)=0,"HATA: kaynak listede yok",IF(AND(F496&lt;&gt;"Bekleniyor",F496&lt;&gt;"Geldi",F496&lt;&gt;"İptal"),"HATA: giriş durumu geçersiz",IF(AND(F496&lt;&gt;"İptal",COUNTIFS($A$6:$A$1005,A496,$D$6:$D$1005,"&lt;"&amp;E496,$E$6:$E$1005,"&gt;"&amp;D496,$F$6:$F$1005,"&lt;&gt;İptal")&gt;1),"HATA: oda bu tarihlerde çakışıyor",IF(AND(F496="Bekleniyor",D496&lt;RaporTarihi),"HATA: giriş günü geçti, Geldi veya İptal yapın","OK"))))))))))))</f>
        <v/>
      </c>
      <c r="L496" s="25">
        <f>IF(AND(ISNUMBER(A496),F496&lt;&gt;"İptal",ISNUMBER(D496),ISNUMBER(E496),D496&lt;=RaporTarihi,E496&gt;RaporTarihi),A496,"")</f>
        <v/>
      </c>
    </row>
    <row r="497">
      <c r="A497" s="22" t="n"/>
      <c r="B497" s="22" t="n"/>
      <c r="C497" s="22" t="n"/>
      <c r="D497" s="23" t="n"/>
      <c r="E497" s="23" t="n"/>
      <c r="F497" s="22" t="n"/>
      <c r="G497" s="24" t="n"/>
      <c r="H497" s="22" t="n"/>
      <c r="I497" s="25">
        <f>IF(AND(ISNUMBER(D497),ISNUMBER(E497)),E497-D497,"")</f>
        <v/>
      </c>
      <c r="J497" s="26">
        <f>IF(AND(ISNUMBER(I497),ISNUMBER(G497)),IF(I497&gt;0,G497/I497,""),"")</f>
        <v/>
      </c>
      <c r="K497" s="25">
        <f>IF(COUNTA(A497:H497)=0,"",IF(OR(A497="",B497="",C497="",D497="",E497="",F497="",G497="",H497=""),"HATA: eksik bilgi",IF(COUNTIF(OdaListesi,A497)=0,"HATA: geçersiz oda no",IF(OR(NOT(ISNUMBER(D497)),NOT(ISNUMBER(E497))),"HATA: tarih geçersiz",IF(E497&lt;=D497,"HATA: çıkış girişten sonra olmalı",IF(OR(NOT(ISNUMBER(C497)),C497&lt;1,C497&gt;MaxKisi,C497&lt;&gt;INT(C497)),"HATA: kişi sayısı geçersiz",IF(OR(NOT(ISNUMBER(G497)),G497&lt;0),"HATA: tutar geçersiz",IF(B497&lt;&gt;TRIM(B497),"HATA: isimde baştaki/sondaki boşluk",IF(COUNTIF(KaynakAralik,H497)=0,"HATA: kaynak listede yok",IF(AND(F497&lt;&gt;"Bekleniyor",F497&lt;&gt;"Geldi",F497&lt;&gt;"İptal"),"HATA: giriş durumu geçersiz",IF(AND(F497&lt;&gt;"İptal",COUNTIFS($A$6:$A$1005,A497,$D$6:$D$1005,"&lt;"&amp;E497,$E$6:$E$1005,"&gt;"&amp;D497,$F$6:$F$1005,"&lt;&gt;İptal")&gt;1),"HATA: oda bu tarihlerde çakışıyor",IF(AND(F497="Bekleniyor",D497&lt;RaporTarihi),"HATA: giriş günü geçti, Geldi veya İptal yapın","OK"))))))))))))</f>
        <v/>
      </c>
      <c r="L497" s="25">
        <f>IF(AND(ISNUMBER(A497),F497&lt;&gt;"İptal",ISNUMBER(D497),ISNUMBER(E497),D497&lt;=RaporTarihi,E497&gt;RaporTarihi),A497,"")</f>
        <v/>
      </c>
    </row>
    <row r="498">
      <c r="A498" s="22" t="n"/>
      <c r="B498" s="22" t="n"/>
      <c r="C498" s="22" t="n"/>
      <c r="D498" s="23" t="n"/>
      <c r="E498" s="23" t="n"/>
      <c r="F498" s="22" t="n"/>
      <c r="G498" s="24" t="n"/>
      <c r="H498" s="22" t="n"/>
      <c r="I498" s="25">
        <f>IF(AND(ISNUMBER(D498),ISNUMBER(E498)),E498-D498,"")</f>
        <v/>
      </c>
      <c r="J498" s="26">
        <f>IF(AND(ISNUMBER(I498),ISNUMBER(G498)),IF(I498&gt;0,G498/I498,""),"")</f>
        <v/>
      </c>
      <c r="K498" s="25">
        <f>IF(COUNTA(A498:H498)=0,"",IF(OR(A498="",B498="",C498="",D498="",E498="",F498="",G498="",H498=""),"HATA: eksik bilgi",IF(COUNTIF(OdaListesi,A498)=0,"HATA: geçersiz oda no",IF(OR(NOT(ISNUMBER(D498)),NOT(ISNUMBER(E498))),"HATA: tarih geçersiz",IF(E498&lt;=D498,"HATA: çıkış girişten sonra olmalı",IF(OR(NOT(ISNUMBER(C498)),C498&lt;1,C498&gt;MaxKisi,C498&lt;&gt;INT(C498)),"HATA: kişi sayısı geçersiz",IF(OR(NOT(ISNUMBER(G498)),G498&lt;0),"HATA: tutar geçersiz",IF(B498&lt;&gt;TRIM(B498),"HATA: isimde baştaki/sondaki boşluk",IF(COUNTIF(KaynakAralik,H498)=0,"HATA: kaynak listede yok",IF(AND(F498&lt;&gt;"Bekleniyor",F498&lt;&gt;"Geldi",F498&lt;&gt;"İptal"),"HATA: giriş durumu geçersiz",IF(AND(F498&lt;&gt;"İptal",COUNTIFS($A$6:$A$1005,A498,$D$6:$D$1005,"&lt;"&amp;E498,$E$6:$E$1005,"&gt;"&amp;D498,$F$6:$F$1005,"&lt;&gt;İptal")&gt;1),"HATA: oda bu tarihlerde çakışıyor",IF(AND(F498="Bekleniyor",D498&lt;RaporTarihi),"HATA: giriş günü geçti, Geldi veya İptal yapın","OK"))))))))))))</f>
        <v/>
      </c>
      <c r="L498" s="25">
        <f>IF(AND(ISNUMBER(A498),F498&lt;&gt;"İptal",ISNUMBER(D498),ISNUMBER(E498),D498&lt;=RaporTarihi,E498&gt;RaporTarihi),A498,"")</f>
        <v/>
      </c>
    </row>
    <row r="499">
      <c r="A499" s="22" t="n"/>
      <c r="B499" s="22" t="n"/>
      <c r="C499" s="22" t="n"/>
      <c r="D499" s="23" t="n"/>
      <c r="E499" s="23" t="n"/>
      <c r="F499" s="22" t="n"/>
      <c r="G499" s="24" t="n"/>
      <c r="H499" s="22" t="n"/>
      <c r="I499" s="25">
        <f>IF(AND(ISNUMBER(D499),ISNUMBER(E499)),E499-D499,"")</f>
        <v/>
      </c>
      <c r="J499" s="26">
        <f>IF(AND(ISNUMBER(I499),ISNUMBER(G499)),IF(I499&gt;0,G499/I499,""),"")</f>
        <v/>
      </c>
      <c r="K499" s="25">
        <f>IF(COUNTA(A499:H499)=0,"",IF(OR(A499="",B499="",C499="",D499="",E499="",F499="",G499="",H499=""),"HATA: eksik bilgi",IF(COUNTIF(OdaListesi,A499)=0,"HATA: geçersiz oda no",IF(OR(NOT(ISNUMBER(D499)),NOT(ISNUMBER(E499))),"HATA: tarih geçersiz",IF(E499&lt;=D499,"HATA: çıkış girişten sonra olmalı",IF(OR(NOT(ISNUMBER(C499)),C499&lt;1,C499&gt;MaxKisi,C499&lt;&gt;INT(C499)),"HATA: kişi sayısı geçersiz",IF(OR(NOT(ISNUMBER(G499)),G499&lt;0),"HATA: tutar geçersiz",IF(B499&lt;&gt;TRIM(B499),"HATA: isimde baştaki/sondaki boşluk",IF(COUNTIF(KaynakAralik,H499)=0,"HATA: kaynak listede yok",IF(AND(F499&lt;&gt;"Bekleniyor",F499&lt;&gt;"Geldi",F499&lt;&gt;"İptal"),"HATA: giriş durumu geçersiz",IF(AND(F499&lt;&gt;"İptal",COUNTIFS($A$6:$A$1005,A499,$D$6:$D$1005,"&lt;"&amp;E499,$E$6:$E$1005,"&gt;"&amp;D499,$F$6:$F$1005,"&lt;&gt;İptal")&gt;1),"HATA: oda bu tarihlerde çakışıyor",IF(AND(F499="Bekleniyor",D499&lt;RaporTarihi),"HATA: giriş günü geçti, Geldi veya İptal yapın","OK"))))))))))))</f>
        <v/>
      </c>
      <c r="L499" s="25">
        <f>IF(AND(ISNUMBER(A499),F499&lt;&gt;"İptal",ISNUMBER(D499),ISNUMBER(E499),D499&lt;=RaporTarihi,E499&gt;RaporTarihi),A499,"")</f>
        <v/>
      </c>
    </row>
    <row r="500">
      <c r="A500" s="22" t="n"/>
      <c r="B500" s="22" t="n"/>
      <c r="C500" s="22" t="n"/>
      <c r="D500" s="23" t="n"/>
      <c r="E500" s="23" t="n"/>
      <c r="F500" s="22" t="n"/>
      <c r="G500" s="24" t="n"/>
      <c r="H500" s="22" t="n"/>
      <c r="I500" s="25">
        <f>IF(AND(ISNUMBER(D500),ISNUMBER(E500)),E500-D500,"")</f>
        <v/>
      </c>
      <c r="J500" s="26">
        <f>IF(AND(ISNUMBER(I500),ISNUMBER(G500)),IF(I500&gt;0,G500/I500,""),"")</f>
        <v/>
      </c>
      <c r="K500" s="25">
        <f>IF(COUNTA(A500:H500)=0,"",IF(OR(A500="",B500="",C500="",D500="",E500="",F500="",G500="",H500=""),"HATA: eksik bilgi",IF(COUNTIF(OdaListesi,A500)=0,"HATA: geçersiz oda no",IF(OR(NOT(ISNUMBER(D500)),NOT(ISNUMBER(E500))),"HATA: tarih geçersiz",IF(E500&lt;=D500,"HATA: çıkış girişten sonra olmalı",IF(OR(NOT(ISNUMBER(C500)),C500&lt;1,C500&gt;MaxKisi,C500&lt;&gt;INT(C500)),"HATA: kişi sayısı geçersiz",IF(OR(NOT(ISNUMBER(G500)),G500&lt;0),"HATA: tutar geçersiz",IF(B500&lt;&gt;TRIM(B500),"HATA: isimde baştaki/sondaki boşluk",IF(COUNTIF(KaynakAralik,H500)=0,"HATA: kaynak listede yok",IF(AND(F500&lt;&gt;"Bekleniyor",F500&lt;&gt;"Geldi",F500&lt;&gt;"İptal"),"HATA: giriş durumu geçersiz",IF(AND(F500&lt;&gt;"İptal",COUNTIFS($A$6:$A$1005,A500,$D$6:$D$1005,"&lt;"&amp;E500,$E$6:$E$1005,"&gt;"&amp;D500,$F$6:$F$1005,"&lt;&gt;İptal")&gt;1),"HATA: oda bu tarihlerde çakışıyor",IF(AND(F500="Bekleniyor",D500&lt;RaporTarihi),"HATA: giriş günü geçti, Geldi veya İptal yapın","OK"))))))))))))</f>
        <v/>
      </c>
      <c r="L500" s="25">
        <f>IF(AND(ISNUMBER(A500),F500&lt;&gt;"İptal",ISNUMBER(D500),ISNUMBER(E500),D500&lt;=RaporTarihi,E500&gt;RaporTarihi),A500,"")</f>
        <v/>
      </c>
    </row>
    <row r="501">
      <c r="A501" s="22" t="n"/>
      <c r="B501" s="22" t="n"/>
      <c r="C501" s="22" t="n"/>
      <c r="D501" s="23" t="n"/>
      <c r="E501" s="23" t="n"/>
      <c r="F501" s="22" t="n"/>
      <c r="G501" s="24" t="n"/>
      <c r="H501" s="22" t="n"/>
      <c r="I501" s="25">
        <f>IF(AND(ISNUMBER(D501),ISNUMBER(E501)),E501-D501,"")</f>
        <v/>
      </c>
      <c r="J501" s="26">
        <f>IF(AND(ISNUMBER(I501),ISNUMBER(G501)),IF(I501&gt;0,G501/I501,""),"")</f>
        <v/>
      </c>
      <c r="K501" s="25">
        <f>IF(COUNTA(A501:H501)=0,"",IF(OR(A501="",B501="",C501="",D501="",E501="",F501="",G501="",H501=""),"HATA: eksik bilgi",IF(COUNTIF(OdaListesi,A501)=0,"HATA: geçersiz oda no",IF(OR(NOT(ISNUMBER(D501)),NOT(ISNUMBER(E501))),"HATA: tarih geçersiz",IF(E501&lt;=D501,"HATA: çıkış girişten sonra olmalı",IF(OR(NOT(ISNUMBER(C501)),C501&lt;1,C501&gt;MaxKisi,C501&lt;&gt;INT(C501)),"HATA: kişi sayısı geçersiz",IF(OR(NOT(ISNUMBER(G501)),G501&lt;0),"HATA: tutar geçersiz",IF(B501&lt;&gt;TRIM(B501),"HATA: isimde baştaki/sondaki boşluk",IF(COUNTIF(KaynakAralik,H501)=0,"HATA: kaynak listede yok",IF(AND(F501&lt;&gt;"Bekleniyor",F501&lt;&gt;"Geldi",F501&lt;&gt;"İptal"),"HATA: giriş durumu geçersiz",IF(AND(F501&lt;&gt;"İptal",COUNTIFS($A$6:$A$1005,A501,$D$6:$D$1005,"&lt;"&amp;E501,$E$6:$E$1005,"&gt;"&amp;D501,$F$6:$F$1005,"&lt;&gt;İptal")&gt;1),"HATA: oda bu tarihlerde çakışıyor",IF(AND(F501="Bekleniyor",D501&lt;RaporTarihi),"HATA: giriş günü geçti, Geldi veya İptal yapın","OK"))))))))))))</f>
        <v/>
      </c>
      <c r="L501" s="25">
        <f>IF(AND(ISNUMBER(A501),F501&lt;&gt;"İptal",ISNUMBER(D501),ISNUMBER(E501),D501&lt;=RaporTarihi,E501&gt;RaporTarihi),A501,"")</f>
        <v/>
      </c>
    </row>
    <row r="502">
      <c r="A502" s="22" t="n"/>
      <c r="B502" s="22" t="n"/>
      <c r="C502" s="22" t="n"/>
      <c r="D502" s="23" t="n"/>
      <c r="E502" s="23" t="n"/>
      <c r="F502" s="22" t="n"/>
      <c r="G502" s="24" t="n"/>
      <c r="H502" s="22" t="n"/>
      <c r="I502" s="25">
        <f>IF(AND(ISNUMBER(D502),ISNUMBER(E502)),E502-D502,"")</f>
        <v/>
      </c>
      <c r="J502" s="26">
        <f>IF(AND(ISNUMBER(I502),ISNUMBER(G502)),IF(I502&gt;0,G502/I502,""),"")</f>
        <v/>
      </c>
      <c r="K502" s="25">
        <f>IF(COUNTA(A502:H502)=0,"",IF(OR(A502="",B502="",C502="",D502="",E502="",F502="",G502="",H502=""),"HATA: eksik bilgi",IF(COUNTIF(OdaListesi,A502)=0,"HATA: geçersiz oda no",IF(OR(NOT(ISNUMBER(D502)),NOT(ISNUMBER(E502))),"HATA: tarih geçersiz",IF(E502&lt;=D502,"HATA: çıkış girişten sonra olmalı",IF(OR(NOT(ISNUMBER(C502)),C502&lt;1,C502&gt;MaxKisi,C502&lt;&gt;INT(C502)),"HATA: kişi sayısı geçersiz",IF(OR(NOT(ISNUMBER(G502)),G502&lt;0),"HATA: tutar geçersiz",IF(B502&lt;&gt;TRIM(B502),"HATA: isimde baştaki/sondaki boşluk",IF(COUNTIF(KaynakAralik,H502)=0,"HATA: kaynak listede yok",IF(AND(F502&lt;&gt;"Bekleniyor",F502&lt;&gt;"Geldi",F502&lt;&gt;"İptal"),"HATA: giriş durumu geçersiz",IF(AND(F502&lt;&gt;"İptal",COUNTIFS($A$6:$A$1005,A502,$D$6:$D$1005,"&lt;"&amp;E502,$E$6:$E$1005,"&gt;"&amp;D502,$F$6:$F$1005,"&lt;&gt;İptal")&gt;1),"HATA: oda bu tarihlerde çakışıyor",IF(AND(F502="Bekleniyor",D502&lt;RaporTarihi),"HATA: giriş günü geçti, Geldi veya İptal yapın","OK"))))))))))))</f>
        <v/>
      </c>
      <c r="L502" s="25">
        <f>IF(AND(ISNUMBER(A502),F502&lt;&gt;"İptal",ISNUMBER(D502),ISNUMBER(E502),D502&lt;=RaporTarihi,E502&gt;RaporTarihi),A502,"")</f>
        <v/>
      </c>
    </row>
    <row r="503">
      <c r="A503" s="22" t="n"/>
      <c r="B503" s="22" t="n"/>
      <c r="C503" s="22" t="n"/>
      <c r="D503" s="23" t="n"/>
      <c r="E503" s="23" t="n"/>
      <c r="F503" s="22" t="n"/>
      <c r="G503" s="24" t="n"/>
      <c r="H503" s="22" t="n"/>
      <c r="I503" s="25">
        <f>IF(AND(ISNUMBER(D503),ISNUMBER(E503)),E503-D503,"")</f>
        <v/>
      </c>
      <c r="J503" s="26">
        <f>IF(AND(ISNUMBER(I503),ISNUMBER(G503)),IF(I503&gt;0,G503/I503,""),"")</f>
        <v/>
      </c>
      <c r="K503" s="25">
        <f>IF(COUNTA(A503:H503)=0,"",IF(OR(A503="",B503="",C503="",D503="",E503="",F503="",G503="",H503=""),"HATA: eksik bilgi",IF(COUNTIF(OdaListesi,A503)=0,"HATA: geçersiz oda no",IF(OR(NOT(ISNUMBER(D503)),NOT(ISNUMBER(E503))),"HATA: tarih geçersiz",IF(E503&lt;=D503,"HATA: çıkış girişten sonra olmalı",IF(OR(NOT(ISNUMBER(C503)),C503&lt;1,C503&gt;MaxKisi,C503&lt;&gt;INT(C503)),"HATA: kişi sayısı geçersiz",IF(OR(NOT(ISNUMBER(G503)),G503&lt;0),"HATA: tutar geçersiz",IF(B503&lt;&gt;TRIM(B503),"HATA: isimde baştaki/sondaki boşluk",IF(COUNTIF(KaynakAralik,H503)=0,"HATA: kaynak listede yok",IF(AND(F503&lt;&gt;"Bekleniyor",F503&lt;&gt;"Geldi",F503&lt;&gt;"İptal"),"HATA: giriş durumu geçersiz",IF(AND(F503&lt;&gt;"İptal",COUNTIFS($A$6:$A$1005,A503,$D$6:$D$1005,"&lt;"&amp;E503,$E$6:$E$1005,"&gt;"&amp;D503,$F$6:$F$1005,"&lt;&gt;İptal")&gt;1),"HATA: oda bu tarihlerde çakışıyor",IF(AND(F503="Bekleniyor",D503&lt;RaporTarihi),"HATA: giriş günü geçti, Geldi veya İptal yapın","OK"))))))))))))</f>
        <v/>
      </c>
      <c r="L503" s="25">
        <f>IF(AND(ISNUMBER(A503),F503&lt;&gt;"İptal",ISNUMBER(D503),ISNUMBER(E503),D503&lt;=RaporTarihi,E503&gt;RaporTarihi),A503,"")</f>
        <v/>
      </c>
    </row>
    <row r="504">
      <c r="A504" s="22" t="n"/>
      <c r="B504" s="22" t="n"/>
      <c r="C504" s="22" t="n"/>
      <c r="D504" s="23" t="n"/>
      <c r="E504" s="23" t="n"/>
      <c r="F504" s="22" t="n"/>
      <c r="G504" s="24" t="n"/>
      <c r="H504" s="22" t="n"/>
      <c r="I504" s="25">
        <f>IF(AND(ISNUMBER(D504),ISNUMBER(E504)),E504-D504,"")</f>
        <v/>
      </c>
      <c r="J504" s="26">
        <f>IF(AND(ISNUMBER(I504),ISNUMBER(G504)),IF(I504&gt;0,G504/I504,""),"")</f>
        <v/>
      </c>
      <c r="K504" s="25">
        <f>IF(COUNTA(A504:H504)=0,"",IF(OR(A504="",B504="",C504="",D504="",E504="",F504="",G504="",H504=""),"HATA: eksik bilgi",IF(COUNTIF(OdaListesi,A504)=0,"HATA: geçersiz oda no",IF(OR(NOT(ISNUMBER(D504)),NOT(ISNUMBER(E504))),"HATA: tarih geçersiz",IF(E504&lt;=D504,"HATA: çıkış girişten sonra olmalı",IF(OR(NOT(ISNUMBER(C504)),C504&lt;1,C504&gt;MaxKisi,C504&lt;&gt;INT(C504)),"HATA: kişi sayısı geçersiz",IF(OR(NOT(ISNUMBER(G504)),G504&lt;0),"HATA: tutar geçersiz",IF(B504&lt;&gt;TRIM(B504),"HATA: isimde baştaki/sondaki boşluk",IF(COUNTIF(KaynakAralik,H504)=0,"HATA: kaynak listede yok",IF(AND(F504&lt;&gt;"Bekleniyor",F504&lt;&gt;"Geldi",F504&lt;&gt;"İptal"),"HATA: giriş durumu geçersiz",IF(AND(F504&lt;&gt;"İptal",COUNTIFS($A$6:$A$1005,A504,$D$6:$D$1005,"&lt;"&amp;E504,$E$6:$E$1005,"&gt;"&amp;D504,$F$6:$F$1005,"&lt;&gt;İptal")&gt;1),"HATA: oda bu tarihlerde çakışıyor",IF(AND(F504="Bekleniyor",D504&lt;RaporTarihi),"HATA: giriş günü geçti, Geldi veya İptal yapın","OK"))))))))))))</f>
        <v/>
      </c>
      <c r="L504" s="25">
        <f>IF(AND(ISNUMBER(A504),F504&lt;&gt;"İptal",ISNUMBER(D504),ISNUMBER(E504),D504&lt;=RaporTarihi,E504&gt;RaporTarihi),A504,"")</f>
        <v/>
      </c>
    </row>
    <row r="505">
      <c r="A505" s="22" t="n"/>
      <c r="B505" s="22" t="n"/>
      <c r="C505" s="22" t="n"/>
      <c r="D505" s="23" t="n"/>
      <c r="E505" s="23" t="n"/>
      <c r="F505" s="22" t="n"/>
      <c r="G505" s="24" t="n"/>
      <c r="H505" s="22" t="n"/>
      <c r="I505" s="25">
        <f>IF(AND(ISNUMBER(D505),ISNUMBER(E505)),E505-D505,"")</f>
        <v/>
      </c>
      <c r="J505" s="26">
        <f>IF(AND(ISNUMBER(I505),ISNUMBER(G505)),IF(I505&gt;0,G505/I505,""),"")</f>
        <v/>
      </c>
      <c r="K505" s="25">
        <f>IF(COUNTA(A505:H505)=0,"",IF(OR(A505="",B505="",C505="",D505="",E505="",F505="",G505="",H505=""),"HATA: eksik bilgi",IF(COUNTIF(OdaListesi,A505)=0,"HATA: geçersiz oda no",IF(OR(NOT(ISNUMBER(D505)),NOT(ISNUMBER(E505))),"HATA: tarih geçersiz",IF(E505&lt;=D505,"HATA: çıkış girişten sonra olmalı",IF(OR(NOT(ISNUMBER(C505)),C505&lt;1,C505&gt;MaxKisi,C505&lt;&gt;INT(C505)),"HATA: kişi sayısı geçersiz",IF(OR(NOT(ISNUMBER(G505)),G505&lt;0),"HATA: tutar geçersiz",IF(B505&lt;&gt;TRIM(B505),"HATA: isimde baştaki/sondaki boşluk",IF(COUNTIF(KaynakAralik,H505)=0,"HATA: kaynak listede yok",IF(AND(F505&lt;&gt;"Bekleniyor",F505&lt;&gt;"Geldi",F505&lt;&gt;"İptal"),"HATA: giriş durumu geçersiz",IF(AND(F505&lt;&gt;"İptal",COUNTIFS($A$6:$A$1005,A505,$D$6:$D$1005,"&lt;"&amp;E505,$E$6:$E$1005,"&gt;"&amp;D505,$F$6:$F$1005,"&lt;&gt;İptal")&gt;1),"HATA: oda bu tarihlerde çakışıyor",IF(AND(F505="Bekleniyor",D505&lt;RaporTarihi),"HATA: giriş günü geçti, Geldi veya İptal yapın","OK"))))))))))))</f>
        <v/>
      </c>
      <c r="L505" s="25">
        <f>IF(AND(ISNUMBER(A505),F505&lt;&gt;"İptal",ISNUMBER(D505),ISNUMBER(E505),D505&lt;=RaporTarihi,E505&gt;RaporTarihi),A505,"")</f>
        <v/>
      </c>
    </row>
    <row r="506">
      <c r="A506" s="22" t="n"/>
      <c r="B506" s="22" t="n"/>
      <c r="C506" s="22" t="n"/>
      <c r="D506" s="23" t="n"/>
      <c r="E506" s="23" t="n"/>
      <c r="F506" s="22" t="n"/>
      <c r="G506" s="24" t="n"/>
      <c r="H506" s="22" t="n"/>
      <c r="I506" s="25">
        <f>IF(AND(ISNUMBER(D506),ISNUMBER(E506)),E506-D506,"")</f>
        <v/>
      </c>
      <c r="J506" s="26">
        <f>IF(AND(ISNUMBER(I506),ISNUMBER(G506)),IF(I506&gt;0,G506/I506,""),"")</f>
        <v/>
      </c>
      <c r="K506" s="25">
        <f>IF(COUNTA(A506:H506)=0,"",IF(OR(A506="",B506="",C506="",D506="",E506="",F506="",G506="",H506=""),"HATA: eksik bilgi",IF(COUNTIF(OdaListesi,A506)=0,"HATA: geçersiz oda no",IF(OR(NOT(ISNUMBER(D506)),NOT(ISNUMBER(E506))),"HATA: tarih geçersiz",IF(E506&lt;=D506,"HATA: çıkış girişten sonra olmalı",IF(OR(NOT(ISNUMBER(C506)),C506&lt;1,C506&gt;MaxKisi,C506&lt;&gt;INT(C506)),"HATA: kişi sayısı geçersiz",IF(OR(NOT(ISNUMBER(G506)),G506&lt;0),"HATA: tutar geçersiz",IF(B506&lt;&gt;TRIM(B506),"HATA: isimde baştaki/sondaki boşluk",IF(COUNTIF(KaynakAralik,H506)=0,"HATA: kaynak listede yok",IF(AND(F506&lt;&gt;"Bekleniyor",F506&lt;&gt;"Geldi",F506&lt;&gt;"İptal"),"HATA: giriş durumu geçersiz",IF(AND(F506&lt;&gt;"İptal",COUNTIFS($A$6:$A$1005,A506,$D$6:$D$1005,"&lt;"&amp;E506,$E$6:$E$1005,"&gt;"&amp;D506,$F$6:$F$1005,"&lt;&gt;İptal")&gt;1),"HATA: oda bu tarihlerde çakışıyor",IF(AND(F506="Bekleniyor",D506&lt;RaporTarihi),"HATA: giriş günü geçti, Geldi veya İptal yapın","OK"))))))))))))</f>
        <v/>
      </c>
      <c r="L506" s="25">
        <f>IF(AND(ISNUMBER(A506),F506&lt;&gt;"İptal",ISNUMBER(D506),ISNUMBER(E506),D506&lt;=RaporTarihi,E506&gt;RaporTarihi),A506,"")</f>
        <v/>
      </c>
    </row>
    <row r="507">
      <c r="A507" s="22" t="n"/>
      <c r="B507" s="22" t="n"/>
      <c r="C507" s="22" t="n"/>
      <c r="D507" s="23" t="n"/>
      <c r="E507" s="23" t="n"/>
      <c r="F507" s="22" t="n"/>
      <c r="G507" s="24" t="n"/>
      <c r="H507" s="22" t="n"/>
      <c r="I507" s="25">
        <f>IF(AND(ISNUMBER(D507),ISNUMBER(E507)),E507-D507,"")</f>
        <v/>
      </c>
      <c r="J507" s="26">
        <f>IF(AND(ISNUMBER(I507),ISNUMBER(G507)),IF(I507&gt;0,G507/I507,""),"")</f>
        <v/>
      </c>
      <c r="K507" s="25">
        <f>IF(COUNTA(A507:H507)=0,"",IF(OR(A507="",B507="",C507="",D507="",E507="",F507="",G507="",H507=""),"HATA: eksik bilgi",IF(COUNTIF(OdaListesi,A507)=0,"HATA: geçersiz oda no",IF(OR(NOT(ISNUMBER(D507)),NOT(ISNUMBER(E507))),"HATA: tarih geçersiz",IF(E507&lt;=D507,"HATA: çıkış girişten sonra olmalı",IF(OR(NOT(ISNUMBER(C507)),C507&lt;1,C507&gt;MaxKisi,C507&lt;&gt;INT(C507)),"HATA: kişi sayısı geçersiz",IF(OR(NOT(ISNUMBER(G507)),G507&lt;0),"HATA: tutar geçersiz",IF(B507&lt;&gt;TRIM(B507),"HATA: isimde baştaki/sondaki boşluk",IF(COUNTIF(KaynakAralik,H507)=0,"HATA: kaynak listede yok",IF(AND(F507&lt;&gt;"Bekleniyor",F507&lt;&gt;"Geldi",F507&lt;&gt;"İptal"),"HATA: giriş durumu geçersiz",IF(AND(F507&lt;&gt;"İptal",COUNTIFS($A$6:$A$1005,A507,$D$6:$D$1005,"&lt;"&amp;E507,$E$6:$E$1005,"&gt;"&amp;D507,$F$6:$F$1005,"&lt;&gt;İptal")&gt;1),"HATA: oda bu tarihlerde çakışıyor",IF(AND(F507="Bekleniyor",D507&lt;RaporTarihi),"HATA: giriş günü geçti, Geldi veya İptal yapın","OK"))))))))))))</f>
        <v/>
      </c>
      <c r="L507" s="25">
        <f>IF(AND(ISNUMBER(A507),F507&lt;&gt;"İptal",ISNUMBER(D507),ISNUMBER(E507),D507&lt;=RaporTarihi,E507&gt;RaporTarihi),A507,"")</f>
        <v/>
      </c>
    </row>
    <row r="508">
      <c r="A508" s="22" t="n"/>
      <c r="B508" s="22" t="n"/>
      <c r="C508" s="22" t="n"/>
      <c r="D508" s="23" t="n"/>
      <c r="E508" s="23" t="n"/>
      <c r="F508" s="22" t="n"/>
      <c r="G508" s="24" t="n"/>
      <c r="H508" s="22" t="n"/>
      <c r="I508" s="25">
        <f>IF(AND(ISNUMBER(D508),ISNUMBER(E508)),E508-D508,"")</f>
        <v/>
      </c>
      <c r="J508" s="26">
        <f>IF(AND(ISNUMBER(I508),ISNUMBER(G508)),IF(I508&gt;0,G508/I508,""),"")</f>
        <v/>
      </c>
      <c r="K508" s="25">
        <f>IF(COUNTA(A508:H508)=0,"",IF(OR(A508="",B508="",C508="",D508="",E508="",F508="",G508="",H508=""),"HATA: eksik bilgi",IF(COUNTIF(OdaListesi,A508)=0,"HATA: geçersiz oda no",IF(OR(NOT(ISNUMBER(D508)),NOT(ISNUMBER(E508))),"HATA: tarih geçersiz",IF(E508&lt;=D508,"HATA: çıkış girişten sonra olmalı",IF(OR(NOT(ISNUMBER(C508)),C508&lt;1,C508&gt;MaxKisi,C508&lt;&gt;INT(C508)),"HATA: kişi sayısı geçersiz",IF(OR(NOT(ISNUMBER(G508)),G508&lt;0),"HATA: tutar geçersiz",IF(B508&lt;&gt;TRIM(B508),"HATA: isimde baştaki/sondaki boşluk",IF(COUNTIF(KaynakAralik,H508)=0,"HATA: kaynak listede yok",IF(AND(F508&lt;&gt;"Bekleniyor",F508&lt;&gt;"Geldi",F508&lt;&gt;"İptal"),"HATA: giriş durumu geçersiz",IF(AND(F508&lt;&gt;"İptal",COUNTIFS($A$6:$A$1005,A508,$D$6:$D$1005,"&lt;"&amp;E508,$E$6:$E$1005,"&gt;"&amp;D508,$F$6:$F$1005,"&lt;&gt;İptal")&gt;1),"HATA: oda bu tarihlerde çakışıyor",IF(AND(F508="Bekleniyor",D508&lt;RaporTarihi),"HATA: giriş günü geçti, Geldi veya İptal yapın","OK"))))))))))))</f>
        <v/>
      </c>
      <c r="L508" s="25">
        <f>IF(AND(ISNUMBER(A508),F508&lt;&gt;"İptal",ISNUMBER(D508),ISNUMBER(E508),D508&lt;=RaporTarihi,E508&gt;RaporTarihi),A508,"")</f>
        <v/>
      </c>
    </row>
    <row r="509">
      <c r="A509" s="22" t="n"/>
      <c r="B509" s="22" t="n"/>
      <c r="C509" s="22" t="n"/>
      <c r="D509" s="23" t="n"/>
      <c r="E509" s="23" t="n"/>
      <c r="F509" s="22" t="n"/>
      <c r="G509" s="24" t="n"/>
      <c r="H509" s="22" t="n"/>
      <c r="I509" s="25">
        <f>IF(AND(ISNUMBER(D509),ISNUMBER(E509)),E509-D509,"")</f>
        <v/>
      </c>
      <c r="J509" s="26">
        <f>IF(AND(ISNUMBER(I509),ISNUMBER(G509)),IF(I509&gt;0,G509/I509,""),"")</f>
        <v/>
      </c>
      <c r="K509" s="25">
        <f>IF(COUNTA(A509:H509)=0,"",IF(OR(A509="",B509="",C509="",D509="",E509="",F509="",G509="",H509=""),"HATA: eksik bilgi",IF(COUNTIF(OdaListesi,A509)=0,"HATA: geçersiz oda no",IF(OR(NOT(ISNUMBER(D509)),NOT(ISNUMBER(E509))),"HATA: tarih geçersiz",IF(E509&lt;=D509,"HATA: çıkış girişten sonra olmalı",IF(OR(NOT(ISNUMBER(C509)),C509&lt;1,C509&gt;MaxKisi,C509&lt;&gt;INT(C509)),"HATA: kişi sayısı geçersiz",IF(OR(NOT(ISNUMBER(G509)),G509&lt;0),"HATA: tutar geçersiz",IF(B509&lt;&gt;TRIM(B509),"HATA: isimde baştaki/sondaki boşluk",IF(COUNTIF(KaynakAralik,H509)=0,"HATA: kaynak listede yok",IF(AND(F509&lt;&gt;"Bekleniyor",F509&lt;&gt;"Geldi",F509&lt;&gt;"İptal"),"HATA: giriş durumu geçersiz",IF(AND(F509&lt;&gt;"İptal",COUNTIFS($A$6:$A$1005,A509,$D$6:$D$1005,"&lt;"&amp;E509,$E$6:$E$1005,"&gt;"&amp;D509,$F$6:$F$1005,"&lt;&gt;İptal")&gt;1),"HATA: oda bu tarihlerde çakışıyor",IF(AND(F509="Bekleniyor",D509&lt;RaporTarihi),"HATA: giriş günü geçti, Geldi veya İptal yapın","OK"))))))))))))</f>
        <v/>
      </c>
      <c r="L509" s="25">
        <f>IF(AND(ISNUMBER(A509),F509&lt;&gt;"İptal",ISNUMBER(D509),ISNUMBER(E509),D509&lt;=RaporTarihi,E509&gt;RaporTarihi),A509,"")</f>
        <v/>
      </c>
    </row>
    <row r="510">
      <c r="A510" s="22" t="n"/>
      <c r="B510" s="22" t="n"/>
      <c r="C510" s="22" t="n"/>
      <c r="D510" s="23" t="n"/>
      <c r="E510" s="23" t="n"/>
      <c r="F510" s="22" t="n"/>
      <c r="G510" s="24" t="n"/>
      <c r="H510" s="22" t="n"/>
      <c r="I510" s="25">
        <f>IF(AND(ISNUMBER(D510),ISNUMBER(E510)),E510-D510,"")</f>
        <v/>
      </c>
      <c r="J510" s="26">
        <f>IF(AND(ISNUMBER(I510),ISNUMBER(G510)),IF(I510&gt;0,G510/I510,""),"")</f>
        <v/>
      </c>
      <c r="K510" s="25">
        <f>IF(COUNTA(A510:H510)=0,"",IF(OR(A510="",B510="",C510="",D510="",E510="",F510="",G510="",H510=""),"HATA: eksik bilgi",IF(COUNTIF(OdaListesi,A510)=0,"HATA: geçersiz oda no",IF(OR(NOT(ISNUMBER(D510)),NOT(ISNUMBER(E510))),"HATA: tarih geçersiz",IF(E510&lt;=D510,"HATA: çıkış girişten sonra olmalı",IF(OR(NOT(ISNUMBER(C510)),C510&lt;1,C510&gt;MaxKisi,C510&lt;&gt;INT(C510)),"HATA: kişi sayısı geçersiz",IF(OR(NOT(ISNUMBER(G510)),G510&lt;0),"HATA: tutar geçersiz",IF(B510&lt;&gt;TRIM(B510),"HATA: isimde baştaki/sondaki boşluk",IF(COUNTIF(KaynakAralik,H510)=0,"HATA: kaynak listede yok",IF(AND(F510&lt;&gt;"Bekleniyor",F510&lt;&gt;"Geldi",F510&lt;&gt;"İptal"),"HATA: giriş durumu geçersiz",IF(AND(F510&lt;&gt;"İptal",COUNTIFS($A$6:$A$1005,A510,$D$6:$D$1005,"&lt;"&amp;E510,$E$6:$E$1005,"&gt;"&amp;D510,$F$6:$F$1005,"&lt;&gt;İptal")&gt;1),"HATA: oda bu tarihlerde çakışıyor",IF(AND(F510="Bekleniyor",D510&lt;RaporTarihi),"HATA: giriş günü geçti, Geldi veya İptal yapın","OK"))))))))))))</f>
        <v/>
      </c>
      <c r="L510" s="25">
        <f>IF(AND(ISNUMBER(A510),F510&lt;&gt;"İptal",ISNUMBER(D510),ISNUMBER(E510),D510&lt;=RaporTarihi,E510&gt;RaporTarihi),A510,"")</f>
        <v/>
      </c>
    </row>
    <row r="511">
      <c r="A511" s="22" t="n"/>
      <c r="B511" s="22" t="n"/>
      <c r="C511" s="22" t="n"/>
      <c r="D511" s="23" t="n"/>
      <c r="E511" s="23" t="n"/>
      <c r="F511" s="22" t="n"/>
      <c r="G511" s="24" t="n"/>
      <c r="H511" s="22" t="n"/>
      <c r="I511" s="25">
        <f>IF(AND(ISNUMBER(D511),ISNUMBER(E511)),E511-D511,"")</f>
        <v/>
      </c>
      <c r="J511" s="26">
        <f>IF(AND(ISNUMBER(I511),ISNUMBER(G511)),IF(I511&gt;0,G511/I511,""),"")</f>
        <v/>
      </c>
      <c r="K511" s="25">
        <f>IF(COUNTA(A511:H511)=0,"",IF(OR(A511="",B511="",C511="",D511="",E511="",F511="",G511="",H511=""),"HATA: eksik bilgi",IF(COUNTIF(OdaListesi,A511)=0,"HATA: geçersiz oda no",IF(OR(NOT(ISNUMBER(D511)),NOT(ISNUMBER(E511))),"HATA: tarih geçersiz",IF(E511&lt;=D511,"HATA: çıkış girişten sonra olmalı",IF(OR(NOT(ISNUMBER(C511)),C511&lt;1,C511&gt;MaxKisi,C511&lt;&gt;INT(C511)),"HATA: kişi sayısı geçersiz",IF(OR(NOT(ISNUMBER(G511)),G511&lt;0),"HATA: tutar geçersiz",IF(B511&lt;&gt;TRIM(B511),"HATA: isimde baştaki/sondaki boşluk",IF(COUNTIF(KaynakAralik,H511)=0,"HATA: kaynak listede yok",IF(AND(F511&lt;&gt;"Bekleniyor",F511&lt;&gt;"Geldi",F511&lt;&gt;"İptal"),"HATA: giriş durumu geçersiz",IF(AND(F511&lt;&gt;"İptal",COUNTIFS($A$6:$A$1005,A511,$D$6:$D$1005,"&lt;"&amp;E511,$E$6:$E$1005,"&gt;"&amp;D511,$F$6:$F$1005,"&lt;&gt;İptal")&gt;1),"HATA: oda bu tarihlerde çakışıyor",IF(AND(F511="Bekleniyor",D511&lt;RaporTarihi),"HATA: giriş günü geçti, Geldi veya İptal yapın","OK"))))))))))))</f>
        <v/>
      </c>
      <c r="L511" s="25">
        <f>IF(AND(ISNUMBER(A511),F511&lt;&gt;"İptal",ISNUMBER(D511),ISNUMBER(E511),D511&lt;=RaporTarihi,E511&gt;RaporTarihi),A511,"")</f>
        <v/>
      </c>
    </row>
    <row r="512">
      <c r="A512" s="22" t="n"/>
      <c r="B512" s="22" t="n"/>
      <c r="C512" s="22" t="n"/>
      <c r="D512" s="23" t="n"/>
      <c r="E512" s="23" t="n"/>
      <c r="F512" s="22" t="n"/>
      <c r="G512" s="24" t="n"/>
      <c r="H512" s="22" t="n"/>
      <c r="I512" s="25">
        <f>IF(AND(ISNUMBER(D512),ISNUMBER(E512)),E512-D512,"")</f>
        <v/>
      </c>
      <c r="J512" s="26">
        <f>IF(AND(ISNUMBER(I512),ISNUMBER(G512)),IF(I512&gt;0,G512/I512,""),"")</f>
        <v/>
      </c>
      <c r="K512" s="25">
        <f>IF(COUNTA(A512:H512)=0,"",IF(OR(A512="",B512="",C512="",D512="",E512="",F512="",G512="",H512=""),"HATA: eksik bilgi",IF(COUNTIF(OdaListesi,A512)=0,"HATA: geçersiz oda no",IF(OR(NOT(ISNUMBER(D512)),NOT(ISNUMBER(E512))),"HATA: tarih geçersiz",IF(E512&lt;=D512,"HATA: çıkış girişten sonra olmalı",IF(OR(NOT(ISNUMBER(C512)),C512&lt;1,C512&gt;MaxKisi,C512&lt;&gt;INT(C512)),"HATA: kişi sayısı geçersiz",IF(OR(NOT(ISNUMBER(G512)),G512&lt;0),"HATA: tutar geçersiz",IF(B512&lt;&gt;TRIM(B512),"HATA: isimde baştaki/sondaki boşluk",IF(COUNTIF(KaynakAralik,H512)=0,"HATA: kaynak listede yok",IF(AND(F512&lt;&gt;"Bekleniyor",F512&lt;&gt;"Geldi",F512&lt;&gt;"İptal"),"HATA: giriş durumu geçersiz",IF(AND(F512&lt;&gt;"İptal",COUNTIFS($A$6:$A$1005,A512,$D$6:$D$1005,"&lt;"&amp;E512,$E$6:$E$1005,"&gt;"&amp;D512,$F$6:$F$1005,"&lt;&gt;İptal")&gt;1),"HATA: oda bu tarihlerde çakışıyor",IF(AND(F512="Bekleniyor",D512&lt;RaporTarihi),"HATA: giriş günü geçti, Geldi veya İptal yapın","OK"))))))))))))</f>
        <v/>
      </c>
      <c r="L512" s="25">
        <f>IF(AND(ISNUMBER(A512),F512&lt;&gt;"İptal",ISNUMBER(D512),ISNUMBER(E512),D512&lt;=RaporTarihi,E512&gt;RaporTarihi),A512,"")</f>
        <v/>
      </c>
    </row>
    <row r="513">
      <c r="A513" s="22" t="n"/>
      <c r="B513" s="22" t="n"/>
      <c r="C513" s="22" t="n"/>
      <c r="D513" s="23" t="n"/>
      <c r="E513" s="23" t="n"/>
      <c r="F513" s="22" t="n"/>
      <c r="G513" s="24" t="n"/>
      <c r="H513" s="22" t="n"/>
      <c r="I513" s="25">
        <f>IF(AND(ISNUMBER(D513),ISNUMBER(E513)),E513-D513,"")</f>
        <v/>
      </c>
      <c r="J513" s="26">
        <f>IF(AND(ISNUMBER(I513),ISNUMBER(G513)),IF(I513&gt;0,G513/I513,""),"")</f>
        <v/>
      </c>
      <c r="K513" s="25">
        <f>IF(COUNTA(A513:H513)=0,"",IF(OR(A513="",B513="",C513="",D513="",E513="",F513="",G513="",H513=""),"HATA: eksik bilgi",IF(COUNTIF(OdaListesi,A513)=0,"HATA: geçersiz oda no",IF(OR(NOT(ISNUMBER(D513)),NOT(ISNUMBER(E513))),"HATA: tarih geçersiz",IF(E513&lt;=D513,"HATA: çıkış girişten sonra olmalı",IF(OR(NOT(ISNUMBER(C513)),C513&lt;1,C513&gt;MaxKisi,C513&lt;&gt;INT(C513)),"HATA: kişi sayısı geçersiz",IF(OR(NOT(ISNUMBER(G513)),G513&lt;0),"HATA: tutar geçersiz",IF(B513&lt;&gt;TRIM(B513),"HATA: isimde baştaki/sondaki boşluk",IF(COUNTIF(KaynakAralik,H513)=0,"HATA: kaynak listede yok",IF(AND(F513&lt;&gt;"Bekleniyor",F513&lt;&gt;"Geldi",F513&lt;&gt;"İptal"),"HATA: giriş durumu geçersiz",IF(AND(F513&lt;&gt;"İptal",COUNTIFS($A$6:$A$1005,A513,$D$6:$D$1005,"&lt;"&amp;E513,$E$6:$E$1005,"&gt;"&amp;D513,$F$6:$F$1005,"&lt;&gt;İptal")&gt;1),"HATA: oda bu tarihlerde çakışıyor",IF(AND(F513="Bekleniyor",D513&lt;RaporTarihi),"HATA: giriş günü geçti, Geldi veya İptal yapın","OK"))))))))))))</f>
        <v/>
      </c>
      <c r="L513" s="25">
        <f>IF(AND(ISNUMBER(A513),F513&lt;&gt;"İptal",ISNUMBER(D513),ISNUMBER(E513),D513&lt;=RaporTarihi,E513&gt;RaporTarihi),A513,"")</f>
        <v/>
      </c>
    </row>
    <row r="514">
      <c r="A514" s="22" t="n"/>
      <c r="B514" s="22" t="n"/>
      <c r="C514" s="22" t="n"/>
      <c r="D514" s="23" t="n"/>
      <c r="E514" s="23" t="n"/>
      <c r="F514" s="22" t="n"/>
      <c r="G514" s="24" t="n"/>
      <c r="H514" s="22" t="n"/>
      <c r="I514" s="25">
        <f>IF(AND(ISNUMBER(D514),ISNUMBER(E514)),E514-D514,"")</f>
        <v/>
      </c>
      <c r="J514" s="26">
        <f>IF(AND(ISNUMBER(I514),ISNUMBER(G514)),IF(I514&gt;0,G514/I514,""),"")</f>
        <v/>
      </c>
      <c r="K514" s="25">
        <f>IF(COUNTA(A514:H514)=0,"",IF(OR(A514="",B514="",C514="",D514="",E514="",F514="",G514="",H514=""),"HATA: eksik bilgi",IF(COUNTIF(OdaListesi,A514)=0,"HATA: geçersiz oda no",IF(OR(NOT(ISNUMBER(D514)),NOT(ISNUMBER(E514))),"HATA: tarih geçersiz",IF(E514&lt;=D514,"HATA: çıkış girişten sonra olmalı",IF(OR(NOT(ISNUMBER(C514)),C514&lt;1,C514&gt;MaxKisi,C514&lt;&gt;INT(C514)),"HATA: kişi sayısı geçersiz",IF(OR(NOT(ISNUMBER(G514)),G514&lt;0),"HATA: tutar geçersiz",IF(B514&lt;&gt;TRIM(B514),"HATA: isimde baştaki/sondaki boşluk",IF(COUNTIF(KaynakAralik,H514)=0,"HATA: kaynak listede yok",IF(AND(F514&lt;&gt;"Bekleniyor",F514&lt;&gt;"Geldi",F514&lt;&gt;"İptal"),"HATA: giriş durumu geçersiz",IF(AND(F514&lt;&gt;"İptal",COUNTIFS($A$6:$A$1005,A514,$D$6:$D$1005,"&lt;"&amp;E514,$E$6:$E$1005,"&gt;"&amp;D514,$F$6:$F$1005,"&lt;&gt;İptal")&gt;1),"HATA: oda bu tarihlerde çakışıyor",IF(AND(F514="Bekleniyor",D514&lt;RaporTarihi),"HATA: giriş günü geçti, Geldi veya İptal yapın","OK"))))))))))))</f>
        <v/>
      </c>
      <c r="L514" s="25">
        <f>IF(AND(ISNUMBER(A514),F514&lt;&gt;"İptal",ISNUMBER(D514),ISNUMBER(E514),D514&lt;=RaporTarihi,E514&gt;RaporTarihi),A514,"")</f>
        <v/>
      </c>
    </row>
    <row r="515">
      <c r="A515" s="22" t="n"/>
      <c r="B515" s="22" t="n"/>
      <c r="C515" s="22" t="n"/>
      <c r="D515" s="23" t="n"/>
      <c r="E515" s="23" t="n"/>
      <c r="F515" s="22" t="n"/>
      <c r="G515" s="24" t="n"/>
      <c r="H515" s="22" t="n"/>
      <c r="I515" s="25">
        <f>IF(AND(ISNUMBER(D515),ISNUMBER(E515)),E515-D515,"")</f>
        <v/>
      </c>
      <c r="J515" s="26">
        <f>IF(AND(ISNUMBER(I515),ISNUMBER(G515)),IF(I515&gt;0,G515/I515,""),"")</f>
        <v/>
      </c>
      <c r="K515" s="25">
        <f>IF(COUNTA(A515:H515)=0,"",IF(OR(A515="",B515="",C515="",D515="",E515="",F515="",G515="",H515=""),"HATA: eksik bilgi",IF(COUNTIF(OdaListesi,A515)=0,"HATA: geçersiz oda no",IF(OR(NOT(ISNUMBER(D515)),NOT(ISNUMBER(E515))),"HATA: tarih geçersiz",IF(E515&lt;=D515,"HATA: çıkış girişten sonra olmalı",IF(OR(NOT(ISNUMBER(C515)),C515&lt;1,C515&gt;MaxKisi,C515&lt;&gt;INT(C515)),"HATA: kişi sayısı geçersiz",IF(OR(NOT(ISNUMBER(G515)),G515&lt;0),"HATA: tutar geçersiz",IF(B515&lt;&gt;TRIM(B515),"HATA: isimde baştaki/sondaki boşluk",IF(COUNTIF(KaynakAralik,H515)=0,"HATA: kaynak listede yok",IF(AND(F515&lt;&gt;"Bekleniyor",F515&lt;&gt;"Geldi",F515&lt;&gt;"İptal"),"HATA: giriş durumu geçersiz",IF(AND(F515&lt;&gt;"İptal",COUNTIFS($A$6:$A$1005,A515,$D$6:$D$1005,"&lt;"&amp;E515,$E$6:$E$1005,"&gt;"&amp;D515,$F$6:$F$1005,"&lt;&gt;İptal")&gt;1),"HATA: oda bu tarihlerde çakışıyor",IF(AND(F515="Bekleniyor",D515&lt;RaporTarihi),"HATA: giriş günü geçti, Geldi veya İptal yapın","OK"))))))))))))</f>
        <v/>
      </c>
      <c r="L515" s="25">
        <f>IF(AND(ISNUMBER(A515),F515&lt;&gt;"İptal",ISNUMBER(D515),ISNUMBER(E515),D515&lt;=RaporTarihi,E515&gt;RaporTarihi),A515,"")</f>
        <v/>
      </c>
    </row>
    <row r="516">
      <c r="A516" s="22" t="n"/>
      <c r="B516" s="22" t="n"/>
      <c r="C516" s="22" t="n"/>
      <c r="D516" s="23" t="n"/>
      <c r="E516" s="23" t="n"/>
      <c r="F516" s="22" t="n"/>
      <c r="G516" s="24" t="n"/>
      <c r="H516" s="22" t="n"/>
      <c r="I516" s="25">
        <f>IF(AND(ISNUMBER(D516),ISNUMBER(E516)),E516-D516,"")</f>
        <v/>
      </c>
      <c r="J516" s="26">
        <f>IF(AND(ISNUMBER(I516),ISNUMBER(G516)),IF(I516&gt;0,G516/I516,""),"")</f>
        <v/>
      </c>
      <c r="K516" s="25">
        <f>IF(COUNTA(A516:H516)=0,"",IF(OR(A516="",B516="",C516="",D516="",E516="",F516="",G516="",H516=""),"HATA: eksik bilgi",IF(COUNTIF(OdaListesi,A516)=0,"HATA: geçersiz oda no",IF(OR(NOT(ISNUMBER(D516)),NOT(ISNUMBER(E516))),"HATA: tarih geçersiz",IF(E516&lt;=D516,"HATA: çıkış girişten sonra olmalı",IF(OR(NOT(ISNUMBER(C516)),C516&lt;1,C516&gt;MaxKisi,C516&lt;&gt;INT(C516)),"HATA: kişi sayısı geçersiz",IF(OR(NOT(ISNUMBER(G516)),G516&lt;0),"HATA: tutar geçersiz",IF(B516&lt;&gt;TRIM(B516),"HATA: isimde baştaki/sondaki boşluk",IF(COUNTIF(KaynakAralik,H516)=0,"HATA: kaynak listede yok",IF(AND(F516&lt;&gt;"Bekleniyor",F516&lt;&gt;"Geldi",F516&lt;&gt;"İptal"),"HATA: giriş durumu geçersiz",IF(AND(F516&lt;&gt;"İptal",COUNTIFS($A$6:$A$1005,A516,$D$6:$D$1005,"&lt;"&amp;E516,$E$6:$E$1005,"&gt;"&amp;D516,$F$6:$F$1005,"&lt;&gt;İptal")&gt;1),"HATA: oda bu tarihlerde çakışıyor",IF(AND(F516="Bekleniyor",D516&lt;RaporTarihi),"HATA: giriş günü geçti, Geldi veya İptal yapın","OK"))))))))))))</f>
        <v/>
      </c>
      <c r="L516" s="25">
        <f>IF(AND(ISNUMBER(A516),F516&lt;&gt;"İptal",ISNUMBER(D516),ISNUMBER(E516),D516&lt;=RaporTarihi,E516&gt;RaporTarihi),A516,"")</f>
        <v/>
      </c>
    </row>
    <row r="517">
      <c r="A517" s="22" t="n"/>
      <c r="B517" s="22" t="n"/>
      <c r="C517" s="22" t="n"/>
      <c r="D517" s="23" t="n"/>
      <c r="E517" s="23" t="n"/>
      <c r="F517" s="22" t="n"/>
      <c r="G517" s="24" t="n"/>
      <c r="H517" s="22" t="n"/>
      <c r="I517" s="25">
        <f>IF(AND(ISNUMBER(D517),ISNUMBER(E517)),E517-D517,"")</f>
        <v/>
      </c>
      <c r="J517" s="26">
        <f>IF(AND(ISNUMBER(I517),ISNUMBER(G517)),IF(I517&gt;0,G517/I517,""),"")</f>
        <v/>
      </c>
      <c r="K517" s="25">
        <f>IF(COUNTA(A517:H517)=0,"",IF(OR(A517="",B517="",C517="",D517="",E517="",F517="",G517="",H517=""),"HATA: eksik bilgi",IF(COUNTIF(OdaListesi,A517)=0,"HATA: geçersiz oda no",IF(OR(NOT(ISNUMBER(D517)),NOT(ISNUMBER(E517))),"HATA: tarih geçersiz",IF(E517&lt;=D517,"HATA: çıkış girişten sonra olmalı",IF(OR(NOT(ISNUMBER(C517)),C517&lt;1,C517&gt;MaxKisi,C517&lt;&gt;INT(C517)),"HATA: kişi sayısı geçersiz",IF(OR(NOT(ISNUMBER(G517)),G517&lt;0),"HATA: tutar geçersiz",IF(B517&lt;&gt;TRIM(B517),"HATA: isimde baştaki/sondaki boşluk",IF(COUNTIF(KaynakAralik,H517)=0,"HATA: kaynak listede yok",IF(AND(F517&lt;&gt;"Bekleniyor",F517&lt;&gt;"Geldi",F517&lt;&gt;"İptal"),"HATA: giriş durumu geçersiz",IF(AND(F517&lt;&gt;"İptal",COUNTIFS($A$6:$A$1005,A517,$D$6:$D$1005,"&lt;"&amp;E517,$E$6:$E$1005,"&gt;"&amp;D517,$F$6:$F$1005,"&lt;&gt;İptal")&gt;1),"HATA: oda bu tarihlerde çakışıyor",IF(AND(F517="Bekleniyor",D517&lt;RaporTarihi),"HATA: giriş günü geçti, Geldi veya İptal yapın","OK"))))))))))))</f>
        <v/>
      </c>
      <c r="L517" s="25">
        <f>IF(AND(ISNUMBER(A517),F517&lt;&gt;"İptal",ISNUMBER(D517),ISNUMBER(E517),D517&lt;=RaporTarihi,E517&gt;RaporTarihi),A517,"")</f>
        <v/>
      </c>
    </row>
    <row r="518">
      <c r="A518" s="22" t="n"/>
      <c r="B518" s="22" t="n"/>
      <c r="C518" s="22" t="n"/>
      <c r="D518" s="23" t="n"/>
      <c r="E518" s="23" t="n"/>
      <c r="F518" s="22" t="n"/>
      <c r="G518" s="24" t="n"/>
      <c r="H518" s="22" t="n"/>
      <c r="I518" s="25">
        <f>IF(AND(ISNUMBER(D518),ISNUMBER(E518)),E518-D518,"")</f>
        <v/>
      </c>
      <c r="J518" s="26">
        <f>IF(AND(ISNUMBER(I518),ISNUMBER(G518)),IF(I518&gt;0,G518/I518,""),"")</f>
        <v/>
      </c>
      <c r="K518" s="25">
        <f>IF(COUNTA(A518:H518)=0,"",IF(OR(A518="",B518="",C518="",D518="",E518="",F518="",G518="",H518=""),"HATA: eksik bilgi",IF(COUNTIF(OdaListesi,A518)=0,"HATA: geçersiz oda no",IF(OR(NOT(ISNUMBER(D518)),NOT(ISNUMBER(E518))),"HATA: tarih geçersiz",IF(E518&lt;=D518,"HATA: çıkış girişten sonra olmalı",IF(OR(NOT(ISNUMBER(C518)),C518&lt;1,C518&gt;MaxKisi,C518&lt;&gt;INT(C518)),"HATA: kişi sayısı geçersiz",IF(OR(NOT(ISNUMBER(G518)),G518&lt;0),"HATA: tutar geçersiz",IF(B518&lt;&gt;TRIM(B518),"HATA: isimde baştaki/sondaki boşluk",IF(COUNTIF(KaynakAralik,H518)=0,"HATA: kaynak listede yok",IF(AND(F518&lt;&gt;"Bekleniyor",F518&lt;&gt;"Geldi",F518&lt;&gt;"İptal"),"HATA: giriş durumu geçersiz",IF(AND(F518&lt;&gt;"İptal",COUNTIFS($A$6:$A$1005,A518,$D$6:$D$1005,"&lt;"&amp;E518,$E$6:$E$1005,"&gt;"&amp;D518,$F$6:$F$1005,"&lt;&gt;İptal")&gt;1),"HATA: oda bu tarihlerde çakışıyor",IF(AND(F518="Bekleniyor",D518&lt;RaporTarihi),"HATA: giriş günü geçti, Geldi veya İptal yapın","OK"))))))))))))</f>
        <v/>
      </c>
      <c r="L518" s="25">
        <f>IF(AND(ISNUMBER(A518),F518&lt;&gt;"İptal",ISNUMBER(D518),ISNUMBER(E518),D518&lt;=RaporTarihi,E518&gt;RaporTarihi),A518,"")</f>
        <v/>
      </c>
    </row>
    <row r="519">
      <c r="A519" s="22" t="n"/>
      <c r="B519" s="22" t="n"/>
      <c r="C519" s="22" t="n"/>
      <c r="D519" s="23" t="n"/>
      <c r="E519" s="23" t="n"/>
      <c r="F519" s="22" t="n"/>
      <c r="G519" s="24" t="n"/>
      <c r="H519" s="22" t="n"/>
      <c r="I519" s="25">
        <f>IF(AND(ISNUMBER(D519),ISNUMBER(E519)),E519-D519,"")</f>
        <v/>
      </c>
      <c r="J519" s="26">
        <f>IF(AND(ISNUMBER(I519),ISNUMBER(G519)),IF(I519&gt;0,G519/I519,""),"")</f>
        <v/>
      </c>
      <c r="K519" s="25">
        <f>IF(COUNTA(A519:H519)=0,"",IF(OR(A519="",B519="",C519="",D519="",E519="",F519="",G519="",H519=""),"HATA: eksik bilgi",IF(COUNTIF(OdaListesi,A519)=0,"HATA: geçersiz oda no",IF(OR(NOT(ISNUMBER(D519)),NOT(ISNUMBER(E519))),"HATA: tarih geçersiz",IF(E519&lt;=D519,"HATA: çıkış girişten sonra olmalı",IF(OR(NOT(ISNUMBER(C519)),C519&lt;1,C519&gt;MaxKisi,C519&lt;&gt;INT(C519)),"HATA: kişi sayısı geçersiz",IF(OR(NOT(ISNUMBER(G519)),G519&lt;0),"HATA: tutar geçersiz",IF(B519&lt;&gt;TRIM(B519),"HATA: isimde baştaki/sondaki boşluk",IF(COUNTIF(KaynakAralik,H519)=0,"HATA: kaynak listede yok",IF(AND(F519&lt;&gt;"Bekleniyor",F519&lt;&gt;"Geldi",F519&lt;&gt;"İptal"),"HATA: giriş durumu geçersiz",IF(AND(F519&lt;&gt;"İptal",COUNTIFS($A$6:$A$1005,A519,$D$6:$D$1005,"&lt;"&amp;E519,$E$6:$E$1005,"&gt;"&amp;D519,$F$6:$F$1005,"&lt;&gt;İptal")&gt;1),"HATA: oda bu tarihlerde çakışıyor",IF(AND(F519="Bekleniyor",D519&lt;RaporTarihi),"HATA: giriş günü geçti, Geldi veya İptal yapın","OK"))))))))))))</f>
        <v/>
      </c>
      <c r="L519" s="25">
        <f>IF(AND(ISNUMBER(A519),F519&lt;&gt;"İptal",ISNUMBER(D519),ISNUMBER(E519),D519&lt;=RaporTarihi,E519&gt;RaporTarihi),A519,"")</f>
        <v/>
      </c>
    </row>
    <row r="520">
      <c r="A520" s="22" t="n"/>
      <c r="B520" s="22" t="n"/>
      <c r="C520" s="22" t="n"/>
      <c r="D520" s="23" t="n"/>
      <c r="E520" s="23" t="n"/>
      <c r="F520" s="22" t="n"/>
      <c r="G520" s="24" t="n"/>
      <c r="H520" s="22" t="n"/>
      <c r="I520" s="25">
        <f>IF(AND(ISNUMBER(D520),ISNUMBER(E520)),E520-D520,"")</f>
        <v/>
      </c>
      <c r="J520" s="26">
        <f>IF(AND(ISNUMBER(I520),ISNUMBER(G520)),IF(I520&gt;0,G520/I520,""),"")</f>
        <v/>
      </c>
      <c r="K520" s="25">
        <f>IF(COUNTA(A520:H520)=0,"",IF(OR(A520="",B520="",C520="",D520="",E520="",F520="",G520="",H520=""),"HATA: eksik bilgi",IF(COUNTIF(OdaListesi,A520)=0,"HATA: geçersiz oda no",IF(OR(NOT(ISNUMBER(D520)),NOT(ISNUMBER(E520))),"HATA: tarih geçersiz",IF(E520&lt;=D520,"HATA: çıkış girişten sonra olmalı",IF(OR(NOT(ISNUMBER(C520)),C520&lt;1,C520&gt;MaxKisi,C520&lt;&gt;INT(C520)),"HATA: kişi sayısı geçersiz",IF(OR(NOT(ISNUMBER(G520)),G520&lt;0),"HATA: tutar geçersiz",IF(B520&lt;&gt;TRIM(B520),"HATA: isimde baştaki/sondaki boşluk",IF(COUNTIF(KaynakAralik,H520)=0,"HATA: kaynak listede yok",IF(AND(F520&lt;&gt;"Bekleniyor",F520&lt;&gt;"Geldi",F520&lt;&gt;"İptal"),"HATA: giriş durumu geçersiz",IF(AND(F520&lt;&gt;"İptal",COUNTIFS($A$6:$A$1005,A520,$D$6:$D$1005,"&lt;"&amp;E520,$E$6:$E$1005,"&gt;"&amp;D520,$F$6:$F$1005,"&lt;&gt;İptal")&gt;1),"HATA: oda bu tarihlerde çakışıyor",IF(AND(F520="Bekleniyor",D520&lt;RaporTarihi),"HATA: giriş günü geçti, Geldi veya İptal yapın","OK"))))))))))))</f>
        <v/>
      </c>
      <c r="L520" s="25">
        <f>IF(AND(ISNUMBER(A520),F520&lt;&gt;"İptal",ISNUMBER(D520),ISNUMBER(E520),D520&lt;=RaporTarihi,E520&gt;RaporTarihi),A520,"")</f>
        <v/>
      </c>
    </row>
    <row r="521">
      <c r="A521" s="22" t="n"/>
      <c r="B521" s="22" t="n"/>
      <c r="C521" s="22" t="n"/>
      <c r="D521" s="23" t="n"/>
      <c r="E521" s="23" t="n"/>
      <c r="F521" s="22" t="n"/>
      <c r="G521" s="24" t="n"/>
      <c r="H521" s="22" t="n"/>
      <c r="I521" s="25">
        <f>IF(AND(ISNUMBER(D521),ISNUMBER(E521)),E521-D521,"")</f>
        <v/>
      </c>
      <c r="J521" s="26">
        <f>IF(AND(ISNUMBER(I521),ISNUMBER(G521)),IF(I521&gt;0,G521/I521,""),"")</f>
        <v/>
      </c>
      <c r="K521" s="25">
        <f>IF(COUNTA(A521:H521)=0,"",IF(OR(A521="",B521="",C521="",D521="",E521="",F521="",G521="",H521=""),"HATA: eksik bilgi",IF(COUNTIF(OdaListesi,A521)=0,"HATA: geçersiz oda no",IF(OR(NOT(ISNUMBER(D521)),NOT(ISNUMBER(E521))),"HATA: tarih geçersiz",IF(E521&lt;=D521,"HATA: çıkış girişten sonra olmalı",IF(OR(NOT(ISNUMBER(C521)),C521&lt;1,C521&gt;MaxKisi,C521&lt;&gt;INT(C521)),"HATA: kişi sayısı geçersiz",IF(OR(NOT(ISNUMBER(G521)),G521&lt;0),"HATA: tutar geçersiz",IF(B521&lt;&gt;TRIM(B521),"HATA: isimde baştaki/sondaki boşluk",IF(COUNTIF(KaynakAralik,H521)=0,"HATA: kaynak listede yok",IF(AND(F521&lt;&gt;"Bekleniyor",F521&lt;&gt;"Geldi",F521&lt;&gt;"İptal"),"HATA: giriş durumu geçersiz",IF(AND(F521&lt;&gt;"İptal",COUNTIFS($A$6:$A$1005,A521,$D$6:$D$1005,"&lt;"&amp;E521,$E$6:$E$1005,"&gt;"&amp;D521,$F$6:$F$1005,"&lt;&gt;İptal")&gt;1),"HATA: oda bu tarihlerde çakışıyor",IF(AND(F521="Bekleniyor",D521&lt;RaporTarihi),"HATA: giriş günü geçti, Geldi veya İptal yapın","OK"))))))))))))</f>
        <v/>
      </c>
      <c r="L521" s="25">
        <f>IF(AND(ISNUMBER(A521),F521&lt;&gt;"İptal",ISNUMBER(D521),ISNUMBER(E521),D521&lt;=RaporTarihi,E521&gt;RaporTarihi),A521,"")</f>
        <v/>
      </c>
    </row>
    <row r="522">
      <c r="A522" s="22" t="n"/>
      <c r="B522" s="22" t="n"/>
      <c r="C522" s="22" t="n"/>
      <c r="D522" s="23" t="n"/>
      <c r="E522" s="23" t="n"/>
      <c r="F522" s="22" t="n"/>
      <c r="G522" s="24" t="n"/>
      <c r="H522" s="22" t="n"/>
      <c r="I522" s="25">
        <f>IF(AND(ISNUMBER(D522),ISNUMBER(E522)),E522-D522,"")</f>
        <v/>
      </c>
      <c r="J522" s="26">
        <f>IF(AND(ISNUMBER(I522),ISNUMBER(G522)),IF(I522&gt;0,G522/I522,""),"")</f>
        <v/>
      </c>
      <c r="K522" s="25">
        <f>IF(COUNTA(A522:H522)=0,"",IF(OR(A522="",B522="",C522="",D522="",E522="",F522="",G522="",H522=""),"HATA: eksik bilgi",IF(COUNTIF(OdaListesi,A522)=0,"HATA: geçersiz oda no",IF(OR(NOT(ISNUMBER(D522)),NOT(ISNUMBER(E522))),"HATA: tarih geçersiz",IF(E522&lt;=D522,"HATA: çıkış girişten sonra olmalı",IF(OR(NOT(ISNUMBER(C522)),C522&lt;1,C522&gt;MaxKisi,C522&lt;&gt;INT(C522)),"HATA: kişi sayısı geçersiz",IF(OR(NOT(ISNUMBER(G522)),G522&lt;0),"HATA: tutar geçersiz",IF(B522&lt;&gt;TRIM(B522),"HATA: isimde baştaki/sondaki boşluk",IF(COUNTIF(KaynakAralik,H522)=0,"HATA: kaynak listede yok",IF(AND(F522&lt;&gt;"Bekleniyor",F522&lt;&gt;"Geldi",F522&lt;&gt;"İptal"),"HATA: giriş durumu geçersiz",IF(AND(F522&lt;&gt;"İptal",COUNTIFS($A$6:$A$1005,A522,$D$6:$D$1005,"&lt;"&amp;E522,$E$6:$E$1005,"&gt;"&amp;D522,$F$6:$F$1005,"&lt;&gt;İptal")&gt;1),"HATA: oda bu tarihlerde çakışıyor",IF(AND(F522="Bekleniyor",D522&lt;RaporTarihi),"HATA: giriş günü geçti, Geldi veya İptal yapın","OK"))))))))))))</f>
        <v/>
      </c>
      <c r="L522" s="25">
        <f>IF(AND(ISNUMBER(A522),F522&lt;&gt;"İptal",ISNUMBER(D522),ISNUMBER(E522),D522&lt;=RaporTarihi,E522&gt;RaporTarihi),A522,"")</f>
        <v/>
      </c>
    </row>
    <row r="523">
      <c r="A523" s="22" t="n"/>
      <c r="B523" s="22" t="n"/>
      <c r="C523" s="22" t="n"/>
      <c r="D523" s="23" t="n"/>
      <c r="E523" s="23" t="n"/>
      <c r="F523" s="22" t="n"/>
      <c r="G523" s="24" t="n"/>
      <c r="H523" s="22" t="n"/>
      <c r="I523" s="25">
        <f>IF(AND(ISNUMBER(D523),ISNUMBER(E523)),E523-D523,"")</f>
        <v/>
      </c>
      <c r="J523" s="26">
        <f>IF(AND(ISNUMBER(I523),ISNUMBER(G523)),IF(I523&gt;0,G523/I523,""),"")</f>
        <v/>
      </c>
      <c r="K523" s="25">
        <f>IF(COUNTA(A523:H523)=0,"",IF(OR(A523="",B523="",C523="",D523="",E523="",F523="",G523="",H523=""),"HATA: eksik bilgi",IF(COUNTIF(OdaListesi,A523)=0,"HATA: geçersiz oda no",IF(OR(NOT(ISNUMBER(D523)),NOT(ISNUMBER(E523))),"HATA: tarih geçersiz",IF(E523&lt;=D523,"HATA: çıkış girişten sonra olmalı",IF(OR(NOT(ISNUMBER(C523)),C523&lt;1,C523&gt;MaxKisi,C523&lt;&gt;INT(C523)),"HATA: kişi sayısı geçersiz",IF(OR(NOT(ISNUMBER(G523)),G523&lt;0),"HATA: tutar geçersiz",IF(B523&lt;&gt;TRIM(B523),"HATA: isimde baştaki/sondaki boşluk",IF(COUNTIF(KaynakAralik,H523)=0,"HATA: kaynak listede yok",IF(AND(F523&lt;&gt;"Bekleniyor",F523&lt;&gt;"Geldi",F523&lt;&gt;"İptal"),"HATA: giriş durumu geçersiz",IF(AND(F523&lt;&gt;"İptal",COUNTIFS($A$6:$A$1005,A523,$D$6:$D$1005,"&lt;"&amp;E523,$E$6:$E$1005,"&gt;"&amp;D523,$F$6:$F$1005,"&lt;&gt;İptal")&gt;1),"HATA: oda bu tarihlerde çakışıyor",IF(AND(F523="Bekleniyor",D523&lt;RaporTarihi),"HATA: giriş günü geçti, Geldi veya İptal yapın","OK"))))))))))))</f>
        <v/>
      </c>
      <c r="L523" s="25">
        <f>IF(AND(ISNUMBER(A523),F523&lt;&gt;"İptal",ISNUMBER(D523),ISNUMBER(E523),D523&lt;=RaporTarihi,E523&gt;RaporTarihi),A523,"")</f>
        <v/>
      </c>
    </row>
    <row r="524">
      <c r="A524" s="22" t="n"/>
      <c r="B524" s="22" t="n"/>
      <c r="C524" s="22" t="n"/>
      <c r="D524" s="23" t="n"/>
      <c r="E524" s="23" t="n"/>
      <c r="F524" s="22" t="n"/>
      <c r="G524" s="24" t="n"/>
      <c r="H524" s="22" t="n"/>
      <c r="I524" s="25">
        <f>IF(AND(ISNUMBER(D524),ISNUMBER(E524)),E524-D524,"")</f>
        <v/>
      </c>
      <c r="J524" s="26">
        <f>IF(AND(ISNUMBER(I524),ISNUMBER(G524)),IF(I524&gt;0,G524/I524,""),"")</f>
        <v/>
      </c>
      <c r="K524" s="25">
        <f>IF(COUNTA(A524:H524)=0,"",IF(OR(A524="",B524="",C524="",D524="",E524="",F524="",G524="",H524=""),"HATA: eksik bilgi",IF(COUNTIF(OdaListesi,A524)=0,"HATA: geçersiz oda no",IF(OR(NOT(ISNUMBER(D524)),NOT(ISNUMBER(E524))),"HATA: tarih geçersiz",IF(E524&lt;=D524,"HATA: çıkış girişten sonra olmalı",IF(OR(NOT(ISNUMBER(C524)),C524&lt;1,C524&gt;MaxKisi,C524&lt;&gt;INT(C524)),"HATA: kişi sayısı geçersiz",IF(OR(NOT(ISNUMBER(G524)),G524&lt;0),"HATA: tutar geçersiz",IF(B524&lt;&gt;TRIM(B524),"HATA: isimde baştaki/sondaki boşluk",IF(COUNTIF(KaynakAralik,H524)=0,"HATA: kaynak listede yok",IF(AND(F524&lt;&gt;"Bekleniyor",F524&lt;&gt;"Geldi",F524&lt;&gt;"İptal"),"HATA: giriş durumu geçersiz",IF(AND(F524&lt;&gt;"İptal",COUNTIFS($A$6:$A$1005,A524,$D$6:$D$1005,"&lt;"&amp;E524,$E$6:$E$1005,"&gt;"&amp;D524,$F$6:$F$1005,"&lt;&gt;İptal")&gt;1),"HATA: oda bu tarihlerde çakışıyor",IF(AND(F524="Bekleniyor",D524&lt;RaporTarihi),"HATA: giriş günü geçti, Geldi veya İptal yapın","OK"))))))))))))</f>
        <v/>
      </c>
      <c r="L524" s="25">
        <f>IF(AND(ISNUMBER(A524),F524&lt;&gt;"İptal",ISNUMBER(D524),ISNUMBER(E524),D524&lt;=RaporTarihi,E524&gt;RaporTarihi),A524,"")</f>
        <v/>
      </c>
    </row>
    <row r="525">
      <c r="A525" s="22" t="n"/>
      <c r="B525" s="22" t="n"/>
      <c r="C525" s="22" t="n"/>
      <c r="D525" s="23" t="n"/>
      <c r="E525" s="23" t="n"/>
      <c r="F525" s="22" t="n"/>
      <c r="G525" s="24" t="n"/>
      <c r="H525" s="22" t="n"/>
      <c r="I525" s="25">
        <f>IF(AND(ISNUMBER(D525),ISNUMBER(E525)),E525-D525,"")</f>
        <v/>
      </c>
      <c r="J525" s="26">
        <f>IF(AND(ISNUMBER(I525),ISNUMBER(G525)),IF(I525&gt;0,G525/I525,""),"")</f>
        <v/>
      </c>
      <c r="K525" s="25">
        <f>IF(COUNTA(A525:H525)=0,"",IF(OR(A525="",B525="",C525="",D525="",E525="",F525="",G525="",H525=""),"HATA: eksik bilgi",IF(COUNTIF(OdaListesi,A525)=0,"HATA: geçersiz oda no",IF(OR(NOT(ISNUMBER(D525)),NOT(ISNUMBER(E525))),"HATA: tarih geçersiz",IF(E525&lt;=D525,"HATA: çıkış girişten sonra olmalı",IF(OR(NOT(ISNUMBER(C525)),C525&lt;1,C525&gt;MaxKisi,C525&lt;&gt;INT(C525)),"HATA: kişi sayısı geçersiz",IF(OR(NOT(ISNUMBER(G525)),G525&lt;0),"HATA: tutar geçersiz",IF(B525&lt;&gt;TRIM(B525),"HATA: isimde baştaki/sondaki boşluk",IF(COUNTIF(KaynakAralik,H525)=0,"HATA: kaynak listede yok",IF(AND(F525&lt;&gt;"Bekleniyor",F525&lt;&gt;"Geldi",F525&lt;&gt;"İptal"),"HATA: giriş durumu geçersiz",IF(AND(F525&lt;&gt;"İptal",COUNTIFS($A$6:$A$1005,A525,$D$6:$D$1005,"&lt;"&amp;E525,$E$6:$E$1005,"&gt;"&amp;D525,$F$6:$F$1005,"&lt;&gt;İptal")&gt;1),"HATA: oda bu tarihlerde çakışıyor",IF(AND(F525="Bekleniyor",D525&lt;RaporTarihi),"HATA: giriş günü geçti, Geldi veya İptal yapın","OK"))))))))))))</f>
        <v/>
      </c>
      <c r="L525" s="25">
        <f>IF(AND(ISNUMBER(A525),F525&lt;&gt;"İptal",ISNUMBER(D525),ISNUMBER(E525),D525&lt;=RaporTarihi,E525&gt;RaporTarihi),A525,"")</f>
        <v/>
      </c>
    </row>
    <row r="526">
      <c r="A526" s="22" t="n"/>
      <c r="B526" s="22" t="n"/>
      <c r="C526" s="22" t="n"/>
      <c r="D526" s="23" t="n"/>
      <c r="E526" s="23" t="n"/>
      <c r="F526" s="22" t="n"/>
      <c r="G526" s="24" t="n"/>
      <c r="H526" s="22" t="n"/>
      <c r="I526" s="25">
        <f>IF(AND(ISNUMBER(D526),ISNUMBER(E526)),E526-D526,"")</f>
        <v/>
      </c>
      <c r="J526" s="26">
        <f>IF(AND(ISNUMBER(I526),ISNUMBER(G526)),IF(I526&gt;0,G526/I526,""),"")</f>
        <v/>
      </c>
      <c r="K526" s="25">
        <f>IF(COUNTA(A526:H526)=0,"",IF(OR(A526="",B526="",C526="",D526="",E526="",F526="",G526="",H526=""),"HATA: eksik bilgi",IF(COUNTIF(OdaListesi,A526)=0,"HATA: geçersiz oda no",IF(OR(NOT(ISNUMBER(D526)),NOT(ISNUMBER(E526))),"HATA: tarih geçersiz",IF(E526&lt;=D526,"HATA: çıkış girişten sonra olmalı",IF(OR(NOT(ISNUMBER(C526)),C526&lt;1,C526&gt;MaxKisi,C526&lt;&gt;INT(C526)),"HATA: kişi sayısı geçersiz",IF(OR(NOT(ISNUMBER(G526)),G526&lt;0),"HATA: tutar geçersiz",IF(B526&lt;&gt;TRIM(B526),"HATA: isimde baştaki/sondaki boşluk",IF(COUNTIF(KaynakAralik,H526)=0,"HATA: kaynak listede yok",IF(AND(F526&lt;&gt;"Bekleniyor",F526&lt;&gt;"Geldi",F526&lt;&gt;"İptal"),"HATA: giriş durumu geçersiz",IF(AND(F526&lt;&gt;"İptal",COUNTIFS($A$6:$A$1005,A526,$D$6:$D$1005,"&lt;"&amp;E526,$E$6:$E$1005,"&gt;"&amp;D526,$F$6:$F$1005,"&lt;&gt;İptal")&gt;1),"HATA: oda bu tarihlerde çakışıyor",IF(AND(F526="Bekleniyor",D526&lt;RaporTarihi),"HATA: giriş günü geçti, Geldi veya İptal yapın","OK"))))))))))))</f>
        <v/>
      </c>
      <c r="L526" s="25">
        <f>IF(AND(ISNUMBER(A526),F526&lt;&gt;"İptal",ISNUMBER(D526),ISNUMBER(E526),D526&lt;=RaporTarihi,E526&gt;RaporTarihi),A526,"")</f>
        <v/>
      </c>
    </row>
    <row r="527">
      <c r="A527" s="22" t="n"/>
      <c r="B527" s="22" t="n"/>
      <c r="C527" s="22" t="n"/>
      <c r="D527" s="23" t="n"/>
      <c r="E527" s="23" t="n"/>
      <c r="F527" s="22" t="n"/>
      <c r="G527" s="24" t="n"/>
      <c r="H527" s="22" t="n"/>
      <c r="I527" s="25">
        <f>IF(AND(ISNUMBER(D527),ISNUMBER(E527)),E527-D527,"")</f>
        <v/>
      </c>
      <c r="J527" s="26">
        <f>IF(AND(ISNUMBER(I527),ISNUMBER(G527)),IF(I527&gt;0,G527/I527,""),"")</f>
        <v/>
      </c>
      <c r="K527" s="25">
        <f>IF(COUNTA(A527:H527)=0,"",IF(OR(A527="",B527="",C527="",D527="",E527="",F527="",G527="",H527=""),"HATA: eksik bilgi",IF(COUNTIF(OdaListesi,A527)=0,"HATA: geçersiz oda no",IF(OR(NOT(ISNUMBER(D527)),NOT(ISNUMBER(E527))),"HATA: tarih geçersiz",IF(E527&lt;=D527,"HATA: çıkış girişten sonra olmalı",IF(OR(NOT(ISNUMBER(C527)),C527&lt;1,C527&gt;MaxKisi,C527&lt;&gt;INT(C527)),"HATA: kişi sayısı geçersiz",IF(OR(NOT(ISNUMBER(G527)),G527&lt;0),"HATA: tutar geçersiz",IF(B527&lt;&gt;TRIM(B527),"HATA: isimde baştaki/sondaki boşluk",IF(COUNTIF(KaynakAralik,H527)=0,"HATA: kaynak listede yok",IF(AND(F527&lt;&gt;"Bekleniyor",F527&lt;&gt;"Geldi",F527&lt;&gt;"İptal"),"HATA: giriş durumu geçersiz",IF(AND(F527&lt;&gt;"İptal",COUNTIFS($A$6:$A$1005,A527,$D$6:$D$1005,"&lt;"&amp;E527,$E$6:$E$1005,"&gt;"&amp;D527,$F$6:$F$1005,"&lt;&gt;İptal")&gt;1),"HATA: oda bu tarihlerde çakışıyor",IF(AND(F527="Bekleniyor",D527&lt;RaporTarihi),"HATA: giriş günü geçti, Geldi veya İptal yapın","OK"))))))))))))</f>
        <v/>
      </c>
      <c r="L527" s="25">
        <f>IF(AND(ISNUMBER(A527),F527&lt;&gt;"İptal",ISNUMBER(D527),ISNUMBER(E527),D527&lt;=RaporTarihi,E527&gt;RaporTarihi),A527,"")</f>
        <v/>
      </c>
    </row>
    <row r="528">
      <c r="A528" s="22" t="n"/>
      <c r="B528" s="22" t="n"/>
      <c r="C528" s="22" t="n"/>
      <c r="D528" s="23" t="n"/>
      <c r="E528" s="23" t="n"/>
      <c r="F528" s="22" t="n"/>
      <c r="G528" s="24" t="n"/>
      <c r="H528" s="22" t="n"/>
      <c r="I528" s="25">
        <f>IF(AND(ISNUMBER(D528),ISNUMBER(E528)),E528-D528,"")</f>
        <v/>
      </c>
      <c r="J528" s="26">
        <f>IF(AND(ISNUMBER(I528),ISNUMBER(G528)),IF(I528&gt;0,G528/I528,""),"")</f>
        <v/>
      </c>
      <c r="K528" s="25">
        <f>IF(COUNTA(A528:H528)=0,"",IF(OR(A528="",B528="",C528="",D528="",E528="",F528="",G528="",H528=""),"HATA: eksik bilgi",IF(COUNTIF(OdaListesi,A528)=0,"HATA: geçersiz oda no",IF(OR(NOT(ISNUMBER(D528)),NOT(ISNUMBER(E528))),"HATA: tarih geçersiz",IF(E528&lt;=D528,"HATA: çıkış girişten sonra olmalı",IF(OR(NOT(ISNUMBER(C528)),C528&lt;1,C528&gt;MaxKisi,C528&lt;&gt;INT(C528)),"HATA: kişi sayısı geçersiz",IF(OR(NOT(ISNUMBER(G528)),G528&lt;0),"HATA: tutar geçersiz",IF(B528&lt;&gt;TRIM(B528),"HATA: isimde baştaki/sondaki boşluk",IF(COUNTIF(KaynakAralik,H528)=0,"HATA: kaynak listede yok",IF(AND(F528&lt;&gt;"Bekleniyor",F528&lt;&gt;"Geldi",F528&lt;&gt;"İptal"),"HATA: giriş durumu geçersiz",IF(AND(F528&lt;&gt;"İptal",COUNTIFS($A$6:$A$1005,A528,$D$6:$D$1005,"&lt;"&amp;E528,$E$6:$E$1005,"&gt;"&amp;D528,$F$6:$F$1005,"&lt;&gt;İptal")&gt;1),"HATA: oda bu tarihlerde çakışıyor",IF(AND(F528="Bekleniyor",D528&lt;RaporTarihi),"HATA: giriş günü geçti, Geldi veya İptal yapın","OK"))))))))))))</f>
        <v/>
      </c>
      <c r="L528" s="25">
        <f>IF(AND(ISNUMBER(A528),F528&lt;&gt;"İptal",ISNUMBER(D528),ISNUMBER(E528),D528&lt;=RaporTarihi,E528&gt;RaporTarihi),A528,"")</f>
        <v/>
      </c>
    </row>
    <row r="529">
      <c r="A529" s="22" t="n"/>
      <c r="B529" s="22" t="n"/>
      <c r="C529" s="22" t="n"/>
      <c r="D529" s="23" t="n"/>
      <c r="E529" s="23" t="n"/>
      <c r="F529" s="22" t="n"/>
      <c r="G529" s="24" t="n"/>
      <c r="H529" s="22" t="n"/>
      <c r="I529" s="25">
        <f>IF(AND(ISNUMBER(D529),ISNUMBER(E529)),E529-D529,"")</f>
        <v/>
      </c>
      <c r="J529" s="26">
        <f>IF(AND(ISNUMBER(I529),ISNUMBER(G529)),IF(I529&gt;0,G529/I529,""),"")</f>
        <v/>
      </c>
      <c r="K529" s="25">
        <f>IF(COUNTA(A529:H529)=0,"",IF(OR(A529="",B529="",C529="",D529="",E529="",F529="",G529="",H529=""),"HATA: eksik bilgi",IF(COUNTIF(OdaListesi,A529)=0,"HATA: geçersiz oda no",IF(OR(NOT(ISNUMBER(D529)),NOT(ISNUMBER(E529))),"HATA: tarih geçersiz",IF(E529&lt;=D529,"HATA: çıkış girişten sonra olmalı",IF(OR(NOT(ISNUMBER(C529)),C529&lt;1,C529&gt;MaxKisi,C529&lt;&gt;INT(C529)),"HATA: kişi sayısı geçersiz",IF(OR(NOT(ISNUMBER(G529)),G529&lt;0),"HATA: tutar geçersiz",IF(B529&lt;&gt;TRIM(B529),"HATA: isimde baştaki/sondaki boşluk",IF(COUNTIF(KaynakAralik,H529)=0,"HATA: kaynak listede yok",IF(AND(F529&lt;&gt;"Bekleniyor",F529&lt;&gt;"Geldi",F529&lt;&gt;"İptal"),"HATA: giriş durumu geçersiz",IF(AND(F529&lt;&gt;"İptal",COUNTIFS($A$6:$A$1005,A529,$D$6:$D$1005,"&lt;"&amp;E529,$E$6:$E$1005,"&gt;"&amp;D529,$F$6:$F$1005,"&lt;&gt;İptal")&gt;1),"HATA: oda bu tarihlerde çakışıyor",IF(AND(F529="Bekleniyor",D529&lt;RaporTarihi),"HATA: giriş günü geçti, Geldi veya İptal yapın","OK"))))))))))))</f>
        <v/>
      </c>
      <c r="L529" s="25">
        <f>IF(AND(ISNUMBER(A529),F529&lt;&gt;"İptal",ISNUMBER(D529),ISNUMBER(E529),D529&lt;=RaporTarihi,E529&gt;RaporTarihi),A529,"")</f>
        <v/>
      </c>
    </row>
    <row r="530">
      <c r="A530" s="22" t="n"/>
      <c r="B530" s="22" t="n"/>
      <c r="C530" s="22" t="n"/>
      <c r="D530" s="23" t="n"/>
      <c r="E530" s="23" t="n"/>
      <c r="F530" s="22" t="n"/>
      <c r="G530" s="24" t="n"/>
      <c r="H530" s="22" t="n"/>
      <c r="I530" s="25">
        <f>IF(AND(ISNUMBER(D530),ISNUMBER(E530)),E530-D530,"")</f>
        <v/>
      </c>
      <c r="J530" s="26">
        <f>IF(AND(ISNUMBER(I530),ISNUMBER(G530)),IF(I530&gt;0,G530/I530,""),"")</f>
        <v/>
      </c>
      <c r="K530" s="25">
        <f>IF(COUNTA(A530:H530)=0,"",IF(OR(A530="",B530="",C530="",D530="",E530="",F530="",G530="",H530=""),"HATA: eksik bilgi",IF(COUNTIF(OdaListesi,A530)=0,"HATA: geçersiz oda no",IF(OR(NOT(ISNUMBER(D530)),NOT(ISNUMBER(E530))),"HATA: tarih geçersiz",IF(E530&lt;=D530,"HATA: çıkış girişten sonra olmalı",IF(OR(NOT(ISNUMBER(C530)),C530&lt;1,C530&gt;MaxKisi,C530&lt;&gt;INT(C530)),"HATA: kişi sayısı geçersiz",IF(OR(NOT(ISNUMBER(G530)),G530&lt;0),"HATA: tutar geçersiz",IF(B530&lt;&gt;TRIM(B530),"HATA: isimde baştaki/sondaki boşluk",IF(COUNTIF(KaynakAralik,H530)=0,"HATA: kaynak listede yok",IF(AND(F530&lt;&gt;"Bekleniyor",F530&lt;&gt;"Geldi",F530&lt;&gt;"İptal"),"HATA: giriş durumu geçersiz",IF(AND(F530&lt;&gt;"İptal",COUNTIFS($A$6:$A$1005,A530,$D$6:$D$1005,"&lt;"&amp;E530,$E$6:$E$1005,"&gt;"&amp;D530,$F$6:$F$1005,"&lt;&gt;İptal")&gt;1),"HATA: oda bu tarihlerde çakışıyor",IF(AND(F530="Bekleniyor",D530&lt;RaporTarihi),"HATA: giriş günü geçti, Geldi veya İptal yapın","OK"))))))))))))</f>
        <v/>
      </c>
      <c r="L530" s="25">
        <f>IF(AND(ISNUMBER(A530),F530&lt;&gt;"İptal",ISNUMBER(D530),ISNUMBER(E530),D530&lt;=RaporTarihi,E530&gt;RaporTarihi),A530,"")</f>
        <v/>
      </c>
    </row>
    <row r="531">
      <c r="A531" s="22" t="n"/>
      <c r="B531" s="22" t="n"/>
      <c r="C531" s="22" t="n"/>
      <c r="D531" s="23" t="n"/>
      <c r="E531" s="23" t="n"/>
      <c r="F531" s="22" t="n"/>
      <c r="G531" s="24" t="n"/>
      <c r="H531" s="22" t="n"/>
      <c r="I531" s="25">
        <f>IF(AND(ISNUMBER(D531),ISNUMBER(E531)),E531-D531,"")</f>
        <v/>
      </c>
      <c r="J531" s="26">
        <f>IF(AND(ISNUMBER(I531),ISNUMBER(G531)),IF(I531&gt;0,G531/I531,""),"")</f>
        <v/>
      </c>
      <c r="K531" s="25">
        <f>IF(COUNTA(A531:H531)=0,"",IF(OR(A531="",B531="",C531="",D531="",E531="",F531="",G531="",H531=""),"HATA: eksik bilgi",IF(COUNTIF(OdaListesi,A531)=0,"HATA: geçersiz oda no",IF(OR(NOT(ISNUMBER(D531)),NOT(ISNUMBER(E531))),"HATA: tarih geçersiz",IF(E531&lt;=D531,"HATA: çıkış girişten sonra olmalı",IF(OR(NOT(ISNUMBER(C531)),C531&lt;1,C531&gt;MaxKisi,C531&lt;&gt;INT(C531)),"HATA: kişi sayısı geçersiz",IF(OR(NOT(ISNUMBER(G531)),G531&lt;0),"HATA: tutar geçersiz",IF(B531&lt;&gt;TRIM(B531),"HATA: isimde baştaki/sondaki boşluk",IF(COUNTIF(KaynakAralik,H531)=0,"HATA: kaynak listede yok",IF(AND(F531&lt;&gt;"Bekleniyor",F531&lt;&gt;"Geldi",F531&lt;&gt;"İptal"),"HATA: giriş durumu geçersiz",IF(AND(F531&lt;&gt;"İptal",COUNTIFS($A$6:$A$1005,A531,$D$6:$D$1005,"&lt;"&amp;E531,$E$6:$E$1005,"&gt;"&amp;D531,$F$6:$F$1005,"&lt;&gt;İptal")&gt;1),"HATA: oda bu tarihlerde çakışıyor",IF(AND(F531="Bekleniyor",D531&lt;RaporTarihi),"HATA: giriş günü geçti, Geldi veya İptal yapın","OK"))))))))))))</f>
        <v/>
      </c>
      <c r="L531" s="25">
        <f>IF(AND(ISNUMBER(A531),F531&lt;&gt;"İptal",ISNUMBER(D531),ISNUMBER(E531),D531&lt;=RaporTarihi,E531&gt;RaporTarihi),A531,"")</f>
        <v/>
      </c>
    </row>
    <row r="532">
      <c r="A532" s="22" t="n"/>
      <c r="B532" s="22" t="n"/>
      <c r="C532" s="22" t="n"/>
      <c r="D532" s="23" t="n"/>
      <c r="E532" s="23" t="n"/>
      <c r="F532" s="22" t="n"/>
      <c r="G532" s="24" t="n"/>
      <c r="H532" s="22" t="n"/>
      <c r="I532" s="25">
        <f>IF(AND(ISNUMBER(D532),ISNUMBER(E532)),E532-D532,"")</f>
        <v/>
      </c>
      <c r="J532" s="26">
        <f>IF(AND(ISNUMBER(I532),ISNUMBER(G532)),IF(I532&gt;0,G532/I532,""),"")</f>
        <v/>
      </c>
      <c r="K532" s="25">
        <f>IF(COUNTA(A532:H532)=0,"",IF(OR(A532="",B532="",C532="",D532="",E532="",F532="",G532="",H532=""),"HATA: eksik bilgi",IF(COUNTIF(OdaListesi,A532)=0,"HATA: geçersiz oda no",IF(OR(NOT(ISNUMBER(D532)),NOT(ISNUMBER(E532))),"HATA: tarih geçersiz",IF(E532&lt;=D532,"HATA: çıkış girişten sonra olmalı",IF(OR(NOT(ISNUMBER(C532)),C532&lt;1,C532&gt;MaxKisi,C532&lt;&gt;INT(C532)),"HATA: kişi sayısı geçersiz",IF(OR(NOT(ISNUMBER(G532)),G532&lt;0),"HATA: tutar geçersiz",IF(B532&lt;&gt;TRIM(B532),"HATA: isimde baştaki/sondaki boşluk",IF(COUNTIF(KaynakAralik,H532)=0,"HATA: kaynak listede yok",IF(AND(F532&lt;&gt;"Bekleniyor",F532&lt;&gt;"Geldi",F532&lt;&gt;"İptal"),"HATA: giriş durumu geçersiz",IF(AND(F532&lt;&gt;"İptal",COUNTIFS($A$6:$A$1005,A532,$D$6:$D$1005,"&lt;"&amp;E532,$E$6:$E$1005,"&gt;"&amp;D532,$F$6:$F$1005,"&lt;&gt;İptal")&gt;1),"HATA: oda bu tarihlerde çakışıyor",IF(AND(F532="Bekleniyor",D532&lt;RaporTarihi),"HATA: giriş günü geçti, Geldi veya İptal yapın","OK"))))))))))))</f>
        <v/>
      </c>
      <c r="L532" s="25">
        <f>IF(AND(ISNUMBER(A532),F532&lt;&gt;"İptal",ISNUMBER(D532),ISNUMBER(E532),D532&lt;=RaporTarihi,E532&gt;RaporTarihi),A532,"")</f>
        <v/>
      </c>
    </row>
    <row r="533">
      <c r="A533" s="22" t="n"/>
      <c r="B533" s="22" t="n"/>
      <c r="C533" s="22" t="n"/>
      <c r="D533" s="23" t="n"/>
      <c r="E533" s="23" t="n"/>
      <c r="F533" s="22" t="n"/>
      <c r="G533" s="24" t="n"/>
      <c r="H533" s="22" t="n"/>
      <c r="I533" s="25">
        <f>IF(AND(ISNUMBER(D533),ISNUMBER(E533)),E533-D533,"")</f>
        <v/>
      </c>
      <c r="J533" s="26">
        <f>IF(AND(ISNUMBER(I533),ISNUMBER(G533)),IF(I533&gt;0,G533/I533,""),"")</f>
        <v/>
      </c>
      <c r="K533" s="25">
        <f>IF(COUNTA(A533:H533)=0,"",IF(OR(A533="",B533="",C533="",D533="",E533="",F533="",G533="",H533=""),"HATA: eksik bilgi",IF(COUNTIF(OdaListesi,A533)=0,"HATA: geçersiz oda no",IF(OR(NOT(ISNUMBER(D533)),NOT(ISNUMBER(E533))),"HATA: tarih geçersiz",IF(E533&lt;=D533,"HATA: çıkış girişten sonra olmalı",IF(OR(NOT(ISNUMBER(C533)),C533&lt;1,C533&gt;MaxKisi,C533&lt;&gt;INT(C533)),"HATA: kişi sayısı geçersiz",IF(OR(NOT(ISNUMBER(G533)),G533&lt;0),"HATA: tutar geçersiz",IF(B533&lt;&gt;TRIM(B533),"HATA: isimde baştaki/sondaki boşluk",IF(COUNTIF(KaynakAralik,H533)=0,"HATA: kaynak listede yok",IF(AND(F533&lt;&gt;"Bekleniyor",F533&lt;&gt;"Geldi",F533&lt;&gt;"İptal"),"HATA: giriş durumu geçersiz",IF(AND(F533&lt;&gt;"İptal",COUNTIFS($A$6:$A$1005,A533,$D$6:$D$1005,"&lt;"&amp;E533,$E$6:$E$1005,"&gt;"&amp;D533,$F$6:$F$1005,"&lt;&gt;İptal")&gt;1),"HATA: oda bu tarihlerde çakışıyor",IF(AND(F533="Bekleniyor",D533&lt;RaporTarihi),"HATA: giriş günü geçti, Geldi veya İptal yapın","OK"))))))))))))</f>
        <v/>
      </c>
      <c r="L533" s="25">
        <f>IF(AND(ISNUMBER(A533),F533&lt;&gt;"İptal",ISNUMBER(D533),ISNUMBER(E533),D533&lt;=RaporTarihi,E533&gt;RaporTarihi),A533,"")</f>
        <v/>
      </c>
    </row>
    <row r="534">
      <c r="A534" s="22" t="n"/>
      <c r="B534" s="22" t="n"/>
      <c r="C534" s="22" t="n"/>
      <c r="D534" s="23" t="n"/>
      <c r="E534" s="23" t="n"/>
      <c r="F534" s="22" t="n"/>
      <c r="G534" s="24" t="n"/>
      <c r="H534" s="22" t="n"/>
      <c r="I534" s="25">
        <f>IF(AND(ISNUMBER(D534),ISNUMBER(E534)),E534-D534,"")</f>
        <v/>
      </c>
      <c r="J534" s="26">
        <f>IF(AND(ISNUMBER(I534),ISNUMBER(G534)),IF(I534&gt;0,G534/I534,""),"")</f>
        <v/>
      </c>
      <c r="K534" s="25">
        <f>IF(COUNTA(A534:H534)=0,"",IF(OR(A534="",B534="",C534="",D534="",E534="",F534="",G534="",H534=""),"HATA: eksik bilgi",IF(COUNTIF(OdaListesi,A534)=0,"HATA: geçersiz oda no",IF(OR(NOT(ISNUMBER(D534)),NOT(ISNUMBER(E534))),"HATA: tarih geçersiz",IF(E534&lt;=D534,"HATA: çıkış girişten sonra olmalı",IF(OR(NOT(ISNUMBER(C534)),C534&lt;1,C534&gt;MaxKisi,C534&lt;&gt;INT(C534)),"HATA: kişi sayısı geçersiz",IF(OR(NOT(ISNUMBER(G534)),G534&lt;0),"HATA: tutar geçersiz",IF(B534&lt;&gt;TRIM(B534),"HATA: isimde baştaki/sondaki boşluk",IF(COUNTIF(KaynakAralik,H534)=0,"HATA: kaynak listede yok",IF(AND(F534&lt;&gt;"Bekleniyor",F534&lt;&gt;"Geldi",F534&lt;&gt;"İptal"),"HATA: giriş durumu geçersiz",IF(AND(F534&lt;&gt;"İptal",COUNTIFS($A$6:$A$1005,A534,$D$6:$D$1005,"&lt;"&amp;E534,$E$6:$E$1005,"&gt;"&amp;D534,$F$6:$F$1005,"&lt;&gt;İptal")&gt;1),"HATA: oda bu tarihlerde çakışıyor",IF(AND(F534="Bekleniyor",D534&lt;RaporTarihi),"HATA: giriş günü geçti, Geldi veya İptal yapın","OK"))))))))))))</f>
        <v/>
      </c>
      <c r="L534" s="25">
        <f>IF(AND(ISNUMBER(A534),F534&lt;&gt;"İptal",ISNUMBER(D534),ISNUMBER(E534),D534&lt;=RaporTarihi,E534&gt;RaporTarihi),A534,"")</f>
        <v/>
      </c>
    </row>
    <row r="535">
      <c r="A535" s="22" t="n"/>
      <c r="B535" s="22" t="n"/>
      <c r="C535" s="22" t="n"/>
      <c r="D535" s="23" t="n"/>
      <c r="E535" s="23" t="n"/>
      <c r="F535" s="22" t="n"/>
      <c r="G535" s="24" t="n"/>
      <c r="H535" s="22" t="n"/>
      <c r="I535" s="25">
        <f>IF(AND(ISNUMBER(D535),ISNUMBER(E535)),E535-D535,"")</f>
        <v/>
      </c>
      <c r="J535" s="26">
        <f>IF(AND(ISNUMBER(I535),ISNUMBER(G535)),IF(I535&gt;0,G535/I535,""),"")</f>
        <v/>
      </c>
      <c r="K535" s="25">
        <f>IF(COUNTA(A535:H535)=0,"",IF(OR(A535="",B535="",C535="",D535="",E535="",F535="",G535="",H535=""),"HATA: eksik bilgi",IF(COUNTIF(OdaListesi,A535)=0,"HATA: geçersiz oda no",IF(OR(NOT(ISNUMBER(D535)),NOT(ISNUMBER(E535))),"HATA: tarih geçersiz",IF(E535&lt;=D535,"HATA: çıkış girişten sonra olmalı",IF(OR(NOT(ISNUMBER(C535)),C535&lt;1,C535&gt;MaxKisi,C535&lt;&gt;INT(C535)),"HATA: kişi sayısı geçersiz",IF(OR(NOT(ISNUMBER(G535)),G535&lt;0),"HATA: tutar geçersiz",IF(B535&lt;&gt;TRIM(B535),"HATA: isimde baştaki/sondaki boşluk",IF(COUNTIF(KaynakAralik,H535)=0,"HATA: kaynak listede yok",IF(AND(F535&lt;&gt;"Bekleniyor",F535&lt;&gt;"Geldi",F535&lt;&gt;"İptal"),"HATA: giriş durumu geçersiz",IF(AND(F535&lt;&gt;"İptal",COUNTIFS($A$6:$A$1005,A535,$D$6:$D$1005,"&lt;"&amp;E535,$E$6:$E$1005,"&gt;"&amp;D535,$F$6:$F$1005,"&lt;&gt;İptal")&gt;1),"HATA: oda bu tarihlerde çakışıyor",IF(AND(F535="Bekleniyor",D535&lt;RaporTarihi),"HATA: giriş günü geçti, Geldi veya İptal yapın","OK"))))))))))))</f>
        <v/>
      </c>
      <c r="L535" s="25">
        <f>IF(AND(ISNUMBER(A535),F535&lt;&gt;"İptal",ISNUMBER(D535),ISNUMBER(E535),D535&lt;=RaporTarihi,E535&gt;RaporTarihi),A535,"")</f>
        <v/>
      </c>
    </row>
    <row r="536">
      <c r="A536" s="22" t="n"/>
      <c r="B536" s="22" t="n"/>
      <c r="C536" s="22" t="n"/>
      <c r="D536" s="23" t="n"/>
      <c r="E536" s="23" t="n"/>
      <c r="F536" s="22" t="n"/>
      <c r="G536" s="24" t="n"/>
      <c r="H536" s="22" t="n"/>
      <c r="I536" s="25">
        <f>IF(AND(ISNUMBER(D536),ISNUMBER(E536)),E536-D536,"")</f>
        <v/>
      </c>
      <c r="J536" s="26">
        <f>IF(AND(ISNUMBER(I536),ISNUMBER(G536)),IF(I536&gt;0,G536/I536,""),"")</f>
        <v/>
      </c>
      <c r="K536" s="25">
        <f>IF(COUNTA(A536:H536)=0,"",IF(OR(A536="",B536="",C536="",D536="",E536="",F536="",G536="",H536=""),"HATA: eksik bilgi",IF(COUNTIF(OdaListesi,A536)=0,"HATA: geçersiz oda no",IF(OR(NOT(ISNUMBER(D536)),NOT(ISNUMBER(E536))),"HATA: tarih geçersiz",IF(E536&lt;=D536,"HATA: çıkış girişten sonra olmalı",IF(OR(NOT(ISNUMBER(C536)),C536&lt;1,C536&gt;MaxKisi,C536&lt;&gt;INT(C536)),"HATA: kişi sayısı geçersiz",IF(OR(NOT(ISNUMBER(G536)),G536&lt;0),"HATA: tutar geçersiz",IF(B536&lt;&gt;TRIM(B536),"HATA: isimde baştaki/sondaki boşluk",IF(COUNTIF(KaynakAralik,H536)=0,"HATA: kaynak listede yok",IF(AND(F536&lt;&gt;"Bekleniyor",F536&lt;&gt;"Geldi",F536&lt;&gt;"İptal"),"HATA: giriş durumu geçersiz",IF(AND(F536&lt;&gt;"İptal",COUNTIFS($A$6:$A$1005,A536,$D$6:$D$1005,"&lt;"&amp;E536,$E$6:$E$1005,"&gt;"&amp;D536,$F$6:$F$1005,"&lt;&gt;İptal")&gt;1),"HATA: oda bu tarihlerde çakışıyor",IF(AND(F536="Bekleniyor",D536&lt;RaporTarihi),"HATA: giriş günü geçti, Geldi veya İptal yapın","OK"))))))))))))</f>
        <v/>
      </c>
      <c r="L536" s="25">
        <f>IF(AND(ISNUMBER(A536),F536&lt;&gt;"İptal",ISNUMBER(D536),ISNUMBER(E536),D536&lt;=RaporTarihi,E536&gt;RaporTarihi),A536,"")</f>
        <v/>
      </c>
    </row>
    <row r="537">
      <c r="A537" s="22" t="n"/>
      <c r="B537" s="22" t="n"/>
      <c r="C537" s="22" t="n"/>
      <c r="D537" s="23" t="n"/>
      <c r="E537" s="23" t="n"/>
      <c r="F537" s="22" t="n"/>
      <c r="G537" s="24" t="n"/>
      <c r="H537" s="22" t="n"/>
      <c r="I537" s="25">
        <f>IF(AND(ISNUMBER(D537),ISNUMBER(E537)),E537-D537,"")</f>
        <v/>
      </c>
      <c r="J537" s="26">
        <f>IF(AND(ISNUMBER(I537),ISNUMBER(G537)),IF(I537&gt;0,G537/I537,""),"")</f>
        <v/>
      </c>
      <c r="K537" s="25">
        <f>IF(COUNTA(A537:H537)=0,"",IF(OR(A537="",B537="",C537="",D537="",E537="",F537="",G537="",H537=""),"HATA: eksik bilgi",IF(COUNTIF(OdaListesi,A537)=0,"HATA: geçersiz oda no",IF(OR(NOT(ISNUMBER(D537)),NOT(ISNUMBER(E537))),"HATA: tarih geçersiz",IF(E537&lt;=D537,"HATA: çıkış girişten sonra olmalı",IF(OR(NOT(ISNUMBER(C537)),C537&lt;1,C537&gt;MaxKisi,C537&lt;&gt;INT(C537)),"HATA: kişi sayısı geçersiz",IF(OR(NOT(ISNUMBER(G537)),G537&lt;0),"HATA: tutar geçersiz",IF(B537&lt;&gt;TRIM(B537),"HATA: isimde baştaki/sondaki boşluk",IF(COUNTIF(KaynakAralik,H537)=0,"HATA: kaynak listede yok",IF(AND(F537&lt;&gt;"Bekleniyor",F537&lt;&gt;"Geldi",F537&lt;&gt;"İptal"),"HATA: giriş durumu geçersiz",IF(AND(F537&lt;&gt;"İptal",COUNTIFS($A$6:$A$1005,A537,$D$6:$D$1005,"&lt;"&amp;E537,$E$6:$E$1005,"&gt;"&amp;D537,$F$6:$F$1005,"&lt;&gt;İptal")&gt;1),"HATA: oda bu tarihlerde çakışıyor",IF(AND(F537="Bekleniyor",D537&lt;RaporTarihi),"HATA: giriş günü geçti, Geldi veya İptal yapın","OK"))))))))))))</f>
        <v/>
      </c>
      <c r="L537" s="25">
        <f>IF(AND(ISNUMBER(A537),F537&lt;&gt;"İptal",ISNUMBER(D537),ISNUMBER(E537),D537&lt;=RaporTarihi,E537&gt;RaporTarihi),A537,"")</f>
        <v/>
      </c>
    </row>
    <row r="538">
      <c r="A538" s="22" t="n"/>
      <c r="B538" s="22" t="n"/>
      <c r="C538" s="22" t="n"/>
      <c r="D538" s="23" t="n"/>
      <c r="E538" s="23" t="n"/>
      <c r="F538" s="22" t="n"/>
      <c r="G538" s="24" t="n"/>
      <c r="H538" s="22" t="n"/>
      <c r="I538" s="25">
        <f>IF(AND(ISNUMBER(D538),ISNUMBER(E538)),E538-D538,"")</f>
        <v/>
      </c>
      <c r="J538" s="26">
        <f>IF(AND(ISNUMBER(I538),ISNUMBER(G538)),IF(I538&gt;0,G538/I538,""),"")</f>
        <v/>
      </c>
      <c r="K538" s="25">
        <f>IF(COUNTA(A538:H538)=0,"",IF(OR(A538="",B538="",C538="",D538="",E538="",F538="",G538="",H538=""),"HATA: eksik bilgi",IF(COUNTIF(OdaListesi,A538)=0,"HATA: geçersiz oda no",IF(OR(NOT(ISNUMBER(D538)),NOT(ISNUMBER(E538))),"HATA: tarih geçersiz",IF(E538&lt;=D538,"HATA: çıkış girişten sonra olmalı",IF(OR(NOT(ISNUMBER(C538)),C538&lt;1,C538&gt;MaxKisi,C538&lt;&gt;INT(C538)),"HATA: kişi sayısı geçersiz",IF(OR(NOT(ISNUMBER(G538)),G538&lt;0),"HATA: tutar geçersiz",IF(B538&lt;&gt;TRIM(B538),"HATA: isimde baştaki/sondaki boşluk",IF(COUNTIF(KaynakAralik,H538)=0,"HATA: kaynak listede yok",IF(AND(F538&lt;&gt;"Bekleniyor",F538&lt;&gt;"Geldi",F538&lt;&gt;"İptal"),"HATA: giriş durumu geçersiz",IF(AND(F538&lt;&gt;"İptal",COUNTIFS($A$6:$A$1005,A538,$D$6:$D$1005,"&lt;"&amp;E538,$E$6:$E$1005,"&gt;"&amp;D538,$F$6:$F$1005,"&lt;&gt;İptal")&gt;1),"HATA: oda bu tarihlerde çakışıyor",IF(AND(F538="Bekleniyor",D538&lt;RaporTarihi),"HATA: giriş günü geçti, Geldi veya İptal yapın","OK"))))))))))))</f>
        <v/>
      </c>
      <c r="L538" s="25">
        <f>IF(AND(ISNUMBER(A538),F538&lt;&gt;"İptal",ISNUMBER(D538),ISNUMBER(E538),D538&lt;=RaporTarihi,E538&gt;RaporTarihi),A538,"")</f>
        <v/>
      </c>
    </row>
    <row r="539">
      <c r="A539" s="22" t="n"/>
      <c r="B539" s="22" t="n"/>
      <c r="C539" s="22" t="n"/>
      <c r="D539" s="23" t="n"/>
      <c r="E539" s="23" t="n"/>
      <c r="F539" s="22" t="n"/>
      <c r="G539" s="24" t="n"/>
      <c r="H539" s="22" t="n"/>
      <c r="I539" s="25">
        <f>IF(AND(ISNUMBER(D539),ISNUMBER(E539)),E539-D539,"")</f>
        <v/>
      </c>
      <c r="J539" s="26">
        <f>IF(AND(ISNUMBER(I539),ISNUMBER(G539)),IF(I539&gt;0,G539/I539,""),"")</f>
        <v/>
      </c>
      <c r="K539" s="25">
        <f>IF(COUNTA(A539:H539)=0,"",IF(OR(A539="",B539="",C539="",D539="",E539="",F539="",G539="",H539=""),"HATA: eksik bilgi",IF(COUNTIF(OdaListesi,A539)=0,"HATA: geçersiz oda no",IF(OR(NOT(ISNUMBER(D539)),NOT(ISNUMBER(E539))),"HATA: tarih geçersiz",IF(E539&lt;=D539,"HATA: çıkış girişten sonra olmalı",IF(OR(NOT(ISNUMBER(C539)),C539&lt;1,C539&gt;MaxKisi,C539&lt;&gt;INT(C539)),"HATA: kişi sayısı geçersiz",IF(OR(NOT(ISNUMBER(G539)),G539&lt;0),"HATA: tutar geçersiz",IF(B539&lt;&gt;TRIM(B539),"HATA: isimde baştaki/sondaki boşluk",IF(COUNTIF(KaynakAralik,H539)=0,"HATA: kaynak listede yok",IF(AND(F539&lt;&gt;"Bekleniyor",F539&lt;&gt;"Geldi",F539&lt;&gt;"İptal"),"HATA: giriş durumu geçersiz",IF(AND(F539&lt;&gt;"İptal",COUNTIFS($A$6:$A$1005,A539,$D$6:$D$1005,"&lt;"&amp;E539,$E$6:$E$1005,"&gt;"&amp;D539,$F$6:$F$1005,"&lt;&gt;İptal")&gt;1),"HATA: oda bu tarihlerde çakışıyor",IF(AND(F539="Bekleniyor",D539&lt;RaporTarihi),"HATA: giriş günü geçti, Geldi veya İptal yapın","OK"))))))))))))</f>
        <v/>
      </c>
      <c r="L539" s="25">
        <f>IF(AND(ISNUMBER(A539),F539&lt;&gt;"İptal",ISNUMBER(D539),ISNUMBER(E539),D539&lt;=RaporTarihi,E539&gt;RaporTarihi),A539,"")</f>
        <v/>
      </c>
    </row>
    <row r="540">
      <c r="A540" s="22" t="n"/>
      <c r="B540" s="22" t="n"/>
      <c r="C540" s="22" t="n"/>
      <c r="D540" s="23" t="n"/>
      <c r="E540" s="23" t="n"/>
      <c r="F540" s="22" t="n"/>
      <c r="G540" s="24" t="n"/>
      <c r="H540" s="22" t="n"/>
      <c r="I540" s="25">
        <f>IF(AND(ISNUMBER(D540),ISNUMBER(E540)),E540-D540,"")</f>
        <v/>
      </c>
      <c r="J540" s="26">
        <f>IF(AND(ISNUMBER(I540),ISNUMBER(G540)),IF(I540&gt;0,G540/I540,""),"")</f>
        <v/>
      </c>
      <c r="K540" s="25">
        <f>IF(COUNTA(A540:H540)=0,"",IF(OR(A540="",B540="",C540="",D540="",E540="",F540="",G540="",H540=""),"HATA: eksik bilgi",IF(COUNTIF(OdaListesi,A540)=0,"HATA: geçersiz oda no",IF(OR(NOT(ISNUMBER(D540)),NOT(ISNUMBER(E540))),"HATA: tarih geçersiz",IF(E540&lt;=D540,"HATA: çıkış girişten sonra olmalı",IF(OR(NOT(ISNUMBER(C540)),C540&lt;1,C540&gt;MaxKisi,C540&lt;&gt;INT(C540)),"HATA: kişi sayısı geçersiz",IF(OR(NOT(ISNUMBER(G540)),G540&lt;0),"HATA: tutar geçersiz",IF(B540&lt;&gt;TRIM(B540),"HATA: isimde baştaki/sondaki boşluk",IF(COUNTIF(KaynakAralik,H540)=0,"HATA: kaynak listede yok",IF(AND(F540&lt;&gt;"Bekleniyor",F540&lt;&gt;"Geldi",F540&lt;&gt;"İptal"),"HATA: giriş durumu geçersiz",IF(AND(F540&lt;&gt;"İptal",COUNTIFS($A$6:$A$1005,A540,$D$6:$D$1005,"&lt;"&amp;E540,$E$6:$E$1005,"&gt;"&amp;D540,$F$6:$F$1005,"&lt;&gt;İptal")&gt;1),"HATA: oda bu tarihlerde çakışıyor",IF(AND(F540="Bekleniyor",D540&lt;RaporTarihi),"HATA: giriş günü geçti, Geldi veya İptal yapın","OK"))))))))))))</f>
        <v/>
      </c>
      <c r="L540" s="25">
        <f>IF(AND(ISNUMBER(A540),F540&lt;&gt;"İptal",ISNUMBER(D540),ISNUMBER(E540),D540&lt;=RaporTarihi,E540&gt;RaporTarihi),A540,"")</f>
        <v/>
      </c>
    </row>
    <row r="541">
      <c r="A541" s="22" t="n"/>
      <c r="B541" s="22" t="n"/>
      <c r="C541" s="22" t="n"/>
      <c r="D541" s="23" t="n"/>
      <c r="E541" s="23" t="n"/>
      <c r="F541" s="22" t="n"/>
      <c r="G541" s="24" t="n"/>
      <c r="H541" s="22" t="n"/>
      <c r="I541" s="25">
        <f>IF(AND(ISNUMBER(D541),ISNUMBER(E541)),E541-D541,"")</f>
        <v/>
      </c>
      <c r="J541" s="26">
        <f>IF(AND(ISNUMBER(I541),ISNUMBER(G541)),IF(I541&gt;0,G541/I541,""),"")</f>
        <v/>
      </c>
      <c r="K541" s="25">
        <f>IF(COUNTA(A541:H541)=0,"",IF(OR(A541="",B541="",C541="",D541="",E541="",F541="",G541="",H541=""),"HATA: eksik bilgi",IF(COUNTIF(OdaListesi,A541)=0,"HATA: geçersiz oda no",IF(OR(NOT(ISNUMBER(D541)),NOT(ISNUMBER(E541))),"HATA: tarih geçersiz",IF(E541&lt;=D541,"HATA: çıkış girişten sonra olmalı",IF(OR(NOT(ISNUMBER(C541)),C541&lt;1,C541&gt;MaxKisi,C541&lt;&gt;INT(C541)),"HATA: kişi sayısı geçersiz",IF(OR(NOT(ISNUMBER(G541)),G541&lt;0),"HATA: tutar geçersiz",IF(B541&lt;&gt;TRIM(B541),"HATA: isimde baştaki/sondaki boşluk",IF(COUNTIF(KaynakAralik,H541)=0,"HATA: kaynak listede yok",IF(AND(F541&lt;&gt;"Bekleniyor",F541&lt;&gt;"Geldi",F541&lt;&gt;"İptal"),"HATA: giriş durumu geçersiz",IF(AND(F541&lt;&gt;"İptal",COUNTIFS($A$6:$A$1005,A541,$D$6:$D$1005,"&lt;"&amp;E541,$E$6:$E$1005,"&gt;"&amp;D541,$F$6:$F$1005,"&lt;&gt;İptal")&gt;1),"HATA: oda bu tarihlerde çakışıyor",IF(AND(F541="Bekleniyor",D541&lt;RaporTarihi),"HATA: giriş günü geçti, Geldi veya İptal yapın","OK"))))))))))))</f>
        <v/>
      </c>
      <c r="L541" s="25">
        <f>IF(AND(ISNUMBER(A541),F541&lt;&gt;"İptal",ISNUMBER(D541),ISNUMBER(E541),D541&lt;=RaporTarihi,E541&gt;RaporTarihi),A541,"")</f>
        <v/>
      </c>
    </row>
    <row r="542">
      <c r="A542" s="22" t="n"/>
      <c r="B542" s="22" t="n"/>
      <c r="C542" s="22" t="n"/>
      <c r="D542" s="23" t="n"/>
      <c r="E542" s="23" t="n"/>
      <c r="F542" s="22" t="n"/>
      <c r="G542" s="24" t="n"/>
      <c r="H542" s="22" t="n"/>
      <c r="I542" s="25">
        <f>IF(AND(ISNUMBER(D542),ISNUMBER(E542)),E542-D542,"")</f>
        <v/>
      </c>
      <c r="J542" s="26">
        <f>IF(AND(ISNUMBER(I542),ISNUMBER(G542)),IF(I542&gt;0,G542/I542,""),"")</f>
        <v/>
      </c>
      <c r="K542" s="25">
        <f>IF(COUNTA(A542:H542)=0,"",IF(OR(A542="",B542="",C542="",D542="",E542="",F542="",G542="",H542=""),"HATA: eksik bilgi",IF(COUNTIF(OdaListesi,A542)=0,"HATA: geçersiz oda no",IF(OR(NOT(ISNUMBER(D542)),NOT(ISNUMBER(E542))),"HATA: tarih geçersiz",IF(E542&lt;=D542,"HATA: çıkış girişten sonra olmalı",IF(OR(NOT(ISNUMBER(C542)),C542&lt;1,C542&gt;MaxKisi,C542&lt;&gt;INT(C542)),"HATA: kişi sayısı geçersiz",IF(OR(NOT(ISNUMBER(G542)),G542&lt;0),"HATA: tutar geçersiz",IF(B542&lt;&gt;TRIM(B542),"HATA: isimde baştaki/sondaki boşluk",IF(COUNTIF(KaynakAralik,H542)=0,"HATA: kaynak listede yok",IF(AND(F542&lt;&gt;"Bekleniyor",F542&lt;&gt;"Geldi",F542&lt;&gt;"İptal"),"HATA: giriş durumu geçersiz",IF(AND(F542&lt;&gt;"İptal",COUNTIFS($A$6:$A$1005,A542,$D$6:$D$1005,"&lt;"&amp;E542,$E$6:$E$1005,"&gt;"&amp;D542,$F$6:$F$1005,"&lt;&gt;İptal")&gt;1),"HATA: oda bu tarihlerde çakışıyor",IF(AND(F542="Bekleniyor",D542&lt;RaporTarihi),"HATA: giriş günü geçti, Geldi veya İptal yapın","OK"))))))))))))</f>
        <v/>
      </c>
      <c r="L542" s="25">
        <f>IF(AND(ISNUMBER(A542),F542&lt;&gt;"İptal",ISNUMBER(D542),ISNUMBER(E542),D542&lt;=RaporTarihi,E542&gt;RaporTarihi),A542,"")</f>
        <v/>
      </c>
    </row>
    <row r="543">
      <c r="A543" s="22" t="n"/>
      <c r="B543" s="22" t="n"/>
      <c r="C543" s="22" t="n"/>
      <c r="D543" s="23" t="n"/>
      <c r="E543" s="23" t="n"/>
      <c r="F543" s="22" t="n"/>
      <c r="G543" s="24" t="n"/>
      <c r="H543" s="22" t="n"/>
      <c r="I543" s="25">
        <f>IF(AND(ISNUMBER(D543),ISNUMBER(E543)),E543-D543,"")</f>
        <v/>
      </c>
      <c r="J543" s="26">
        <f>IF(AND(ISNUMBER(I543),ISNUMBER(G543)),IF(I543&gt;0,G543/I543,""),"")</f>
        <v/>
      </c>
      <c r="K543" s="25">
        <f>IF(COUNTA(A543:H543)=0,"",IF(OR(A543="",B543="",C543="",D543="",E543="",F543="",G543="",H543=""),"HATA: eksik bilgi",IF(COUNTIF(OdaListesi,A543)=0,"HATA: geçersiz oda no",IF(OR(NOT(ISNUMBER(D543)),NOT(ISNUMBER(E543))),"HATA: tarih geçersiz",IF(E543&lt;=D543,"HATA: çıkış girişten sonra olmalı",IF(OR(NOT(ISNUMBER(C543)),C543&lt;1,C543&gt;MaxKisi,C543&lt;&gt;INT(C543)),"HATA: kişi sayısı geçersiz",IF(OR(NOT(ISNUMBER(G543)),G543&lt;0),"HATA: tutar geçersiz",IF(B543&lt;&gt;TRIM(B543),"HATA: isimde baştaki/sondaki boşluk",IF(COUNTIF(KaynakAralik,H543)=0,"HATA: kaynak listede yok",IF(AND(F543&lt;&gt;"Bekleniyor",F543&lt;&gt;"Geldi",F543&lt;&gt;"İptal"),"HATA: giriş durumu geçersiz",IF(AND(F543&lt;&gt;"İptal",COUNTIFS($A$6:$A$1005,A543,$D$6:$D$1005,"&lt;"&amp;E543,$E$6:$E$1005,"&gt;"&amp;D543,$F$6:$F$1005,"&lt;&gt;İptal")&gt;1),"HATA: oda bu tarihlerde çakışıyor",IF(AND(F543="Bekleniyor",D543&lt;RaporTarihi),"HATA: giriş günü geçti, Geldi veya İptal yapın","OK"))))))))))))</f>
        <v/>
      </c>
      <c r="L543" s="25">
        <f>IF(AND(ISNUMBER(A543),F543&lt;&gt;"İptal",ISNUMBER(D543),ISNUMBER(E543),D543&lt;=RaporTarihi,E543&gt;RaporTarihi),A543,"")</f>
        <v/>
      </c>
    </row>
    <row r="544">
      <c r="A544" s="22" t="n"/>
      <c r="B544" s="22" t="n"/>
      <c r="C544" s="22" t="n"/>
      <c r="D544" s="23" t="n"/>
      <c r="E544" s="23" t="n"/>
      <c r="F544" s="22" t="n"/>
      <c r="G544" s="24" t="n"/>
      <c r="H544" s="22" t="n"/>
      <c r="I544" s="25">
        <f>IF(AND(ISNUMBER(D544),ISNUMBER(E544)),E544-D544,"")</f>
        <v/>
      </c>
      <c r="J544" s="26">
        <f>IF(AND(ISNUMBER(I544),ISNUMBER(G544)),IF(I544&gt;0,G544/I544,""),"")</f>
        <v/>
      </c>
      <c r="K544" s="25">
        <f>IF(COUNTA(A544:H544)=0,"",IF(OR(A544="",B544="",C544="",D544="",E544="",F544="",G544="",H544=""),"HATA: eksik bilgi",IF(COUNTIF(OdaListesi,A544)=0,"HATA: geçersiz oda no",IF(OR(NOT(ISNUMBER(D544)),NOT(ISNUMBER(E544))),"HATA: tarih geçersiz",IF(E544&lt;=D544,"HATA: çıkış girişten sonra olmalı",IF(OR(NOT(ISNUMBER(C544)),C544&lt;1,C544&gt;MaxKisi,C544&lt;&gt;INT(C544)),"HATA: kişi sayısı geçersiz",IF(OR(NOT(ISNUMBER(G544)),G544&lt;0),"HATA: tutar geçersiz",IF(B544&lt;&gt;TRIM(B544),"HATA: isimde baştaki/sondaki boşluk",IF(COUNTIF(KaynakAralik,H544)=0,"HATA: kaynak listede yok",IF(AND(F544&lt;&gt;"Bekleniyor",F544&lt;&gt;"Geldi",F544&lt;&gt;"İptal"),"HATA: giriş durumu geçersiz",IF(AND(F544&lt;&gt;"İptal",COUNTIFS($A$6:$A$1005,A544,$D$6:$D$1005,"&lt;"&amp;E544,$E$6:$E$1005,"&gt;"&amp;D544,$F$6:$F$1005,"&lt;&gt;İptal")&gt;1),"HATA: oda bu tarihlerde çakışıyor",IF(AND(F544="Bekleniyor",D544&lt;RaporTarihi),"HATA: giriş günü geçti, Geldi veya İptal yapın","OK"))))))))))))</f>
        <v/>
      </c>
      <c r="L544" s="25">
        <f>IF(AND(ISNUMBER(A544),F544&lt;&gt;"İptal",ISNUMBER(D544),ISNUMBER(E544),D544&lt;=RaporTarihi,E544&gt;RaporTarihi),A544,"")</f>
        <v/>
      </c>
    </row>
    <row r="545">
      <c r="A545" s="22" t="n"/>
      <c r="B545" s="22" t="n"/>
      <c r="C545" s="22" t="n"/>
      <c r="D545" s="23" t="n"/>
      <c r="E545" s="23" t="n"/>
      <c r="F545" s="22" t="n"/>
      <c r="G545" s="24" t="n"/>
      <c r="H545" s="22" t="n"/>
      <c r="I545" s="25">
        <f>IF(AND(ISNUMBER(D545),ISNUMBER(E545)),E545-D545,"")</f>
        <v/>
      </c>
      <c r="J545" s="26">
        <f>IF(AND(ISNUMBER(I545),ISNUMBER(G545)),IF(I545&gt;0,G545/I545,""),"")</f>
        <v/>
      </c>
      <c r="K545" s="25">
        <f>IF(COUNTA(A545:H545)=0,"",IF(OR(A545="",B545="",C545="",D545="",E545="",F545="",G545="",H545=""),"HATA: eksik bilgi",IF(COUNTIF(OdaListesi,A545)=0,"HATA: geçersiz oda no",IF(OR(NOT(ISNUMBER(D545)),NOT(ISNUMBER(E545))),"HATA: tarih geçersiz",IF(E545&lt;=D545,"HATA: çıkış girişten sonra olmalı",IF(OR(NOT(ISNUMBER(C545)),C545&lt;1,C545&gt;MaxKisi,C545&lt;&gt;INT(C545)),"HATA: kişi sayısı geçersiz",IF(OR(NOT(ISNUMBER(G545)),G545&lt;0),"HATA: tutar geçersiz",IF(B545&lt;&gt;TRIM(B545),"HATA: isimde baştaki/sondaki boşluk",IF(COUNTIF(KaynakAralik,H545)=0,"HATA: kaynak listede yok",IF(AND(F545&lt;&gt;"Bekleniyor",F545&lt;&gt;"Geldi",F545&lt;&gt;"İptal"),"HATA: giriş durumu geçersiz",IF(AND(F545&lt;&gt;"İptal",COUNTIFS($A$6:$A$1005,A545,$D$6:$D$1005,"&lt;"&amp;E545,$E$6:$E$1005,"&gt;"&amp;D545,$F$6:$F$1005,"&lt;&gt;İptal")&gt;1),"HATA: oda bu tarihlerde çakışıyor",IF(AND(F545="Bekleniyor",D545&lt;RaporTarihi),"HATA: giriş günü geçti, Geldi veya İptal yapın","OK"))))))))))))</f>
        <v/>
      </c>
      <c r="L545" s="25">
        <f>IF(AND(ISNUMBER(A545),F545&lt;&gt;"İptal",ISNUMBER(D545),ISNUMBER(E545),D545&lt;=RaporTarihi,E545&gt;RaporTarihi),A545,"")</f>
        <v/>
      </c>
    </row>
    <row r="546">
      <c r="A546" s="22" t="n"/>
      <c r="B546" s="22" t="n"/>
      <c r="C546" s="22" t="n"/>
      <c r="D546" s="23" t="n"/>
      <c r="E546" s="23" t="n"/>
      <c r="F546" s="22" t="n"/>
      <c r="G546" s="24" t="n"/>
      <c r="H546" s="22" t="n"/>
      <c r="I546" s="25">
        <f>IF(AND(ISNUMBER(D546),ISNUMBER(E546)),E546-D546,"")</f>
        <v/>
      </c>
      <c r="J546" s="26">
        <f>IF(AND(ISNUMBER(I546),ISNUMBER(G546)),IF(I546&gt;0,G546/I546,""),"")</f>
        <v/>
      </c>
      <c r="K546" s="25">
        <f>IF(COUNTA(A546:H546)=0,"",IF(OR(A546="",B546="",C546="",D546="",E546="",F546="",G546="",H546=""),"HATA: eksik bilgi",IF(COUNTIF(OdaListesi,A546)=0,"HATA: geçersiz oda no",IF(OR(NOT(ISNUMBER(D546)),NOT(ISNUMBER(E546))),"HATA: tarih geçersiz",IF(E546&lt;=D546,"HATA: çıkış girişten sonra olmalı",IF(OR(NOT(ISNUMBER(C546)),C546&lt;1,C546&gt;MaxKisi,C546&lt;&gt;INT(C546)),"HATA: kişi sayısı geçersiz",IF(OR(NOT(ISNUMBER(G546)),G546&lt;0),"HATA: tutar geçersiz",IF(B546&lt;&gt;TRIM(B546),"HATA: isimde baştaki/sondaki boşluk",IF(COUNTIF(KaynakAralik,H546)=0,"HATA: kaynak listede yok",IF(AND(F546&lt;&gt;"Bekleniyor",F546&lt;&gt;"Geldi",F546&lt;&gt;"İptal"),"HATA: giriş durumu geçersiz",IF(AND(F546&lt;&gt;"İptal",COUNTIFS($A$6:$A$1005,A546,$D$6:$D$1005,"&lt;"&amp;E546,$E$6:$E$1005,"&gt;"&amp;D546,$F$6:$F$1005,"&lt;&gt;İptal")&gt;1),"HATA: oda bu tarihlerde çakışıyor",IF(AND(F546="Bekleniyor",D546&lt;RaporTarihi),"HATA: giriş günü geçti, Geldi veya İptal yapın","OK"))))))))))))</f>
        <v/>
      </c>
      <c r="L546" s="25">
        <f>IF(AND(ISNUMBER(A546),F546&lt;&gt;"İptal",ISNUMBER(D546),ISNUMBER(E546),D546&lt;=RaporTarihi,E546&gt;RaporTarihi),A546,"")</f>
        <v/>
      </c>
    </row>
    <row r="547">
      <c r="A547" s="22" t="n"/>
      <c r="B547" s="22" t="n"/>
      <c r="C547" s="22" t="n"/>
      <c r="D547" s="23" t="n"/>
      <c r="E547" s="23" t="n"/>
      <c r="F547" s="22" t="n"/>
      <c r="G547" s="24" t="n"/>
      <c r="H547" s="22" t="n"/>
      <c r="I547" s="25">
        <f>IF(AND(ISNUMBER(D547),ISNUMBER(E547)),E547-D547,"")</f>
        <v/>
      </c>
      <c r="J547" s="26">
        <f>IF(AND(ISNUMBER(I547),ISNUMBER(G547)),IF(I547&gt;0,G547/I547,""),"")</f>
        <v/>
      </c>
      <c r="K547" s="25">
        <f>IF(COUNTA(A547:H547)=0,"",IF(OR(A547="",B547="",C547="",D547="",E547="",F547="",G547="",H547=""),"HATA: eksik bilgi",IF(COUNTIF(OdaListesi,A547)=0,"HATA: geçersiz oda no",IF(OR(NOT(ISNUMBER(D547)),NOT(ISNUMBER(E547))),"HATA: tarih geçersiz",IF(E547&lt;=D547,"HATA: çıkış girişten sonra olmalı",IF(OR(NOT(ISNUMBER(C547)),C547&lt;1,C547&gt;MaxKisi,C547&lt;&gt;INT(C547)),"HATA: kişi sayısı geçersiz",IF(OR(NOT(ISNUMBER(G547)),G547&lt;0),"HATA: tutar geçersiz",IF(B547&lt;&gt;TRIM(B547),"HATA: isimde baştaki/sondaki boşluk",IF(COUNTIF(KaynakAralik,H547)=0,"HATA: kaynak listede yok",IF(AND(F547&lt;&gt;"Bekleniyor",F547&lt;&gt;"Geldi",F547&lt;&gt;"İptal"),"HATA: giriş durumu geçersiz",IF(AND(F547&lt;&gt;"İptal",COUNTIFS($A$6:$A$1005,A547,$D$6:$D$1005,"&lt;"&amp;E547,$E$6:$E$1005,"&gt;"&amp;D547,$F$6:$F$1005,"&lt;&gt;İptal")&gt;1),"HATA: oda bu tarihlerde çakışıyor",IF(AND(F547="Bekleniyor",D547&lt;RaporTarihi),"HATA: giriş günü geçti, Geldi veya İptal yapın","OK"))))))))))))</f>
        <v/>
      </c>
      <c r="L547" s="25">
        <f>IF(AND(ISNUMBER(A547),F547&lt;&gt;"İptal",ISNUMBER(D547),ISNUMBER(E547),D547&lt;=RaporTarihi,E547&gt;RaporTarihi),A547,"")</f>
        <v/>
      </c>
    </row>
    <row r="548">
      <c r="A548" s="22" t="n"/>
      <c r="B548" s="22" t="n"/>
      <c r="C548" s="22" t="n"/>
      <c r="D548" s="23" t="n"/>
      <c r="E548" s="23" t="n"/>
      <c r="F548" s="22" t="n"/>
      <c r="G548" s="24" t="n"/>
      <c r="H548" s="22" t="n"/>
      <c r="I548" s="25">
        <f>IF(AND(ISNUMBER(D548),ISNUMBER(E548)),E548-D548,"")</f>
        <v/>
      </c>
      <c r="J548" s="26">
        <f>IF(AND(ISNUMBER(I548),ISNUMBER(G548)),IF(I548&gt;0,G548/I548,""),"")</f>
        <v/>
      </c>
      <c r="K548" s="25">
        <f>IF(COUNTA(A548:H548)=0,"",IF(OR(A548="",B548="",C548="",D548="",E548="",F548="",G548="",H548=""),"HATA: eksik bilgi",IF(COUNTIF(OdaListesi,A548)=0,"HATA: geçersiz oda no",IF(OR(NOT(ISNUMBER(D548)),NOT(ISNUMBER(E548))),"HATA: tarih geçersiz",IF(E548&lt;=D548,"HATA: çıkış girişten sonra olmalı",IF(OR(NOT(ISNUMBER(C548)),C548&lt;1,C548&gt;MaxKisi,C548&lt;&gt;INT(C548)),"HATA: kişi sayısı geçersiz",IF(OR(NOT(ISNUMBER(G548)),G548&lt;0),"HATA: tutar geçersiz",IF(B548&lt;&gt;TRIM(B548),"HATA: isimde baştaki/sondaki boşluk",IF(COUNTIF(KaynakAralik,H548)=0,"HATA: kaynak listede yok",IF(AND(F548&lt;&gt;"Bekleniyor",F548&lt;&gt;"Geldi",F548&lt;&gt;"İptal"),"HATA: giriş durumu geçersiz",IF(AND(F548&lt;&gt;"İptal",COUNTIFS($A$6:$A$1005,A548,$D$6:$D$1005,"&lt;"&amp;E548,$E$6:$E$1005,"&gt;"&amp;D548,$F$6:$F$1005,"&lt;&gt;İptal")&gt;1),"HATA: oda bu tarihlerde çakışıyor",IF(AND(F548="Bekleniyor",D548&lt;RaporTarihi),"HATA: giriş günü geçti, Geldi veya İptal yapın","OK"))))))))))))</f>
        <v/>
      </c>
      <c r="L548" s="25">
        <f>IF(AND(ISNUMBER(A548),F548&lt;&gt;"İptal",ISNUMBER(D548),ISNUMBER(E548),D548&lt;=RaporTarihi,E548&gt;RaporTarihi),A548,"")</f>
        <v/>
      </c>
    </row>
    <row r="549">
      <c r="A549" s="22" t="n"/>
      <c r="B549" s="22" t="n"/>
      <c r="C549" s="22" t="n"/>
      <c r="D549" s="23" t="n"/>
      <c r="E549" s="23" t="n"/>
      <c r="F549" s="22" t="n"/>
      <c r="G549" s="24" t="n"/>
      <c r="H549" s="22" t="n"/>
      <c r="I549" s="25">
        <f>IF(AND(ISNUMBER(D549),ISNUMBER(E549)),E549-D549,"")</f>
        <v/>
      </c>
      <c r="J549" s="26">
        <f>IF(AND(ISNUMBER(I549),ISNUMBER(G549)),IF(I549&gt;0,G549/I549,""),"")</f>
        <v/>
      </c>
      <c r="K549" s="25">
        <f>IF(COUNTA(A549:H549)=0,"",IF(OR(A549="",B549="",C549="",D549="",E549="",F549="",G549="",H549=""),"HATA: eksik bilgi",IF(COUNTIF(OdaListesi,A549)=0,"HATA: geçersiz oda no",IF(OR(NOT(ISNUMBER(D549)),NOT(ISNUMBER(E549))),"HATA: tarih geçersiz",IF(E549&lt;=D549,"HATA: çıkış girişten sonra olmalı",IF(OR(NOT(ISNUMBER(C549)),C549&lt;1,C549&gt;MaxKisi,C549&lt;&gt;INT(C549)),"HATA: kişi sayısı geçersiz",IF(OR(NOT(ISNUMBER(G549)),G549&lt;0),"HATA: tutar geçersiz",IF(B549&lt;&gt;TRIM(B549),"HATA: isimde baştaki/sondaki boşluk",IF(COUNTIF(KaynakAralik,H549)=0,"HATA: kaynak listede yok",IF(AND(F549&lt;&gt;"Bekleniyor",F549&lt;&gt;"Geldi",F549&lt;&gt;"İptal"),"HATA: giriş durumu geçersiz",IF(AND(F549&lt;&gt;"İptal",COUNTIFS($A$6:$A$1005,A549,$D$6:$D$1005,"&lt;"&amp;E549,$E$6:$E$1005,"&gt;"&amp;D549,$F$6:$F$1005,"&lt;&gt;İptal")&gt;1),"HATA: oda bu tarihlerde çakışıyor",IF(AND(F549="Bekleniyor",D549&lt;RaporTarihi),"HATA: giriş günü geçti, Geldi veya İptal yapın","OK"))))))))))))</f>
        <v/>
      </c>
      <c r="L549" s="25">
        <f>IF(AND(ISNUMBER(A549),F549&lt;&gt;"İptal",ISNUMBER(D549),ISNUMBER(E549),D549&lt;=RaporTarihi,E549&gt;RaporTarihi),A549,"")</f>
        <v/>
      </c>
    </row>
    <row r="550">
      <c r="A550" s="22" t="n"/>
      <c r="B550" s="22" t="n"/>
      <c r="C550" s="22" t="n"/>
      <c r="D550" s="23" t="n"/>
      <c r="E550" s="23" t="n"/>
      <c r="F550" s="22" t="n"/>
      <c r="G550" s="24" t="n"/>
      <c r="H550" s="22" t="n"/>
      <c r="I550" s="25">
        <f>IF(AND(ISNUMBER(D550),ISNUMBER(E550)),E550-D550,"")</f>
        <v/>
      </c>
      <c r="J550" s="26">
        <f>IF(AND(ISNUMBER(I550),ISNUMBER(G550)),IF(I550&gt;0,G550/I550,""),"")</f>
        <v/>
      </c>
      <c r="K550" s="25">
        <f>IF(COUNTA(A550:H550)=0,"",IF(OR(A550="",B550="",C550="",D550="",E550="",F550="",G550="",H550=""),"HATA: eksik bilgi",IF(COUNTIF(OdaListesi,A550)=0,"HATA: geçersiz oda no",IF(OR(NOT(ISNUMBER(D550)),NOT(ISNUMBER(E550))),"HATA: tarih geçersiz",IF(E550&lt;=D550,"HATA: çıkış girişten sonra olmalı",IF(OR(NOT(ISNUMBER(C550)),C550&lt;1,C550&gt;MaxKisi,C550&lt;&gt;INT(C550)),"HATA: kişi sayısı geçersiz",IF(OR(NOT(ISNUMBER(G550)),G550&lt;0),"HATA: tutar geçersiz",IF(B550&lt;&gt;TRIM(B550),"HATA: isimde baştaki/sondaki boşluk",IF(COUNTIF(KaynakAralik,H550)=0,"HATA: kaynak listede yok",IF(AND(F550&lt;&gt;"Bekleniyor",F550&lt;&gt;"Geldi",F550&lt;&gt;"İptal"),"HATA: giriş durumu geçersiz",IF(AND(F550&lt;&gt;"İptal",COUNTIFS($A$6:$A$1005,A550,$D$6:$D$1005,"&lt;"&amp;E550,$E$6:$E$1005,"&gt;"&amp;D550,$F$6:$F$1005,"&lt;&gt;İptal")&gt;1),"HATA: oda bu tarihlerde çakışıyor",IF(AND(F550="Bekleniyor",D550&lt;RaporTarihi),"HATA: giriş günü geçti, Geldi veya İptal yapın","OK"))))))))))))</f>
        <v/>
      </c>
      <c r="L550" s="25">
        <f>IF(AND(ISNUMBER(A550),F550&lt;&gt;"İptal",ISNUMBER(D550),ISNUMBER(E550),D550&lt;=RaporTarihi,E550&gt;RaporTarihi),A550,"")</f>
        <v/>
      </c>
    </row>
    <row r="551">
      <c r="A551" s="22" t="n"/>
      <c r="B551" s="22" t="n"/>
      <c r="C551" s="22" t="n"/>
      <c r="D551" s="23" t="n"/>
      <c r="E551" s="23" t="n"/>
      <c r="F551" s="22" t="n"/>
      <c r="G551" s="24" t="n"/>
      <c r="H551" s="22" t="n"/>
      <c r="I551" s="25">
        <f>IF(AND(ISNUMBER(D551),ISNUMBER(E551)),E551-D551,"")</f>
        <v/>
      </c>
      <c r="J551" s="26">
        <f>IF(AND(ISNUMBER(I551),ISNUMBER(G551)),IF(I551&gt;0,G551/I551,""),"")</f>
        <v/>
      </c>
      <c r="K551" s="25">
        <f>IF(COUNTA(A551:H551)=0,"",IF(OR(A551="",B551="",C551="",D551="",E551="",F551="",G551="",H551=""),"HATA: eksik bilgi",IF(COUNTIF(OdaListesi,A551)=0,"HATA: geçersiz oda no",IF(OR(NOT(ISNUMBER(D551)),NOT(ISNUMBER(E551))),"HATA: tarih geçersiz",IF(E551&lt;=D551,"HATA: çıkış girişten sonra olmalı",IF(OR(NOT(ISNUMBER(C551)),C551&lt;1,C551&gt;MaxKisi,C551&lt;&gt;INT(C551)),"HATA: kişi sayısı geçersiz",IF(OR(NOT(ISNUMBER(G551)),G551&lt;0),"HATA: tutar geçersiz",IF(B551&lt;&gt;TRIM(B551),"HATA: isimde baştaki/sondaki boşluk",IF(COUNTIF(KaynakAralik,H551)=0,"HATA: kaynak listede yok",IF(AND(F551&lt;&gt;"Bekleniyor",F551&lt;&gt;"Geldi",F551&lt;&gt;"İptal"),"HATA: giriş durumu geçersiz",IF(AND(F551&lt;&gt;"İptal",COUNTIFS($A$6:$A$1005,A551,$D$6:$D$1005,"&lt;"&amp;E551,$E$6:$E$1005,"&gt;"&amp;D551,$F$6:$F$1005,"&lt;&gt;İptal")&gt;1),"HATA: oda bu tarihlerde çakışıyor",IF(AND(F551="Bekleniyor",D551&lt;RaporTarihi),"HATA: giriş günü geçti, Geldi veya İptal yapın","OK"))))))))))))</f>
        <v/>
      </c>
      <c r="L551" s="25">
        <f>IF(AND(ISNUMBER(A551),F551&lt;&gt;"İptal",ISNUMBER(D551),ISNUMBER(E551),D551&lt;=RaporTarihi,E551&gt;RaporTarihi),A551,"")</f>
        <v/>
      </c>
    </row>
    <row r="552">
      <c r="A552" s="22" t="n"/>
      <c r="B552" s="22" t="n"/>
      <c r="C552" s="22" t="n"/>
      <c r="D552" s="23" t="n"/>
      <c r="E552" s="23" t="n"/>
      <c r="F552" s="22" t="n"/>
      <c r="G552" s="24" t="n"/>
      <c r="H552" s="22" t="n"/>
      <c r="I552" s="25">
        <f>IF(AND(ISNUMBER(D552),ISNUMBER(E552)),E552-D552,"")</f>
        <v/>
      </c>
      <c r="J552" s="26">
        <f>IF(AND(ISNUMBER(I552),ISNUMBER(G552)),IF(I552&gt;0,G552/I552,""),"")</f>
        <v/>
      </c>
      <c r="K552" s="25">
        <f>IF(COUNTA(A552:H552)=0,"",IF(OR(A552="",B552="",C552="",D552="",E552="",F552="",G552="",H552=""),"HATA: eksik bilgi",IF(COUNTIF(OdaListesi,A552)=0,"HATA: geçersiz oda no",IF(OR(NOT(ISNUMBER(D552)),NOT(ISNUMBER(E552))),"HATA: tarih geçersiz",IF(E552&lt;=D552,"HATA: çıkış girişten sonra olmalı",IF(OR(NOT(ISNUMBER(C552)),C552&lt;1,C552&gt;MaxKisi,C552&lt;&gt;INT(C552)),"HATA: kişi sayısı geçersiz",IF(OR(NOT(ISNUMBER(G552)),G552&lt;0),"HATA: tutar geçersiz",IF(B552&lt;&gt;TRIM(B552),"HATA: isimde baştaki/sondaki boşluk",IF(COUNTIF(KaynakAralik,H552)=0,"HATA: kaynak listede yok",IF(AND(F552&lt;&gt;"Bekleniyor",F552&lt;&gt;"Geldi",F552&lt;&gt;"İptal"),"HATA: giriş durumu geçersiz",IF(AND(F552&lt;&gt;"İptal",COUNTIFS($A$6:$A$1005,A552,$D$6:$D$1005,"&lt;"&amp;E552,$E$6:$E$1005,"&gt;"&amp;D552,$F$6:$F$1005,"&lt;&gt;İptal")&gt;1),"HATA: oda bu tarihlerde çakışıyor",IF(AND(F552="Bekleniyor",D552&lt;RaporTarihi),"HATA: giriş günü geçti, Geldi veya İptal yapın","OK"))))))))))))</f>
        <v/>
      </c>
      <c r="L552" s="25">
        <f>IF(AND(ISNUMBER(A552),F552&lt;&gt;"İptal",ISNUMBER(D552),ISNUMBER(E552),D552&lt;=RaporTarihi,E552&gt;RaporTarihi),A552,"")</f>
        <v/>
      </c>
    </row>
    <row r="553">
      <c r="A553" s="22" t="n"/>
      <c r="B553" s="22" t="n"/>
      <c r="C553" s="22" t="n"/>
      <c r="D553" s="23" t="n"/>
      <c r="E553" s="23" t="n"/>
      <c r="F553" s="22" t="n"/>
      <c r="G553" s="24" t="n"/>
      <c r="H553" s="22" t="n"/>
      <c r="I553" s="25">
        <f>IF(AND(ISNUMBER(D553),ISNUMBER(E553)),E553-D553,"")</f>
        <v/>
      </c>
      <c r="J553" s="26">
        <f>IF(AND(ISNUMBER(I553),ISNUMBER(G553)),IF(I553&gt;0,G553/I553,""),"")</f>
        <v/>
      </c>
      <c r="K553" s="25">
        <f>IF(COUNTA(A553:H553)=0,"",IF(OR(A553="",B553="",C553="",D553="",E553="",F553="",G553="",H553=""),"HATA: eksik bilgi",IF(COUNTIF(OdaListesi,A553)=0,"HATA: geçersiz oda no",IF(OR(NOT(ISNUMBER(D553)),NOT(ISNUMBER(E553))),"HATA: tarih geçersiz",IF(E553&lt;=D553,"HATA: çıkış girişten sonra olmalı",IF(OR(NOT(ISNUMBER(C553)),C553&lt;1,C553&gt;MaxKisi,C553&lt;&gt;INT(C553)),"HATA: kişi sayısı geçersiz",IF(OR(NOT(ISNUMBER(G553)),G553&lt;0),"HATA: tutar geçersiz",IF(B553&lt;&gt;TRIM(B553),"HATA: isimde baştaki/sondaki boşluk",IF(COUNTIF(KaynakAralik,H553)=0,"HATA: kaynak listede yok",IF(AND(F553&lt;&gt;"Bekleniyor",F553&lt;&gt;"Geldi",F553&lt;&gt;"İptal"),"HATA: giriş durumu geçersiz",IF(AND(F553&lt;&gt;"İptal",COUNTIFS($A$6:$A$1005,A553,$D$6:$D$1005,"&lt;"&amp;E553,$E$6:$E$1005,"&gt;"&amp;D553,$F$6:$F$1005,"&lt;&gt;İptal")&gt;1),"HATA: oda bu tarihlerde çakışıyor",IF(AND(F553="Bekleniyor",D553&lt;RaporTarihi),"HATA: giriş günü geçti, Geldi veya İptal yapın","OK"))))))))))))</f>
        <v/>
      </c>
      <c r="L553" s="25">
        <f>IF(AND(ISNUMBER(A553),F553&lt;&gt;"İptal",ISNUMBER(D553),ISNUMBER(E553),D553&lt;=RaporTarihi,E553&gt;RaporTarihi),A553,"")</f>
        <v/>
      </c>
    </row>
    <row r="554">
      <c r="A554" s="22" t="n"/>
      <c r="B554" s="22" t="n"/>
      <c r="C554" s="22" t="n"/>
      <c r="D554" s="23" t="n"/>
      <c r="E554" s="23" t="n"/>
      <c r="F554" s="22" t="n"/>
      <c r="G554" s="24" t="n"/>
      <c r="H554" s="22" t="n"/>
      <c r="I554" s="25">
        <f>IF(AND(ISNUMBER(D554),ISNUMBER(E554)),E554-D554,"")</f>
        <v/>
      </c>
      <c r="J554" s="26">
        <f>IF(AND(ISNUMBER(I554),ISNUMBER(G554)),IF(I554&gt;0,G554/I554,""),"")</f>
        <v/>
      </c>
      <c r="K554" s="25">
        <f>IF(COUNTA(A554:H554)=0,"",IF(OR(A554="",B554="",C554="",D554="",E554="",F554="",G554="",H554=""),"HATA: eksik bilgi",IF(COUNTIF(OdaListesi,A554)=0,"HATA: geçersiz oda no",IF(OR(NOT(ISNUMBER(D554)),NOT(ISNUMBER(E554))),"HATA: tarih geçersiz",IF(E554&lt;=D554,"HATA: çıkış girişten sonra olmalı",IF(OR(NOT(ISNUMBER(C554)),C554&lt;1,C554&gt;MaxKisi,C554&lt;&gt;INT(C554)),"HATA: kişi sayısı geçersiz",IF(OR(NOT(ISNUMBER(G554)),G554&lt;0),"HATA: tutar geçersiz",IF(B554&lt;&gt;TRIM(B554),"HATA: isimde baştaki/sondaki boşluk",IF(COUNTIF(KaynakAralik,H554)=0,"HATA: kaynak listede yok",IF(AND(F554&lt;&gt;"Bekleniyor",F554&lt;&gt;"Geldi",F554&lt;&gt;"İptal"),"HATA: giriş durumu geçersiz",IF(AND(F554&lt;&gt;"İptal",COUNTIFS($A$6:$A$1005,A554,$D$6:$D$1005,"&lt;"&amp;E554,$E$6:$E$1005,"&gt;"&amp;D554,$F$6:$F$1005,"&lt;&gt;İptal")&gt;1),"HATA: oda bu tarihlerde çakışıyor",IF(AND(F554="Bekleniyor",D554&lt;RaporTarihi),"HATA: giriş günü geçti, Geldi veya İptal yapın","OK"))))))))))))</f>
        <v/>
      </c>
      <c r="L554" s="25">
        <f>IF(AND(ISNUMBER(A554),F554&lt;&gt;"İptal",ISNUMBER(D554),ISNUMBER(E554),D554&lt;=RaporTarihi,E554&gt;RaporTarihi),A554,"")</f>
        <v/>
      </c>
    </row>
    <row r="555">
      <c r="A555" s="22" t="n"/>
      <c r="B555" s="22" t="n"/>
      <c r="C555" s="22" t="n"/>
      <c r="D555" s="23" t="n"/>
      <c r="E555" s="23" t="n"/>
      <c r="F555" s="22" t="n"/>
      <c r="G555" s="24" t="n"/>
      <c r="H555" s="22" t="n"/>
      <c r="I555" s="25">
        <f>IF(AND(ISNUMBER(D555),ISNUMBER(E555)),E555-D555,"")</f>
        <v/>
      </c>
      <c r="J555" s="26">
        <f>IF(AND(ISNUMBER(I555),ISNUMBER(G555)),IF(I555&gt;0,G555/I555,""),"")</f>
        <v/>
      </c>
      <c r="K555" s="25">
        <f>IF(COUNTA(A555:H555)=0,"",IF(OR(A555="",B555="",C555="",D555="",E555="",F555="",G555="",H555=""),"HATA: eksik bilgi",IF(COUNTIF(OdaListesi,A555)=0,"HATA: geçersiz oda no",IF(OR(NOT(ISNUMBER(D555)),NOT(ISNUMBER(E555))),"HATA: tarih geçersiz",IF(E555&lt;=D555,"HATA: çıkış girişten sonra olmalı",IF(OR(NOT(ISNUMBER(C555)),C555&lt;1,C555&gt;MaxKisi,C555&lt;&gt;INT(C555)),"HATA: kişi sayısı geçersiz",IF(OR(NOT(ISNUMBER(G555)),G555&lt;0),"HATA: tutar geçersiz",IF(B555&lt;&gt;TRIM(B555),"HATA: isimde baştaki/sondaki boşluk",IF(COUNTIF(KaynakAralik,H555)=0,"HATA: kaynak listede yok",IF(AND(F555&lt;&gt;"Bekleniyor",F555&lt;&gt;"Geldi",F555&lt;&gt;"İptal"),"HATA: giriş durumu geçersiz",IF(AND(F555&lt;&gt;"İptal",COUNTIFS($A$6:$A$1005,A555,$D$6:$D$1005,"&lt;"&amp;E555,$E$6:$E$1005,"&gt;"&amp;D555,$F$6:$F$1005,"&lt;&gt;İptal")&gt;1),"HATA: oda bu tarihlerde çakışıyor",IF(AND(F555="Bekleniyor",D555&lt;RaporTarihi),"HATA: giriş günü geçti, Geldi veya İptal yapın","OK"))))))))))))</f>
        <v/>
      </c>
      <c r="L555" s="25">
        <f>IF(AND(ISNUMBER(A555),F555&lt;&gt;"İptal",ISNUMBER(D555),ISNUMBER(E555),D555&lt;=RaporTarihi,E555&gt;RaporTarihi),A555,"")</f>
        <v/>
      </c>
    </row>
    <row r="556">
      <c r="A556" s="22" t="n"/>
      <c r="B556" s="22" t="n"/>
      <c r="C556" s="22" t="n"/>
      <c r="D556" s="23" t="n"/>
      <c r="E556" s="23" t="n"/>
      <c r="F556" s="22" t="n"/>
      <c r="G556" s="24" t="n"/>
      <c r="H556" s="22" t="n"/>
      <c r="I556" s="25">
        <f>IF(AND(ISNUMBER(D556),ISNUMBER(E556)),E556-D556,"")</f>
        <v/>
      </c>
      <c r="J556" s="26">
        <f>IF(AND(ISNUMBER(I556),ISNUMBER(G556)),IF(I556&gt;0,G556/I556,""),"")</f>
        <v/>
      </c>
      <c r="K556" s="25">
        <f>IF(COUNTA(A556:H556)=0,"",IF(OR(A556="",B556="",C556="",D556="",E556="",F556="",G556="",H556=""),"HATA: eksik bilgi",IF(COUNTIF(OdaListesi,A556)=0,"HATA: geçersiz oda no",IF(OR(NOT(ISNUMBER(D556)),NOT(ISNUMBER(E556))),"HATA: tarih geçersiz",IF(E556&lt;=D556,"HATA: çıkış girişten sonra olmalı",IF(OR(NOT(ISNUMBER(C556)),C556&lt;1,C556&gt;MaxKisi,C556&lt;&gt;INT(C556)),"HATA: kişi sayısı geçersiz",IF(OR(NOT(ISNUMBER(G556)),G556&lt;0),"HATA: tutar geçersiz",IF(B556&lt;&gt;TRIM(B556),"HATA: isimde baştaki/sondaki boşluk",IF(COUNTIF(KaynakAralik,H556)=0,"HATA: kaynak listede yok",IF(AND(F556&lt;&gt;"Bekleniyor",F556&lt;&gt;"Geldi",F556&lt;&gt;"İptal"),"HATA: giriş durumu geçersiz",IF(AND(F556&lt;&gt;"İptal",COUNTIFS($A$6:$A$1005,A556,$D$6:$D$1005,"&lt;"&amp;E556,$E$6:$E$1005,"&gt;"&amp;D556,$F$6:$F$1005,"&lt;&gt;İptal")&gt;1),"HATA: oda bu tarihlerde çakışıyor",IF(AND(F556="Bekleniyor",D556&lt;RaporTarihi),"HATA: giriş günü geçti, Geldi veya İptal yapın","OK"))))))))))))</f>
        <v/>
      </c>
      <c r="L556" s="25">
        <f>IF(AND(ISNUMBER(A556),F556&lt;&gt;"İptal",ISNUMBER(D556),ISNUMBER(E556),D556&lt;=RaporTarihi,E556&gt;RaporTarihi),A556,"")</f>
        <v/>
      </c>
    </row>
    <row r="557">
      <c r="A557" s="22" t="n"/>
      <c r="B557" s="22" t="n"/>
      <c r="C557" s="22" t="n"/>
      <c r="D557" s="23" t="n"/>
      <c r="E557" s="23" t="n"/>
      <c r="F557" s="22" t="n"/>
      <c r="G557" s="24" t="n"/>
      <c r="H557" s="22" t="n"/>
      <c r="I557" s="25">
        <f>IF(AND(ISNUMBER(D557),ISNUMBER(E557)),E557-D557,"")</f>
        <v/>
      </c>
      <c r="J557" s="26">
        <f>IF(AND(ISNUMBER(I557),ISNUMBER(G557)),IF(I557&gt;0,G557/I557,""),"")</f>
        <v/>
      </c>
      <c r="K557" s="25">
        <f>IF(COUNTA(A557:H557)=0,"",IF(OR(A557="",B557="",C557="",D557="",E557="",F557="",G557="",H557=""),"HATA: eksik bilgi",IF(COUNTIF(OdaListesi,A557)=0,"HATA: geçersiz oda no",IF(OR(NOT(ISNUMBER(D557)),NOT(ISNUMBER(E557))),"HATA: tarih geçersiz",IF(E557&lt;=D557,"HATA: çıkış girişten sonra olmalı",IF(OR(NOT(ISNUMBER(C557)),C557&lt;1,C557&gt;MaxKisi,C557&lt;&gt;INT(C557)),"HATA: kişi sayısı geçersiz",IF(OR(NOT(ISNUMBER(G557)),G557&lt;0),"HATA: tutar geçersiz",IF(B557&lt;&gt;TRIM(B557),"HATA: isimde baştaki/sondaki boşluk",IF(COUNTIF(KaynakAralik,H557)=0,"HATA: kaynak listede yok",IF(AND(F557&lt;&gt;"Bekleniyor",F557&lt;&gt;"Geldi",F557&lt;&gt;"İptal"),"HATA: giriş durumu geçersiz",IF(AND(F557&lt;&gt;"İptal",COUNTIFS($A$6:$A$1005,A557,$D$6:$D$1005,"&lt;"&amp;E557,$E$6:$E$1005,"&gt;"&amp;D557,$F$6:$F$1005,"&lt;&gt;İptal")&gt;1),"HATA: oda bu tarihlerde çakışıyor",IF(AND(F557="Bekleniyor",D557&lt;RaporTarihi),"HATA: giriş günü geçti, Geldi veya İptal yapın","OK"))))))))))))</f>
        <v/>
      </c>
      <c r="L557" s="25">
        <f>IF(AND(ISNUMBER(A557),F557&lt;&gt;"İptal",ISNUMBER(D557),ISNUMBER(E557),D557&lt;=RaporTarihi,E557&gt;RaporTarihi),A557,"")</f>
        <v/>
      </c>
    </row>
    <row r="558">
      <c r="A558" s="22" t="n"/>
      <c r="B558" s="22" t="n"/>
      <c r="C558" s="22" t="n"/>
      <c r="D558" s="23" t="n"/>
      <c r="E558" s="23" t="n"/>
      <c r="F558" s="22" t="n"/>
      <c r="G558" s="24" t="n"/>
      <c r="H558" s="22" t="n"/>
      <c r="I558" s="25">
        <f>IF(AND(ISNUMBER(D558),ISNUMBER(E558)),E558-D558,"")</f>
        <v/>
      </c>
      <c r="J558" s="26">
        <f>IF(AND(ISNUMBER(I558),ISNUMBER(G558)),IF(I558&gt;0,G558/I558,""),"")</f>
        <v/>
      </c>
      <c r="K558" s="25">
        <f>IF(COUNTA(A558:H558)=0,"",IF(OR(A558="",B558="",C558="",D558="",E558="",F558="",G558="",H558=""),"HATA: eksik bilgi",IF(COUNTIF(OdaListesi,A558)=0,"HATA: geçersiz oda no",IF(OR(NOT(ISNUMBER(D558)),NOT(ISNUMBER(E558))),"HATA: tarih geçersiz",IF(E558&lt;=D558,"HATA: çıkış girişten sonra olmalı",IF(OR(NOT(ISNUMBER(C558)),C558&lt;1,C558&gt;MaxKisi,C558&lt;&gt;INT(C558)),"HATA: kişi sayısı geçersiz",IF(OR(NOT(ISNUMBER(G558)),G558&lt;0),"HATA: tutar geçersiz",IF(B558&lt;&gt;TRIM(B558),"HATA: isimde baştaki/sondaki boşluk",IF(COUNTIF(KaynakAralik,H558)=0,"HATA: kaynak listede yok",IF(AND(F558&lt;&gt;"Bekleniyor",F558&lt;&gt;"Geldi",F558&lt;&gt;"İptal"),"HATA: giriş durumu geçersiz",IF(AND(F558&lt;&gt;"İptal",COUNTIFS($A$6:$A$1005,A558,$D$6:$D$1005,"&lt;"&amp;E558,$E$6:$E$1005,"&gt;"&amp;D558,$F$6:$F$1005,"&lt;&gt;İptal")&gt;1),"HATA: oda bu tarihlerde çakışıyor",IF(AND(F558="Bekleniyor",D558&lt;RaporTarihi),"HATA: giriş günü geçti, Geldi veya İptal yapın","OK"))))))))))))</f>
        <v/>
      </c>
      <c r="L558" s="25">
        <f>IF(AND(ISNUMBER(A558),F558&lt;&gt;"İptal",ISNUMBER(D558),ISNUMBER(E558),D558&lt;=RaporTarihi,E558&gt;RaporTarihi),A558,"")</f>
        <v/>
      </c>
    </row>
    <row r="559">
      <c r="A559" s="22" t="n"/>
      <c r="B559" s="22" t="n"/>
      <c r="C559" s="22" t="n"/>
      <c r="D559" s="23" t="n"/>
      <c r="E559" s="23" t="n"/>
      <c r="F559" s="22" t="n"/>
      <c r="G559" s="24" t="n"/>
      <c r="H559" s="22" t="n"/>
      <c r="I559" s="25">
        <f>IF(AND(ISNUMBER(D559),ISNUMBER(E559)),E559-D559,"")</f>
        <v/>
      </c>
      <c r="J559" s="26">
        <f>IF(AND(ISNUMBER(I559),ISNUMBER(G559)),IF(I559&gt;0,G559/I559,""),"")</f>
        <v/>
      </c>
      <c r="K559" s="25">
        <f>IF(COUNTA(A559:H559)=0,"",IF(OR(A559="",B559="",C559="",D559="",E559="",F559="",G559="",H559=""),"HATA: eksik bilgi",IF(COUNTIF(OdaListesi,A559)=0,"HATA: geçersiz oda no",IF(OR(NOT(ISNUMBER(D559)),NOT(ISNUMBER(E559))),"HATA: tarih geçersiz",IF(E559&lt;=D559,"HATA: çıkış girişten sonra olmalı",IF(OR(NOT(ISNUMBER(C559)),C559&lt;1,C559&gt;MaxKisi,C559&lt;&gt;INT(C559)),"HATA: kişi sayısı geçersiz",IF(OR(NOT(ISNUMBER(G559)),G559&lt;0),"HATA: tutar geçersiz",IF(B559&lt;&gt;TRIM(B559),"HATA: isimde baştaki/sondaki boşluk",IF(COUNTIF(KaynakAralik,H559)=0,"HATA: kaynak listede yok",IF(AND(F559&lt;&gt;"Bekleniyor",F559&lt;&gt;"Geldi",F559&lt;&gt;"İptal"),"HATA: giriş durumu geçersiz",IF(AND(F559&lt;&gt;"İptal",COUNTIFS($A$6:$A$1005,A559,$D$6:$D$1005,"&lt;"&amp;E559,$E$6:$E$1005,"&gt;"&amp;D559,$F$6:$F$1005,"&lt;&gt;İptal")&gt;1),"HATA: oda bu tarihlerde çakışıyor",IF(AND(F559="Bekleniyor",D559&lt;RaporTarihi),"HATA: giriş günü geçti, Geldi veya İptal yapın","OK"))))))))))))</f>
        <v/>
      </c>
      <c r="L559" s="25">
        <f>IF(AND(ISNUMBER(A559),F559&lt;&gt;"İptal",ISNUMBER(D559),ISNUMBER(E559),D559&lt;=RaporTarihi,E559&gt;RaporTarihi),A559,"")</f>
        <v/>
      </c>
    </row>
    <row r="560">
      <c r="A560" s="22" t="n"/>
      <c r="B560" s="22" t="n"/>
      <c r="C560" s="22" t="n"/>
      <c r="D560" s="23" t="n"/>
      <c r="E560" s="23" t="n"/>
      <c r="F560" s="22" t="n"/>
      <c r="G560" s="24" t="n"/>
      <c r="H560" s="22" t="n"/>
      <c r="I560" s="25">
        <f>IF(AND(ISNUMBER(D560),ISNUMBER(E560)),E560-D560,"")</f>
        <v/>
      </c>
      <c r="J560" s="26">
        <f>IF(AND(ISNUMBER(I560),ISNUMBER(G560)),IF(I560&gt;0,G560/I560,""),"")</f>
        <v/>
      </c>
      <c r="K560" s="25">
        <f>IF(COUNTA(A560:H560)=0,"",IF(OR(A560="",B560="",C560="",D560="",E560="",F560="",G560="",H560=""),"HATA: eksik bilgi",IF(COUNTIF(OdaListesi,A560)=0,"HATA: geçersiz oda no",IF(OR(NOT(ISNUMBER(D560)),NOT(ISNUMBER(E560))),"HATA: tarih geçersiz",IF(E560&lt;=D560,"HATA: çıkış girişten sonra olmalı",IF(OR(NOT(ISNUMBER(C560)),C560&lt;1,C560&gt;MaxKisi,C560&lt;&gt;INT(C560)),"HATA: kişi sayısı geçersiz",IF(OR(NOT(ISNUMBER(G560)),G560&lt;0),"HATA: tutar geçersiz",IF(B560&lt;&gt;TRIM(B560),"HATA: isimde baştaki/sondaki boşluk",IF(COUNTIF(KaynakAralik,H560)=0,"HATA: kaynak listede yok",IF(AND(F560&lt;&gt;"Bekleniyor",F560&lt;&gt;"Geldi",F560&lt;&gt;"İptal"),"HATA: giriş durumu geçersiz",IF(AND(F560&lt;&gt;"İptal",COUNTIFS($A$6:$A$1005,A560,$D$6:$D$1005,"&lt;"&amp;E560,$E$6:$E$1005,"&gt;"&amp;D560,$F$6:$F$1005,"&lt;&gt;İptal")&gt;1),"HATA: oda bu tarihlerde çakışıyor",IF(AND(F560="Bekleniyor",D560&lt;RaporTarihi),"HATA: giriş günü geçti, Geldi veya İptal yapın","OK"))))))))))))</f>
        <v/>
      </c>
      <c r="L560" s="25">
        <f>IF(AND(ISNUMBER(A560),F560&lt;&gt;"İptal",ISNUMBER(D560),ISNUMBER(E560),D560&lt;=RaporTarihi,E560&gt;RaporTarihi),A560,"")</f>
        <v/>
      </c>
    </row>
    <row r="561">
      <c r="A561" s="22" t="n"/>
      <c r="B561" s="22" t="n"/>
      <c r="C561" s="22" t="n"/>
      <c r="D561" s="23" t="n"/>
      <c r="E561" s="23" t="n"/>
      <c r="F561" s="22" t="n"/>
      <c r="G561" s="24" t="n"/>
      <c r="H561" s="22" t="n"/>
      <c r="I561" s="25">
        <f>IF(AND(ISNUMBER(D561),ISNUMBER(E561)),E561-D561,"")</f>
        <v/>
      </c>
      <c r="J561" s="26">
        <f>IF(AND(ISNUMBER(I561),ISNUMBER(G561)),IF(I561&gt;0,G561/I561,""),"")</f>
        <v/>
      </c>
      <c r="K561" s="25">
        <f>IF(COUNTA(A561:H561)=0,"",IF(OR(A561="",B561="",C561="",D561="",E561="",F561="",G561="",H561=""),"HATA: eksik bilgi",IF(COUNTIF(OdaListesi,A561)=0,"HATA: geçersiz oda no",IF(OR(NOT(ISNUMBER(D561)),NOT(ISNUMBER(E561))),"HATA: tarih geçersiz",IF(E561&lt;=D561,"HATA: çıkış girişten sonra olmalı",IF(OR(NOT(ISNUMBER(C561)),C561&lt;1,C561&gt;MaxKisi,C561&lt;&gt;INT(C561)),"HATA: kişi sayısı geçersiz",IF(OR(NOT(ISNUMBER(G561)),G561&lt;0),"HATA: tutar geçersiz",IF(B561&lt;&gt;TRIM(B561),"HATA: isimde baştaki/sondaki boşluk",IF(COUNTIF(KaynakAralik,H561)=0,"HATA: kaynak listede yok",IF(AND(F561&lt;&gt;"Bekleniyor",F561&lt;&gt;"Geldi",F561&lt;&gt;"İptal"),"HATA: giriş durumu geçersiz",IF(AND(F561&lt;&gt;"İptal",COUNTIFS($A$6:$A$1005,A561,$D$6:$D$1005,"&lt;"&amp;E561,$E$6:$E$1005,"&gt;"&amp;D561,$F$6:$F$1005,"&lt;&gt;İptal")&gt;1),"HATA: oda bu tarihlerde çakışıyor",IF(AND(F561="Bekleniyor",D561&lt;RaporTarihi),"HATA: giriş günü geçti, Geldi veya İptal yapın","OK"))))))))))))</f>
        <v/>
      </c>
      <c r="L561" s="25">
        <f>IF(AND(ISNUMBER(A561),F561&lt;&gt;"İptal",ISNUMBER(D561),ISNUMBER(E561),D561&lt;=RaporTarihi,E561&gt;RaporTarihi),A561,"")</f>
        <v/>
      </c>
    </row>
    <row r="562">
      <c r="A562" s="22" t="n"/>
      <c r="B562" s="22" t="n"/>
      <c r="C562" s="22" t="n"/>
      <c r="D562" s="23" t="n"/>
      <c r="E562" s="23" t="n"/>
      <c r="F562" s="22" t="n"/>
      <c r="G562" s="24" t="n"/>
      <c r="H562" s="22" t="n"/>
      <c r="I562" s="25">
        <f>IF(AND(ISNUMBER(D562),ISNUMBER(E562)),E562-D562,"")</f>
        <v/>
      </c>
      <c r="J562" s="26">
        <f>IF(AND(ISNUMBER(I562),ISNUMBER(G562)),IF(I562&gt;0,G562/I562,""),"")</f>
        <v/>
      </c>
      <c r="K562" s="25">
        <f>IF(COUNTA(A562:H562)=0,"",IF(OR(A562="",B562="",C562="",D562="",E562="",F562="",G562="",H562=""),"HATA: eksik bilgi",IF(COUNTIF(OdaListesi,A562)=0,"HATA: geçersiz oda no",IF(OR(NOT(ISNUMBER(D562)),NOT(ISNUMBER(E562))),"HATA: tarih geçersiz",IF(E562&lt;=D562,"HATA: çıkış girişten sonra olmalı",IF(OR(NOT(ISNUMBER(C562)),C562&lt;1,C562&gt;MaxKisi,C562&lt;&gt;INT(C562)),"HATA: kişi sayısı geçersiz",IF(OR(NOT(ISNUMBER(G562)),G562&lt;0),"HATA: tutar geçersiz",IF(B562&lt;&gt;TRIM(B562),"HATA: isimde baştaki/sondaki boşluk",IF(COUNTIF(KaynakAralik,H562)=0,"HATA: kaynak listede yok",IF(AND(F562&lt;&gt;"Bekleniyor",F562&lt;&gt;"Geldi",F562&lt;&gt;"İptal"),"HATA: giriş durumu geçersiz",IF(AND(F562&lt;&gt;"İptal",COUNTIFS($A$6:$A$1005,A562,$D$6:$D$1005,"&lt;"&amp;E562,$E$6:$E$1005,"&gt;"&amp;D562,$F$6:$F$1005,"&lt;&gt;İptal")&gt;1),"HATA: oda bu tarihlerde çakışıyor",IF(AND(F562="Bekleniyor",D562&lt;RaporTarihi),"HATA: giriş günü geçti, Geldi veya İptal yapın","OK"))))))))))))</f>
        <v/>
      </c>
      <c r="L562" s="25">
        <f>IF(AND(ISNUMBER(A562),F562&lt;&gt;"İptal",ISNUMBER(D562),ISNUMBER(E562),D562&lt;=RaporTarihi,E562&gt;RaporTarihi),A562,"")</f>
        <v/>
      </c>
    </row>
    <row r="563">
      <c r="A563" s="22" t="n"/>
      <c r="B563" s="22" t="n"/>
      <c r="C563" s="22" t="n"/>
      <c r="D563" s="23" t="n"/>
      <c r="E563" s="23" t="n"/>
      <c r="F563" s="22" t="n"/>
      <c r="G563" s="24" t="n"/>
      <c r="H563" s="22" t="n"/>
      <c r="I563" s="25">
        <f>IF(AND(ISNUMBER(D563),ISNUMBER(E563)),E563-D563,"")</f>
        <v/>
      </c>
      <c r="J563" s="26">
        <f>IF(AND(ISNUMBER(I563),ISNUMBER(G563)),IF(I563&gt;0,G563/I563,""),"")</f>
        <v/>
      </c>
      <c r="K563" s="25">
        <f>IF(COUNTA(A563:H563)=0,"",IF(OR(A563="",B563="",C563="",D563="",E563="",F563="",G563="",H563=""),"HATA: eksik bilgi",IF(COUNTIF(OdaListesi,A563)=0,"HATA: geçersiz oda no",IF(OR(NOT(ISNUMBER(D563)),NOT(ISNUMBER(E563))),"HATA: tarih geçersiz",IF(E563&lt;=D563,"HATA: çıkış girişten sonra olmalı",IF(OR(NOT(ISNUMBER(C563)),C563&lt;1,C563&gt;MaxKisi,C563&lt;&gt;INT(C563)),"HATA: kişi sayısı geçersiz",IF(OR(NOT(ISNUMBER(G563)),G563&lt;0),"HATA: tutar geçersiz",IF(B563&lt;&gt;TRIM(B563),"HATA: isimde baştaki/sondaki boşluk",IF(COUNTIF(KaynakAralik,H563)=0,"HATA: kaynak listede yok",IF(AND(F563&lt;&gt;"Bekleniyor",F563&lt;&gt;"Geldi",F563&lt;&gt;"İptal"),"HATA: giriş durumu geçersiz",IF(AND(F563&lt;&gt;"İptal",COUNTIFS($A$6:$A$1005,A563,$D$6:$D$1005,"&lt;"&amp;E563,$E$6:$E$1005,"&gt;"&amp;D563,$F$6:$F$1005,"&lt;&gt;İptal")&gt;1),"HATA: oda bu tarihlerde çakışıyor",IF(AND(F563="Bekleniyor",D563&lt;RaporTarihi),"HATA: giriş günü geçti, Geldi veya İptal yapın","OK"))))))))))))</f>
        <v/>
      </c>
      <c r="L563" s="25">
        <f>IF(AND(ISNUMBER(A563),F563&lt;&gt;"İptal",ISNUMBER(D563),ISNUMBER(E563),D563&lt;=RaporTarihi,E563&gt;RaporTarihi),A563,"")</f>
        <v/>
      </c>
    </row>
    <row r="564">
      <c r="A564" s="22" t="n"/>
      <c r="B564" s="22" t="n"/>
      <c r="C564" s="22" t="n"/>
      <c r="D564" s="23" t="n"/>
      <c r="E564" s="23" t="n"/>
      <c r="F564" s="22" t="n"/>
      <c r="G564" s="24" t="n"/>
      <c r="H564" s="22" t="n"/>
      <c r="I564" s="25">
        <f>IF(AND(ISNUMBER(D564),ISNUMBER(E564)),E564-D564,"")</f>
        <v/>
      </c>
      <c r="J564" s="26">
        <f>IF(AND(ISNUMBER(I564),ISNUMBER(G564)),IF(I564&gt;0,G564/I564,""),"")</f>
        <v/>
      </c>
      <c r="K564" s="25">
        <f>IF(COUNTA(A564:H564)=0,"",IF(OR(A564="",B564="",C564="",D564="",E564="",F564="",G564="",H564=""),"HATA: eksik bilgi",IF(COUNTIF(OdaListesi,A564)=0,"HATA: geçersiz oda no",IF(OR(NOT(ISNUMBER(D564)),NOT(ISNUMBER(E564))),"HATA: tarih geçersiz",IF(E564&lt;=D564,"HATA: çıkış girişten sonra olmalı",IF(OR(NOT(ISNUMBER(C564)),C564&lt;1,C564&gt;MaxKisi,C564&lt;&gt;INT(C564)),"HATA: kişi sayısı geçersiz",IF(OR(NOT(ISNUMBER(G564)),G564&lt;0),"HATA: tutar geçersiz",IF(B564&lt;&gt;TRIM(B564),"HATA: isimde baştaki/sondaki boşluk",IF(COUNTIF(KaynakAralik,H564)=0,"HATA: kaynak listede yok",IF(AND(F564&lt;&gt;"Bekleniyor",F564&lt;&gt;"Geldi",F564&lt;&gt;"İptal"),"HATA: giriş durumu geçersiz",IF(AND(F564&lt;&gt;"İptal",COUNTIFS($A$6:$A$1005,A564,$D$6:$D$1005,"&lt;"&amp;E564,$E$6:$E$1005,"&gt;"&amp;D564,$F$6:$F$1005,"&lt;&gt;İptal")&gt;1),"HATA: oda bu tarihlerde çakışıyor",IF(AND(F564="Bekleniyor",D564&lt;RaporTarihi),"HATA: giriş günü geçti, Geldi veya İptal yapın","OK"))))))))))))</f>
        <v/>
      </c>
      <c r="L564" s="25">
        <f>IF(AND(ISNUMBER(A564),F564&lt;&gt;"İptal",ISNUMBER(D564),ISNUMBER(E564),D564&lt;=RaporTarihi,E564&gt;RaporTarihi),A564,"")</f>
        <v/>
      </c>
    </row>
    <row r="565">
      <c r="A565" s="22" t="n"/>
      <c r="B565" s="22" t="n"/>
      <c r="C565" s="22" t="n"/>
      <c r="D565" s="23" t="n"/>
      <c r="E565" s="23" t="n"/>
      <c r="F565" s="22" t="n"/>
      <c r="G565" s="24" t="n"/>
      <c r="H565" s="22" t="n"/>
      <c r="I565" s="25">
        <f>IF(AND(ISNUMBER(D565),ISNUMBER(E565)),E565-D565,"")</f>
        <v/>
      </c>
      <c r="J565" s="26">
        <f>IF(AND(ISNUMBER(I565),ISNUMBER(G565)),IF(I565&gt;0,G565/I565,""),"")</f>
        <v/>
      </c>
      <c r="K565" s="25">
        <f>IF(COUNTA(A565:H565)=0,"",IF(OR(A565="",B565="",C565="",D565="",E565="",F565="",G565="",H565=""),"HATA: eksik bilgi",IF(COUNTIF(OdaListesi,A565)=0,"HATA: geçersiz oda no",IF(OR(NOT(ISNUMBER(D565)),NOT(ISNUMBER(E565))),"HATA: tarih geçersiz",IF(E565&lt;=D565,"HATA: çıkış girişten sonra olmalı",IF(OR(NOT(ISNUMBER(C565)),C565&lt;1,C565&gt;MaxKisi,C565&lt;&gt;INT(C565)),"HATA: kişi sayısı geçersiz",IF(OR(NOT(ISNUMBER(G565)),G565&lt;0),"HATA: tutar geçersiz",IF(B565&lt;&gt;TRIM(B565),"HATA: isimde baştaki/sondaki boşluk",IF(COUNTIF(KaynakAralik,H565)=0,"HATA: kaynak listede yok",IF(AND(F565&lt;&gt;"Bekleniyor",F565&lt;&gt;"Geldi",F565&lt;&gt;"İptal"),"HATA: giriş durumu geçersiz",IF(AND(F565&lt;&gt;"İptal",COUNTIFS($A$6:$A$1005,A565,$D$6:$D$1005,"&lt;"&amp;E565,$E$6:$E$1005,"&gt;"&amp;D565,$F$6:$F$1005,"&lt;&gt;İptal")&gt;1),"HATA: oda bu tarihlerde çakışıyor",IF(AND(F565="Bekleniyor",D565&lt;RaporTarihi),"HATA: giriş günü geçti, Geldi veya İptal yapın","OK"))))))))))))</f>
        <v/>
      </c>
      <c r="L565" s="25">
        <f>IF(AND(ISNUMBER(A565),F565&lt;&gt;"İptal",ISNUMBER(D565),ISNUMBER(E565),D565&lt;=RaporTarihi,E565&gt;RaporTarihi),A565,"")</f>
        <v/>
      </c>
    </row>
    <row r="566">
      <c r="A566" s="22" t="n"/>
      <c r="B566" s="22" t="n"/>
      <c r="C566" s="22" t="n"/>
      <c r="D566" s="23" t="n"/>
      <c r="E566" s="23" t="n"/>
      <c r="F566" s="22" t="n"/>
      <c r="G566" s="24" t="n"/>
      <c r="H566" s="22" t="n"/>
      <c r="I566" s="25">
        <f>IF(AND(ISNUMBER(D566),ISNUMBER(E566)),E566-D566,"")</f>
        <v/>
      </c>
      <c r="J566" s="26">
        <f>IF(AND(ISNUMBER(I566),ISNUMBER(G566)),IF(I566&gt;0,G566/I566,""),"")</f>
        <v/>
      </c>
      <c r="K566" s="25">
        <f>IF(COUNTA(A566:H566)=0,"",IF(OR(A566="",B566="",C566="",D566="",E566="",F566="",G566="",H566=""),"HATA: eksik bilgi",IF(COUNTIF(OdaListesi,A566)=0,"HATA: geçersiz oda no",IF(OR(NOT(ISNUMBER(D566)),NOT(ISNUMBER(E566))),"HATA: tarih geçersiz",IF(E566&lt;=D566,"HATA: çıkış girişten sonra olmalı",IF(OR(NOT(ISNUMBER(C566)),C566&lt;1,C566&gt;MaxKisi,C566&lt;&gt;INT(C566)),"HATA: kişi sayısı geçersiz",IF(OR(NOT(ISNUMBER(G566)),G566&lt;0),"HATA: tutar geçersiz",IF(B566&lt;&gt;TRIM(B566),"HATA: isimde baştaki/sondaki boşluk",IF(COUNTIF(KaynakAralik,H566)=0,"HATA: kaynak listede yok",IF(AND(F566&lt;&gt;"Bekleniyor",F566&lt;&gt;"Geldi",F566&lt;&gt;"İptal"),"HATA: giriş durumu geçersiz",IF(AND(F566&lt;&gt;"İptal",COUNTIFS($A$6:$A$1005,A566,$D$6:$D$1005,"&lt;"&amp;E566,$E$6:$E$1005,"&gt;"&amp;D566,$F$6:$F$1005,"&lt;&gt;İptal")&gt;1),"HATA: oda bu tarihlerde çakışıyor",IF(AND(F566="Bekleniyor",D566&lt;RaporTarihi),"HATA: giriş günü geçti, Geldi veya İptal yapın","OK"))))))))))))</f>
        <v/>
      </c>
      <c r="L566" s="25">
        <f>IF(AND(ISNUMBER(A566),F566&lt;&gt;"İptal",ISNUMBER(D566),ISNUMBER(E566),D566&lt;=RaporTarihi,E566&gt;RaporTarihi),A566,"")</f>
        <v/>
      </c>
    </row>
    <row r="567">
      <c r="A567" s="22" t="n"/>
      <c r="B567" s="22" t="n"/>
      <c r="C567" s="22" t="n"/>
      <c r="D567" s="23" t="n"/>
      <c r="E567" s="23" t="n"/>
      <c r="F567" s="22" t="n"/>
      <c r="G567" s="24" t="n"/>
      <c r="H567" s="22" t="n"/>
      <c r="I567" s="25">
        <f>IF(AND(ISNUMBER(D567),ISNUMBER(E567)),E567-D567,"")</f>
        <v/>
      </c>
      <c r="J567" s="26">
        <f>IF(AND(ISNUMBER(I567),ISNUMBER(G567)),IF(I567&gt;0,G567/I567,""),"")</f>
        <v/>
      </c>
      <c r="K567" s="25">
        <f>IF(COUNTA(A567:H567)=0,"",IF(OR(A567="",B567="",C567="",D567="",E567="",F567="",G567="",H567=""),"HATA: eksik bilgi",IF(COUNTIF(OdaListesi,A567)=0,"HATA: geçersiz oda no",IF(OR(NOT(ISNUMBER(D567)),NOT(ISNUMBER(E567))),"HATA: tarih geçersiz",IF(E567&lt;=D567,"HATA: çıkış girişten sonra olmalı",IF(OR(NOT(ISNUMBER(C567)),C567&lt;1,C567&gt;MaxKisi,C567&lt;&gt;INT(C567)),"HATA: kişi sayısı geçersiz",IF(OR(NOT(ISNUMBER(G567)),G567&lt;0),"HATA: tutar geçersiz",IF(B567&lt;&gt;TRIM(B567),"HATA: isimde baştaki/sondaki boşluk",IF(COUNTIF(KaynakAralik,H567)=0,"HATA: kaynak listede yok",IF(AND(F567&lt;&gt;"Bekleniyor",F567&lt;&gt;"Geldi",F567&lt;&gt;"İptal"),"HATA: giriş durumu geçersiz",IF(AND(F567&lt;&gt;"İptal",COUNTIFS($A$6:$A$1005,A567,$D$6:$D$1005,"&lt;"&amp;E567,$E$6:$E$1005,"&gt;"&amp;D567,$F$6:$F$1005,"&lt;&gt;İptal")&gt;1),"HATA: oda bu tarihlerde çakışıyor",IF(AND(F567="Bekleniyor",D567&lt;RaporTarihi),"HATA: giriş günü geçti, Geldi veya İptal yapın","OK"))))))))))))</f>
        <v/>
      </c>
      <c r="L567" s="25">
        <f>IF(AND(ISNUMBER(A567),F567&lt;&gt;"İptal",ISNUMBER(D567),ISNUMBER(E567),D567&lt;=RaporTarihi,E567&gt;RaporTarihi),A567,"")</f>
        <v/>
      </c>
    </row>
    <row r="568">
      <c r="A568" s="22" t="n"/>
      <c r="B568" s="22" t="n"/>
      <c r="C568" s="22" t="n"/>
      <c r="D568" s="23" t="n"/>
      <c r="E568" s="23" t="n"/>
      <c r="F568" s="22" t="n"/>
      <c r="G568" s="24" t="n"/>
      <c r="H568" s="22" t="n"/>
      <c r="I568" s="25">
        <f>IF(AND(ISNUMBER(D568),ISNUMBER(E568)),E568-D568,"")</f>
        <v/>
      </c>
      <c r="J568" s="26">
        <f>IF(AND(ISNUMBER(I568),ISNUMBER(G568)),IF(I568&gt;0,G568/I568,""),"")</f>
        <v/>
      </c>
      <c r="K568" s="25">
        <f>IF(COUNTA(A568:H568)=0,"",IF(OR(A568="",B568="",C568="",D568="",E568="",F568="",G568="",H568=""),"HATA: eksik bilgi",IF(COUNTIF(OdaListesi,A568)=0,"HATA: geçersiz oda no",IF(OR(NOT(ISNUMBER(D568)),NOT(ISNUMBER(E568))),"HATA: tarih geçersiz",IF(E568&lt;=D568,"HATA: çıkış girişten sonra olmalı",IF(OR(NOT(ISNUMBER(C568)),C568&lt;1,C568&gt;MaxKisi,C568&lt;&gt;INT(C568)),"HATA: kişi sayısı geçersiz",IF(OR(NOT(ISNUMBER(G568)),G568&lt;0),"HATA: tutar geçersiz",IF(B568&lt;&gt;TRIM(B568),"HATA: isimde baştaki/sondaki boşluk",IF(COUNTIF(KaynakAralik,H568)=0,"HATA: kaynak listede yok",IF(AND(F568&lt;&gt;"Bekleniyor",F568&lt;&gt;"Geldi",F568&lt;&gt;"İptal"),"HATA: giriş durumu geçersiz",IF(AND(F568&lt;&gt;"İptal",COUNTIFS($A$6:$A$1005,A568,$D$6:$D$1005,"&lt;"&amp;E568,$E$6:$E$1005,"&gt;"&amp;D568,$F$6:$F$1005,"&lt;&gt;İptal")&gt;1),"HATA: oda bu tarihlerde çakışıyor",IF(AND(F568="Bekleniyor",D568&lt;RaporTarihi),"HATA: giriş günü geçti, Geldi veya İptal yapın","OK"))))))))))))</f>
        <v/>
      </c>
      <c r="L568" s="25">
        <f>IF(AND(ISNUMBER(A568),F568&lt;&gt;"İptal",ISNUMBER(D568),ISNUMBER(E568),D568&lt;=RaporTarihi,E568&gt;RaporTarihi),A568,"")</f>
        <v/>
      </c>
    </row>
    <row r="569">
      <c r="A569" s="22" t="n"/>
      <c r="B569" s="22" t="n"/>
      <c r="C569" s="22" t="n"/>
      <c r="D569" s="23" t="n"/>
      <c r="E569" s="23" t="n"/>
      <c r="F569" s="22" t="n"/>
      <c r="G569" s="24" t="n"/>
      <c r="H569" s="22" t="n"/>
      <c r="I569" s="25">
        <f>IF(AND(ISNUMBER(D569),ISNUMBER(E569)),E569-D569,"")</f>
        <v/>
      </c>
      <c r="J569" s="26">
        <f>IF(AND(ISNUMBER(I569),ISNUMBER(G569)),IF(I569&gt;0,G569/I569,""),"")</f>
        <v/>
      </c>
      <c r="K569" s="25">
        <f>IF(COUNTA(A569:H569)=0,"",IF(OR(A569="",B569="",C569="",D569="",E569="",F569="",G569="",H569=""),"HATA: eksik bilgi",IF(COUNTIF(OdaListesi,A569)=0,"HATA: geçersiz oda no",IF(OR(NOT(ISNUMBER(D569)),NOT(ISNUMBER(E569))),"HATA: tarih geçersiz",IF(E569&lt;=D569,"HATA: çıkış girişten sonra olmalı",IF(OR(NOT(ISNUMBER(C569)),C569&lt;1,C569&gt;MaxKisi,C569&lt;&gt;INT(C569)),"HATA: kişi sayısı geçersiz",IF(OR(NOT(ISNUMBER(G569)),G569&lt;0),"HATA: tutar geçersiz",IF(B569&lt;&gt;TRIM(B569),"HATA: isimde baştaki/sondaki boşluk",IF(COUNTIF(KaynakAralik,H569)=0,"HATA: kaynak listede yok",IF(AND(F569&lt;&gt;"Bekleniyor",F569&lt;&gt;"Geldi",F569&lt;&gt;"İptal"),"HATA: giriş durumu geçersiz",IF(AND(F569&lt;&gt;"İptal",COUNTIFS($A$6:$A$1005,A569,$D$6:$D$1005,"&lt;"&amp;E569,$E$6:$E$1005,"&gt;"&amp;D569,$F$6:$F$1005,"&lt;&gt;İptal")&gt;1),"HATA: oda bu tarihlerde çakışıyor",IF(AND(F569="Bekleniyor",D569&lt;RaporTarihi),"HATA: giriş günü geçti, Geldi veya İptal yapın","OK"))))))))))))</f>
        <v/>
      </c>
      <c r="L569" s="25">
        <f>IF(AND(ISNUMBER(A569),F569&lt;&gt;"İptal",ISNUMBER(D569),ISNUMBER(E569),D569&lt;=RaporTarihi,E569&gt;RaporTarihi),A569,"")</f>
        <v/>
      </c>
    </row>
    <row r="570">
      <c r="A570" s="22" t="n"/>
      <c r="B570" s="22" t="n"/>
      <c r="C570" s="22" t="n"/>
      <c r="D570" s="23" t="n"/>
      <c r="E570" s="23" t="n"/>
      <c r="F570" s="22" t="n"/>
      <c r="G570" s="24" t="n"/>
      <c r="H570" s="22" t="n"/>
      <c r="I570" s="25">
        <f>IF(AND(ISNUMBER(D570),ISNUMBER(E570)),E570-D570,"")</f>
        <v/>
      </c>
      <c r="J570" s="26">
        <f>IF(AND(ISNUMBER(I570),ISNUMBER(G570)),IF(I570&gt;0,G570/I570,""),"")</f>
        <v/>
      </c>
      <c r="K570" s="25">
        <f>IF(COUNTA(A570:H570)=0,"",IF(OR(A570="",B570="",C570="",D570="",E570="",F570="",G570="",H570=""),"HATA: eksik bilgi",IF(COUNTIF(OdaListesi,A570)=0,"HATA: geçersiz oda no",IF(OR(NOT(ISNUMBER(D570)),NOT(ISNUMBER(E570))),"HATA: tarih geçersiz",IF(E570&lt;=D570,"HATA: çıkış girişten sonra olmalı",IF(OR(NOT(ISNUMBER(C570)),C570&lt;1,C570&gt;MaxKisi,C570&lt;&gt;INT(C570)),"HATA: kişi sayısı geçersiz",IF(OR(NOT(ISNUMBER(G570)),G570&lt;0),"HATA: tutar geçersiz",IF(B570&lt;&gt;TRIM(B570),"HATA: isimde baştaki/sondaki boşluk",IF(COUNTIF(KaynakAralik,H570)=0,"HATA: kaynak listede yok",IF(AND(F570&lt;&gt;"Bekleniyor",F570&lt;&gt;"Geldi",F570&lt;&gt;"İptal"),"HATA: giriş durumu geçersiz",IF(AND(F570&lt;&gt;"İptal",COUNTIFS($A$6:$A$1005,A570,$D$6:$D$1005,"&lt;"&amp;E570,$E$6:$E$1005,"&gt;"&amp;D570,$F$6:$F$1005,"&lt;&gt;İptal")&gt;1),"HATA: oda bu tarihlerde çakışıyor",IF(AND(F570="Bekleniyor",D570&lt;RaporTarihi),"HATA: giriş günü geçti, Geldi veya İptal yapın","OK"))))))))))))</f>
        <v/>
      </c>
      <c r="L570" s="25">
        <f>IF(AND(ISNUMBER(A570),F570&lt;&gt;"İptal",ISNUMBER(D570),ISNUMBER(E570),D570&lt;=RaporTarihi,E570&gt;RaporTarihi),A570,"")</f>
        <v/>
      </c>
    </row>
    <row r="571">
      <c r="A571" s="22" t="n"/>
      <c r="B571" s="22" t="n"/>
      <c r="C571" s="22" t="n"/>
      <c r="D571" s="23" t="n"/>
      <c r="E571" s="23" t="n"/>
      <c r="F571" s="22" t="n"/>
      <c r="G571" s="24" t="n"/>
      <c r="H571" s="22" t="n"/>
      <c r="I571" s="25">
        <f>IF(AND(ISNUMBER(D571),ISNUMBER(E571)),E571-D571,"")</f>
        <v/>
      </c>
      <c r="J571" s="26">
        <f>IF(AND(ISNUMBER(I571),ISNUMBER(G571)),IF(I571&gt;0,G571/I571,""),"")</f>
        <v/>
      </c>
      <c r="K571" s="25">
        <f>IF(COUNTA(A571:H571)=0,"",IF(OR(A571="",B571="",C571="",D571="",E571="",F571="",G571="",H571=""),"HATA: eksik bilgi",IF(COUNTIF(OdaListesi,A571)=0,"HATA: geçersiz oda no",IF(OR(NOT(ISNUMBER(D571)),NOT(ISNUMBER(E571))),"HATA: tarih geçersiz",IF(E571&lt;=D571,"HATA: çıkış girişten sonra olmalı",IF(OR(NOT(ISNUMBER(C571)),C571&lt;1,C571&gt;MaxKisi,C571&lt;&gt;INT(C571)),"HATA: kişi sayısı geçersiz",IF(OR(NOT(ISNUMBER(G571)),G571&lt;0),"HATA: tutar geçersiz",IF(B571&lt;&gt;TRIM(B571),"HATA: isimde baştaki/sondaki boşluk",IF(COUNTIF(KaynakAralik,H571)=0,"HATA: kaynak listede yok",IF(AND(F571&lt;&gt;"Bekleniyor",F571&lt;&gt;"Geldi",F571&lt;&gt;"İptal"),"HATA: giriş durumu geçersiz",IF(AND(F571&lt;&gt;"İptal",COUNTIFS($A$6:$A$1005,A571,$D$6:$D$1005,"&lt;"&amp;E571,$E$6:$E$1005,"&gt;"&amp;D571,$F$6:$F$1005,"&lt;&gt;İptal")&gt;1),"HATA: oda bu tarihlerde çakışıyor",IF(AND(F571="Bekleniyor",D571&lt;RaporTarihi),"HATA: giriş günü geçti, Geldi veya İptal yapın","OK"))))))))))))</f>
        <v/>
      </c>
      <c r="L571" s="25">
        <f>IF(AND(ISNUMBER(A571),F571&lt;&gt;"İptal",ISNUMBER(D571),ISNUMBER(E571),D571&lt;=RaporTarihi,E571&gt;RaporTarihi),A571,"")</f>
        <v/>
      </c>
    </row>
    <row r="572">
      <c r="A572" s="22" t="n"/>
      <c r="B572" s="22" t="n"/>
      <c r="C572" s="22" t="n"/>
      <c r="D572" s="23" t="n"/>
      <c r="E572" s="23" t="n"/>
      <c r="F572" s="22" t="n"/>
      <c r="G572" s="24" t="n"/>
      <c r="H572" s="22" t="n"/>
      <c r="I572" s="25">
        <f>IF(AND(ISNUMBER(D572),ISNUMBER(E572)),E572-D572,"")</f>
        <v/>
      </c>
      <c r="J572" s="26">
        <f>IF(AND(ISNUMBER(I572),ISNUMBER(G572)),IF(I572&gt;0,G572/I572,""),"")</f>
        <v/>
      </c>
      <c r="K572" s="25">
        <f>IF(COUNTA(A572:H572)=0,"",IF(OR(A572="",B572="",C572="",D572="",E572="",F572="",G572="",H572=""),"HATA: eksik bilgi",IF(COUNTIF(OdaListesi,A572)=0,"HATA: geçersiz oda no",IF(OR(NOT(ISNUMBER(D572)),NOT(ISNUMBER(E572))),"HATA: tarih geçersiz",IF(E572&lt;=D572,"HATA: çıkış girişten sonra olmalı",IF(OR(NOT(ISNUMBER(C572)),C572&lt;1,C572&gt;MaxKisi,C572&lt;&gt;INT(C572)),"HATA: kişi sayısı geçersiz",IF(OR(NOT(ISNUMBER(G572)),G572&lt;0),"HATA: tutar geçersiz",IF(B572&lt;&gt;TRIM(B572),"HATA: isimde baştaki/sondaki boşluk",IF(COUNTIF(KaynakAralik,H572)=0,"HATA: kaynak listede yok",IF(AND(F572&lt;&gt;"Bekleniyor",F572&lt;&gt;"Geldi",F572&lt;&gt;"İptal"),"HATA: giriş durumu geçersiz",IF(AND(F572&lt;&gt;"İptal",COUNTIFS($A$6:$A$1005,A572,$D$6:$D$1005,"&lt;"&amp;E572,$E$6:$E$1005,"&gt;"&amp;D572,$F$6:$F$1005,"&lt;&gt;İptal")&gt;1),"HATA: oda bu tarihlerde çakışıyor",IF(AND(F572="Bekleniyor",D572&lt;RaporTarihi),"HATA: giriş günü geçti, Geldi veya İptal yapın","OK"))))))))))))</f>
        <v/>
      </c>
      <c r="L572" s="25">
        <f>IF(AND(ISNUMBER(A572),F572&lt;&gt;"İptal",ISNUMBER(D572),ISNUMBER(E572),D572&lt;=RaporTarihi,E572&gt;RaporTarihi),A572,"")</f>
        <v/>
      </c>
    </row>
    <row r="573">
      <c r="A573" s="22" t="n"/>
      <c r="B573" s="22" t="n"/>
      <c r="C573" s="22" t="n"/>
      <c r="D573" s="23" t="n"/>
      <c r="E573" s="23" t="n"/>
      <c r="F573" s="22" t="n"/>
      <c r="G573" s="24" t="n"/>
      <c r="H573" s="22" t="n"/>
      <c r="I573" s="25">
        <f>IF(AND(ISNUMBER(D573),ISNUMBER(E573)),E573-D573,"")</f>
        <v/>
      </c>
      <c r="J573" s="26">
        <f>IF(AND(ISNUMBER(I573),ISNUMBER(G573)),IF(I573&gt;0,G573/I573,""),"")</f>
        <v/>
      </c>
      <c r="K573" s="25">
        <f>IF(COUNTA(A573:H573)=0,"",IF(OR(A573="",B573="",C573="",D573="",E573="",F573="",G573="",H573=""),"HATA: eksik bilgi",IF(COUNTIF(OdaListesi,A573)=0,"HATA: geçersiz oda no",IF(OR(NOT(ISNUMBER(D573)),NOT(ISNUMBER(E573))),"HATA: tarih geçersiz",IF(E573&lt;=D573,"HATA: çıkış girişten sonra olmalı",IF(OR(NOT(ISNUMBER(C573)),C573&lt;1,C573&gt;MaxKisi,C573&lt;&gt;INT(C573)),"HATA: kişi sayısı geçersiz",IF(OR(NOT(ISNUMBER(G573)),G573&lt;0),"HATA: tutar geçersiz",IF(B573&lt;&gt;TRIM(B573),"HATA: isimde baştaki/sondaki boşluk",IF(COUNTIF(KaynakAralik,H573)=0,"HATA: kaynak listede yok",IF(AND(F573&lt;&gt;"Bekleniyor",F573&lt;&gt;"Geldi",F573&lt;&gt;"İptal"),"HATA: giriş durumu geçersiz",IF(AND(F573&lt;&gt;"İptal",COUNTIFS($A$6:$A$1005,A573,$D$6:$D$1005,"&lt;"&amp;E573,$E$6:$E$1005,"&gt;"&amp;D573,$F$6:$F$1005,"&lt;&gt;İptal")&gt;1),"HATA: oda bu tarihlerde çakışıyor",IF(AND(F573="Bekleniyor",D573&lt;RaporTarihi),"HATA: giriş günü geçti, Geldi veya İptal yapın","OK"))))))))))))</f>
        <v/>
      </c>
      <c r="L573" s="25">
        <f>IF(AND(ISNUMBER(A573),F573&lt;&gt;"İptal",ISNUMBER(D573),ISNUMBER(E573),D573&lt;=RaporTarihi,E573&gt;RaporTarihi),A573,"")</f>
        <v/>
      </c>
    </row>
    <row r="574">
      <c r="A574" s="22" t="n"/>
      <c r="B574" s="22" t="n"/>
      <c r="C574" s="22" t="n"/>
      <c r="D574" s="23" t="n"/>
      <c r="E574" s="23" t="n"/>
      <c r="F574" s="22" t="n"/>
      <c r="G574" s="24" t="n"/>
      <c r="H574" s="22" t="n"/>
      <c r="I574" s="25">
        <f>IF(AND(ISNUMBER(D574),ISNUMBER(E574)),E574-D574,"")</f>
        <v/>
      </c>
      <c r="J574" s="26">
        <f>IF(AND(ISNUMBER(I574),ISNUMBER(G574)),IF(I574&gt;0,G574/I574,""),"")</f>
        <v/>
      </c>
      <c r="K574" s="25">
        <f>IF(COUNTA(A574:H574)=0,"",IF(OR(A574="",B574="",C574="",D574="",E574="",F574="",G574="",H574=""),"HATA: eksik bilgi",IF(COUNTIF(OdaListesi,A574)=0,"HATA: geçersiz oda no",IF(OR(NOT(ISNUMBER(D574)),NOT(ISNUMBER(E574))),"HATA: tarih geçersiz",IF(E574&lt;=D574,"HATA: çıkış girişten sonra olmalı",IF(OR(NOT(ISNUMBER(C574)),C574&lt;1,C574&gt;MaxKisi,C574&lt;&gt;INT(C574)),"HATA: kişi sayısı geçersiz",IF(OR(NOT(ISNUMBER(G574)),G574&lt;0),"HATA: tutar geçersiz",IF(B574&lt;&gt;TRIM(B574),"HATA: isimde baştaki/sondaki boşluk",IF(COUNTIF(KaynakAralik,H574)=0,"HATA: kaynak listede yok",IF(AND(F574&lt;&gt;"Bekleniyor",F574&lt;&gt;"Geldi",F574&lt;&gt;"İptal"),"HATA: giriş durumu geçersiz",IF(AND(F574&lt;&gt;"İptal",COUNTIFS($A$6:$A$1005,A574,$D$6:$D$1005,"&lt;"&amp;E574,$E$6:$E$1005,"&gt;"&amp;D574,$F$6:$F$1005,"&lt;&gt;İptal")&gt;1),"HATA: oda bu tarihlerde çakışıyor",IF(AND(F574="Bekleniyor",D574&lt;RaporTarihi),"HATA: giriş günü geçti, Geldi veya İptal yapın","OK"))))))))))))</f>
        <v/>
      </c>
      <c r="L574" s="25">
        <f>IF(AND(ISNUMBER(A574),F574&lt;&gt;"İptal",ISNUMBER(D574),ISNUMBER(E574),D574&lt;=RaporTarihi,E574&gt;RaporTarihi),A574,"")</f>
        <v/>
      </c>
    </row>
    <row r="575">
      <c r="A575" s="22" t="n"/>
      <c r="B575" s="22" t="n"/>
      <c r="C575" s="22" t="n"/>
      <c r="D575" s="23" t="n"/>
      <c r="E575" s="23" t="n"/>
      <c r="F575" s="22" t="n"/>
      <c r="G575" s="24" t="n"/>
      <c r="H575" s="22" t="n"/>
      <c r="I575" s="25">
        <f>IF(AND(ISNUMBER(D575),ISNUMBER(E575)),E575-D575,"")</f>
        <v/>
      </c>
      <c r="J575" s="26">
        <f>IF(AND(ISNUMBER(I575),ISNUMBER(G575)),IF(I575&gt;0,G575/I575,""),"")</f>
        <v/>
      </c>
      <c r="K575" s="25">
        <f>IF(COUNTA(A575:H575)=0,"",IF(OR(A575="",B575="",C575="",D575="",E575="",F575="",G575="",H575=""),"HATA: eksik bilgi",IF(COUNTIF(OdaListesi,A575)=0,"HATA: geçersiz oda no",IF(OR(NOT(ISNUMBER(D575)),NOT(ISNUMBER(E575))),"HATA: tarih geçersiz",IF(E575&lt;=D575,"HATA: çıkış girişten sonra olmalı",IF(OR(NOT(ISNUMBER(C575)),C575&lt;1,C575&gt;MaxKisi,C575&lt;&gt;INT(C575)),"HATA: kişi sayısı geçersiz",IF(OR(NOT(ISNUMBER(G575)),G575&lt;0),"HATA: tutar geçersiz",IF(B575&lt;&gt;TRIM(B575),"HATA: isimde baştaki/sondaki boşluk",IF(COUNTIF(KaynakAralik,H575)=0,"HATA: kaynak listede yok",IF(AND(F575&lt;&gt;"Bekleniyor",F575&lt;&gt;"Geldi",F575&lt;&gt;"İptal"),"HATA: giriş durumu geçersiz",IF(AND(F575&lt;&gt;"İptal",COUNTIFS($A$6:$A$1005,A575,$D$6:$D$1005,"&lt;"&amp;E575,$E$6:$E$1005,"&gt;"&amp;D575,$F$6:$F$1005,"&lt;&gt;İptal")&gt;1),"HATA: oda bu tarihlerde çakışıyor",IF(AND(F575="Bekleniyor",D575&lt;RaporTarihi),"HATA: giriş günü geçti, Geldi veya İptal yapın","OK"))))))))))))</f>
        <v/>
      </c>
      <c r="L575" s="25">
        <f>IF(AND(ISNUMBER(A575),F575&lt;&gt;"İptal",ISNUMBER(D575),ISNUMBER(E575),D575&lt;=RaporTarihi,E575&gt;RaporTarihi),A575,"")</f>
        <v/>
      </c>
    </row>
    <row r="576">
      <c r="A576" s="22" t="n"/>
      <c r="B576" s="22" t="n"/>
      <c r="C576" s="22" t="n"/>
      <c r="D576" s="23" t="n"/>
      <c r="E576" s="23" t="n"/>
      <c r="F576" s="22" t="n"/>
      <c r="G576" s="24" t="n"/>
      <c r="H576" s="22" t="n"/>
      <c r="I576" s="25">
        <f>IF(AND(ISNUMBER(D576),ISNUMBER(E576)),E576-D576,"")</f>
        <v/>
      </c>
      <c r="J576" s="26">
        <f>IF(AND(ISNUMBER(I576),ISNUMBER(G576)),IF(I576&gt;0,G576/I576,""),"")</f>
        <v/>
      </c>
      <c r="K576" s="25">
        <f>IF(COUNTA(A576:H576)=0,"",IF(OR(A576="",B576="",C576="",D576="",E576="",F576="",G576="",H576=""),"HATA: eksik bilgi",IF(COUNTIF(OdaListesi,A576)=0,"HATA: geçersiz oda no",IF(OR(NOT(ISNUMBER(D576)),NOT(ISNUMBER(E576))),"HATA: tarih geçersiz",IF(E576&lt;=D576,"HATA: çıkış girişten sonra olmalı",IF(OR(NOT(ISNUMBER(C576)),C576&lt;1,C576&gt;MaxKisi,C576&lt;&gt;INT(C576)),"HATA: kişi sayısı geçersiz",IF(OR(NOT(ISNUMBER(G576)),G576&lt;0),"HATA: tutar geçersiz",IF(B576&lt;&gt;TRIM(B576),"HATA: isimde baştaki/sondaki boşluk",IF(COUNTIF(KaynakAralik,H576)=0,"HATA: kaynak listede yok",IF(AND(F576&lt;&gt;"Bekleniyor",F576&lt;&gt;"Geldi",F576&lt;&gt;"İptal"),"HATA: giriş durumu geçersiz",IF(AND(F576&lt;&gt;"İptal",COUNTIFS($A$6:$A$1005,A576,$D$6:$D$1005,"&lt;"&amp;E576,$E$6:$E$1005,"&gt;"&amp;D576,$F$6:$F$1005,"&lt;&gt;İptal")&gt;1),"HATA: oda bu tarihlerde çakışıyor",IF(AND(F576="Bekleniyor",D576&lt;RaporTarihi),"HATA: giriş günü geçti, Geldi veya İptal yapın","OK"))))))))))))</f>
        <v/>
      </c>
      <c r="L576" s="25">
        <f>IF(AND(ISNUMBER(A576),F576&lt;&gt;"İptal",ISNUMBER(D576),ISNUMBER(E576),D576&lt;=RaporTarihi,E576&gt;RaporTarihi),A576,"")</f>
        <v/>
      </c>
    </row>
    <row r="577">
      <c r="A577" s="22" t="n"/>
      <c r="B577" s="22" t="n"/>
      <c r="C577" s="22" t="n"/>
      <c r="D577" s="23" t="n"/>
      <c r="E577" s="23" t="n"/>
      <c r="F577" s="22" t="n"/>
      <c r="G577" s="24" t="n"/>
      <c r="H577" s="22" t="n"/>
      <c r="I577" s="25">
        <f>IF(AND(ISNUMBER(D577),ISNUMBER(E577)),E577-D577,"")</f>
        <v/>
      </c>
      <c r="J577" s="26">
        <f>IF(AND(ISNUMBER(I577),ISNUMBER(G577)),IF(I577&gt;0,G577/I577,""),"")</f>
        <v/>
      </c>
      <c r="K577" s="25">
        <f>IF(COUNTA(A577:H577)=0,"",IF(OR(A577="",B577="",C577="",D577="",E577="",F577="",G577="",H577=""),"HATA: eksik bilgi",IF(COUNTIF(OdaListesi,A577)=0,"HATA: geçersiz oda no",IF(OR(NOT(ISNUMBER(D577)),NOT(ISNUMBER(E577))),"HATA: tarih geçersiz",IF(E577&lt;=D577,"HATA: çıkış girişten sonra olmalı",IF(OR(NOT(ISNUMBER(C577)),C577&lt;1,C577&gt;MaxKisi,C577&lt;&gt;INT(C577)),"HATA: kişi sayısı geçersiz",IF(OR(NOT(ISNUMBER(G577)),G577&lt;0),"HATA: tutar geçersiz",IF(B577&lt;&gt;TRIM(B577),"HATA: isimde baştaki/sondaki boşluk",IF(COUNTIF(KaynakAralik,H577)=0,"HATA: kaynak listede yok",IF(AND(F577&lt;&gt;"Bekleniyor",F577&lt;&gt;"Geldi",F577&lt;&gt;"İptal"),"HATA: giriş durumu geçersiz",IF(AND(F577&lt;&gt;"İptal",COUNTIFS($A$6:$A$1005,A577,$D$6:$D$1005,"&lt;"&amp;E577,$E$6:$E$1005,"&gt;"&amp;D577,$F$6:$F$1005,"&lt;&gt;İptal")&gt;1),"HATA: oda bu tarihlerde çakışıyor",IF(AND(F577="Bekleniyor",D577&lt;RaporTarihi),"HATA: giriş günü geçti, Geldi veya İptal yapın","OK"))))))))))))</f>
        <v/>
      </c>
      <c r="L577" s="25">
        <f>IF(AND(ISNUMBER(A577),F577&lt;&gt;"İptal",ISNUMBER(D577),ISNUMBER(E577),D577&lt;=RaporTarihi,E577&gt;RaporTarihi),A577,"")</f>
        <v/>
      </c>
    </row>
    <row r="578">
      <c r="A578" s="22" t="n"/>
      <c r="B578" s="22" t="n"/>
      <c r="C578" s="22" t="n"/>
      <c r="D578" s="23" t="n"/>
      <c r="E578" s="23" t="n"/>
      <c r="F578" s="22" t="n"/>
      <c r="G578" s="24" t="n"/>
      <c r="H578" s="22" t="n"/>
      <c r="I578" s="25">
        <f>IF(AND(ISNUMBER(D578),ISNUMBER(E578)),E578-D578,"")</f>
        <v/>
      </c>
      <c r="J578" s="26">
        <f>IF(AND(ISNUMBER(I578),ISNUMBER(G578)),IF(I578&gt;0,G578/I578,""),"")</f>
        <v/>
      </c>
      <c r="K578" s="25">
        <f>IF(COUNTA(A578:H578)=0,"",IF(OR(A578="",B578="",C578="",D578="",E578="",F578="",G578="",H578=""),"HATA: eksik bilgi",IF(COUNTIF(OdaListesi,A578)=0,"HATA: geçersiz oda no",IF(OR(NOT(ISNUMBER(D578)),NOT(ISNUMBER(E578))),"HATA: tarih geçersiz",IF(E578&lt;=D578,"HATA: çıkış girişten sonra olmalı",IF(OR(NOT(ISNUMBER(C578)),C578&lt;1,C578&gt;MaxKisi,C578&lt;&gt;INT(C578)),"HATA: kişi sayısı geçersiz",IF(OR(NOT(ISNUMBER(G578)),G578&lt;0),"HATA: tutar geçersiz",IF(B578&lt;&gt;TRIM(B578),"HATA: isimde baştaki/sondaki boşluk",IF(COUNTIF(KaynakAralik,H578)=0,"HATA: kaynak listede yok",IF(AND(F578&lt;&gt;"Bekleniyor",F578&lt;&gt;"Geldi",F578&lt;&gt;"İptal"),"HATA: giriş durumu geçersiz",IF(AND(F578&lt;&gt;"İptal",COUNTIFS($A$6:$A$1005,A578,$D$6:$D$1005,"&lt;"&amp;E578,$E$6:$E$1005,"&gt;"&amp;D578,$F$6:$F$1005,"&lt;&gt;İptal")&gt;1),"HATA: oda bu tarihlerde çakışıyor",IF(AND(F578="Bekleniyor",D578&lt;RaporTarihi),"HATA: giriş günü geçti, Geldi veya İptal yapın","OK"))))))))))))</f>
        <v/>
      </c>
      <c r="L578" s="25">
        <f>IF(AND(ISNUMBER(A578),F578&lt;&gt;"İptal",ISNUMBER(D578),ISNUMBER(E578),D578&lt;=RaporTarihi,E578&gt;RaporTarihi),A578,"")</f>
        <v/>
      </c>
    </row>
    <row r="579">
      <c r="A579" s="22" t="n"/>
      <c r="B579" s="22" t="n"/>
      <c r="C579" s="22" t="n"/>
      <c r="D579" s="23" t="n"/>
      <c r="E579" s="23" t="n"/>
      <c r="F579" s="22" t="n"/>
      <c r="G579" s="24" t="n"/>
      <c r="H579" s="22" t="n"/>
      <c r="I579" s="25">
        <f>IF(AND(ISNUMBER(D579),ISNUMBER(E579)),E579-D579,"")</f>
        <v/>
      </c>
      <c r="J579" s="26">
        <f>IF(AND(ISNUMBER(I579),ISNUMBER(G579)),IF(I579&gt;0,G579/I579,""),"")</f>
        <v/>
      </c>
      <c r="K579" s="25">
        <f>IF(COUNTA(A579:H579)=0,"",IF(OR(A579="",B579="",C579="",D579="",E579="",F579="",G579="",H579=""),"HATA: eksik bilgi",IF(COUNTIF(OdaListesi,A579)=0,"HATA: geçersiz oda no",IF(OR(NOT(ISNUMBER(D579)),NOT(ISNUMBER(E579))),"HATA: tarih geçersiz",IF(E579&lt;=D579,"HATA: çıkış girişten sonra olmalı",IF(OR(NOT(ISNUMBER(C579)),C579&lt;1,C579&gt;MaxKisi,C579&lt;&gt;INT(C579)),"HATA: kişi sayısı geçersiz",IF(OR(NOT(ISNUMBER(G579)),G579&lt;0),"HATA: tutar geçersiz",IF(B579&lt;&gt;TRIM(B579),"HATA: isimde baştaki/sondaki boşluk",IF(COUNTIF(KaynakAralik,H579)=0,"HATA: kaynak listede yok",IF(AND(F579&lt;&gt;"Bekleniyor",F579&lt;&gt;"Geldi",F579&lt;&gt;"İptal"),"HATA: giriş durumu geçersiz",IF(AND(F579&lt;&gt;"İptal",COUNTIFS($A$6:$A$1005,A579,$D$6:$D$1005,"&lt;"&amp;E579,$E$6:$E$1005,"&gt;"&amp;D579,$F$6:$F$1005,"&lt;&gt;İptal")&gt;1),"HATA: oda bu tarihlerde çakışıyor",IF(AND(F579="Bekleniyor",D579&lt;RaporTarihi),"HATA: giriş günü geçti, Geldi veya İptal yapın","OK"))))))))))))</f>
        <v/>
      </c>
      <c r="L579" s="25">
        <f>IF(AND(ISNUMBER(A579),F579&lt;&gt;"İptal",ISNUMBER(D579),ISNUMBER(E579),D579&lt;=RaporTarihi,E579&gt;RaporTarihi),A579,"")</f>
        <v/>
      </c>
    </row>
    <row r="580">
      <c r="A580" s="22" t="n"/>
      <c r="B580" s="22" t="n"/>
      <c r="C580" s="22" t="n"/>
      <c r="D580" s="23" t="n"/>
      <c r="E580" s="23" t="n"/>
      <c r="F580" s="22" t="n"/>
      <c r="G580" s="24" t="n"/>
      <c r="H580" s="22" t="n"/>
      <c r="I580" s="25">
        <f>IF(AND(ISNUMBER(D580),ISNUMBER(E580)),E580-D580,"")</f>
        <v/>
      </c>
      <c r="J580" s="26">
        <f>IF(AND(ISNUMBER(I580),ISNUMBER(G580)),IF(I580&gt;0,G580/I580,""),"")</f>
        <v/>
      </c>
      <c r="K580" s="25">
        <f>IF(COUNTA(A580:H580)=0,"",IF(OR(A580="",B580="",C580="",D580="",E580="",F580="",G580="",H580=""),"HATA: eksik bilgi",IF(COUNTIF(OdaListesi,A580)=0,"HATA: geçersiz oda no",IF(OR(NOT(ISNUMBER(D580)),NOT(ISNUMBER(E580))),"HATA: tarih geçersiz",IF(E580&lt;=D580,"HATA: çıkış girişten sonra olmalı",IF(OR(NOT(ISNUMBER(C580)),C580&lt;1,C580&gt;MaxKisi,C580&lt;&gt;INT(C580)),"HATA: kişi sayısı geçersiz",IF(OR(NOT(ISNUMBER(G580)),G580&lt;0),"HATA: tutar geçersiz",IF(B580&lt;&gt;TRIM(B580),"HATA: isimde baştaki/sondaki boşluk",IF(COUNTIF(KaynakAralik,H580)=0,"HATA: kaynak listede yok",IF(AND(F580&lt;&gt;"Bekleniyor",F580&lt;&gt;"Geldi",F580&lt;&gt;"İptal"),"HATA: giriş durumu geçersiz",IF(AND(F580&lt;&gt;"İptal",COUNTIFS($A$6:$A$1005,A580,$D$6:$D$1005,"&lt;"&amp;E580,$E$6:$E$1005,"&gt;"&amp;D580,$F$6:$F$1005,"&lt;&gt;İptal")&gt;1),"HATA: oda bu tarihlerde çakışıyor",IF(AND(F580="Bekleniyor",D580&lt;RaporTarihi),"HATA: giriş günü geçti, Geldi veya İptal yapın","OK"))))))))))))</f>
        <v/>
      </c>
      <c r="L580" s="25">
        <f>IF(AND(ISNUMBER(A580),F580&lt;&gt;"İptal",ISNUMBER(D580),ISNUMBER(E580),D580&lt;=RaporTarihi,E580&gt;RaporTarihi),A580,"")</f>
        <v/>
      </c>
    </row>
    <row r="581">
      <c r="A581" s="22" t="n"/>
      <c r="B581" s="22" t="n"/>
      <c r="C581" s="22" t="n"/>
      <c r="D581" s="23" t="n"/>
      <c r="E581" s="23" t="n"/>
      <c r="F581" s="22" t="n"/>
      <c r="G581" s="24" t="n"/>
      <c r="H581" s="22" t="n"/>
      <c r="I581" s="25">
        <f>IF(AND(ISNUMBER(D581),ISNUMBER(E581)),E581-D581,"")</f>
        <v/>
      </c>
      <c r="J581" s="26">
        <f>IF(AND(ISNUMBER(I581),ISNUMBER(G581)),IF(I581&gt;0,G581/I581,""),"")</f>
        <v/>
      </c>
      <c r="K581" s="25">
        <f>IF(COUNTA(A581:H581)=0,"",IF(OR(A581="",B581="",C581="",D581="",E581="",F581="",G581="",H581=""),"HATA: eksik bilgi",IF(COUNTIF(OdaListesi,A581)=0,"HATA: geçersiz oda no",IF(OR(NOT(ISNUMBER(D581)),NOT(ISNUMBER(E581))),"HATA: tarih geçersiz",IF(E581&lt;=D581,"HATA: çıkış girişten sonra olmalı",IF(OR(NOT(ISNUMBER(C581)),C581&lt;1,C581&gt;MaxKisi,C581&lt;&gt;INT(C581)),"HATA: kişi sayısı geçersiz",IF(OR(NOT(ISNUMBER(G581)),G581&lt;0),"HATA: tutar geçersiz",IF(B581&lt;&gt;TRIM(B581),"HATA: isimde baştaki/sondaki boşluk",IF(COUNTIF(KaynakAralik,H581)=0,"HATA: kaynak listede yok",IF(AND(F581&lt;&gt;"Bekleniyor",F581&lt;&gt;"Geldi",F581&lt;&gt;"İptal"),"HATA: giriş durumu geçersiz",IF(AND(F581&lt;&gt;"İptal",COUNTIFS($A$6:$A$1005,A581,$D$6:$D$1005,"&lt;"&amp;E581,$E$6:$E$1005,"&gt;"&amp;D581,$F$6:$F$1005,"&lt;&gt;İptal")&gt;1),"HATA: oda bu tarihlerde çakışıyor",IF(AND(F581="Bekleniyor",D581&lt;RaporTarihi),"HATA: giriş günü geçti, Geldi veya İptal yapın","OK"))))))))))))</f>
        <v/>
      </c>
      <c r="L581" s="25">
        <f>IF(AND(ISNUMBER(A581),F581&lt;&gt;"İptal",ISNUMBER(D581),ISNUMBER(E581),D581&lt;=RaporTarihi,E581&gt;RaporTarihi),A581,"")</f>
        <v/>
      </c>
    </row>
    <row r="582">
      <c r="A582" s="22" t="n"/>
      <c r="B582" s="22" t="n"/>
      <c r="C582" s="22" t="n"/>
      <c r="D582" s="23" t="n"/>
      <c r="E582" s="23" t="n"/>
      <c r="F582" s="22" t="n"/>
      <c r="G582" s="24" t="n"/>
      <c r="H582" s="22" t="n"/>
      <c r="I582" s="25">
        <f>IF(AND(ISNUMBER(D582),ISNUMBER(E582)),E582-D582,"")</f>
        <v/>
      </c>
      <c r="J582" s="26">
        <f>IF(AND(ISNUMBER(I582),ISNUMBER(G582)),IF(I582&gt;0,G582/I582,""),"")</f>
        <v/>
      </c>
      <c r="K582" s="25">
        <f>IF(COUNTA(A582:H582)=0,"",IF(OR(A582="",B582="",C582="",D582="",E582="",F582="",G582="",H582=""),"HATA: eksik bilgi",IF(COUNTIF(OdaListesi,A582)=0,"HATA: geçersiz oda no",IF(OR(NOT(ISNUMBER(D582)),NOT(ISNUMBER(E582))),"HATA: tarih geçersiz",IF(E582&lt;=D582,"HATA: çıkış girişten sonra olmalı",IF(OR(NOT(ISNUMBER(C582)),C582&lt;1,C582&gt;MaxKisi,C582&lt;&gt;INT(C582)),"HATA: kişi sayısı geçersiz",IF(OR(NOT(ISNUMBER(G582)),G582&lt;0),"HATA: tutar geçersiz",IF(B582&lt;&gt;TRIM(B582),"HATA: isimde baştaki/sondaki boşluk",IF(COUNTIF(KaynakAralik,H582)=0,"HATA: kaynak listede yok",IF(AND(F582&lt;&gt;"Bekleniyor",F582&lt;&gt;"Geldi",F582&lt;&gt;"İptal"),"HATA: giriş durumu geçersiz",IF(AND(F582&lt;&gt;"İptal",COUNTIFS($A$6:$A$1005,A582,$D$6:$D$1005,"&lt;"&amp;E582,$E$6:$E$1005,"&gt;"&amp;D582,$F$6:$F$1005,"&lt;&gt;İptal")&gt;1),"HATA: oda bu tarihlerde çakışıyor",IF(AND(F582="Bekleniyor",D582&lt;RaporTarihi),"HATA: giriş günü geçti, Geldi veya İptal yapın","OK"))))))))))))</f>
        <v/>
      </c>
      <c r="L582" s="25">
        <f>IF(AND(ISNUMBER(A582),F582&lt;&gt;"İptal",ISNUMBER(D582),ISNUMBER(E582),D582&lt;=RaporTarihi,E582&gt;RaporTarihi),A582,"")</f>
        <v/>
      </c>
    </row>
    <row r="583">
      <c r="A583" s="22" t="n"/>
      <c r="B583" s="22" t="n"/>
      <c r="C583" s="22" t="n"/>
      <c r="D583" s="23" t="n"/>
      <c r="E583" s="23" t="n"/>
      <c r="F583" s="22" t="n"/>
      <c r="G583" s="24" t="n"/>
      <c r="H583" s="22" t="n"/>
      <c r="I583" s="25">
        <f>IF(AND(ISNUMBER(D583),ISNUMBER(E583)),E583-D583,"")</f>
        <v/>
      </c>
      <c r="J583" s="26">
        <f>IF(AND(ISNUMBER(I583),ISNUMBER(G583)),IF(I583&gt;0,G583/I583,""),"")</f>
        <v/>
      </c>
      <c r="K583" s="25">
        <f>IF(COUNTA(A583:H583)=0,"",IF(OR(A583="",B583="",C583="",D583="",E583="",F583="",G583="",H583=""),"HATA: eksik bilgi",IF(COUNTIF(OdaListesi,A583)=0,"HATA: geçersiz oda no",IF(OR(NOT(ISNUMBER(D583)),NOT(ISNUMBER(E583))),"HATA: tarih geçersiz",IF(E583&lt;=D583,"HATA: çıkış girişten sonra olmalı",IF(OR(NOT(ISNUMBER(C583)),C583&lt;1,C583&gt;MaxKisi,C583&lt;&gt;INT(C583)),"HATA: kişi sayısı geçersiz",IF(OR(NOT(ISNUMBER(G583)),G583&lt;0),"HATA: tutar geçersiz",IF(B583&lt;&gt;TRIM(B583),"HATA: isimde baştaki/sondaki boşluk",IF(COUNTIF(KaynakAralik,H583)=0,"HATA: kaynak listede yok",IF(AND(F583&lt;&gt;"Bekleniyor",F583&lt;&gt;"Geldi",F583&lt;&gt;"İptal"),"HATA: giriş durumu geçersiz",IF(AND(F583&lt;&gt;"İptal",COUNTIFS($A$6:$A$1005,A583,$D$6:$D$1005,"&lt;"&amp;E583,$E$6:$E$1005,"&gt;"&amp;D583,$F$6:$F$1005,"&lt;&gt;İptal")&gt;1),"HATA: oda bu tarihlerde çakışıyor",IF(AND(F583="Bekleniyor",D583&lt;RaporTarihi),"HATA: giriş günü geçti, Geldi veya İptal yapın","OK"))))))))))))</f>
        <v/>
      </c>
      <c r="L583" s="25">
        <f>IF(AND(ISNUMBER(A583),F583&lt;&gt;"İptal",ISNUMBER(D583),ISNUMBER(E583),D583&lt;=RaporTarihi,E583&gt;RaporTarihi),A583,"")</f>
        <v/>
      </c>
    </row>
    <row r="584">
      <c r="A584" s="22" t="n"/>
      <c r="B584" s="22" t="n"/>
      <c r="C584" s="22" t="n"/>
      <c r="D584" s="23" t="n"/>
      <c r="E584" s="23" t="n"/>
      <c r="F584" s="22" t="n"/>
      <c r="G584" s="24" t="n"/>
      <c r="H584" s="22" t="n"/>
      <c r="I584" s="25">
        <f>IF(AND(ISNUMBER(D584),ISNUMBER(E584)),E584-D584,"")</f>
        <v/>
      </c>
      <c r="J584" s="26">
        <f>IF(AND(ISNUMBER(I584),ISNUMBER(G584)),IF(I584&gt;0,G584/I584,""),"")</f>
        <v/>
      </c>
      <c r="K584" s="25">
        <f>IF(COUNTA(A584:H584)=0,"",IF(OR(A584="",B584="",C584="",D584="",E584="",F584="",G584="",H584=""),"HATA: eksik bilgi",IF(COUNTIF(OdaListesi,A584)=0,"HATA: geçersiz oda no",IF(OR(NOT(ISNUMBER(D584)),NOT(ISNUMBER(E584))),"HATA: tarih geçersiz",IF(E584&lt;=D584,"HATA: çıkış girişten sonra olmalı",IF(OR(NOT(ISNUMBER(C584)),C584&lt;1,C584&gt;MaxKisi,C584&lt;&gt;INT(C584)),"HATA: kişi sayısı geçersiz",IF(OR(NOT(ISNUMBER(G584)),G584&lt;0),"HATA: tutar geçersiz",IF(B584&lt;&gt;TRIM(B584),"HATA: isimde baştaki/sondaki boşluk",IF(COUNTIF(KaynakAralik,H584)=0,"HATA: kaynak listede yok",IF(AND(F584&lt;&gt;"Bekleniyor",F584&lt;&gt;"Geldi",F584&lt;&gt;"İptal"),"HATA: giriş durumu geçersiz",IF(AND(F584&lt;&gt;"İptal",COUNTIFS($A$6:$A$1005,A584,$D$6:$D$1005,"&lt;"&amp;E584,$E$6:$E$1005,"&gt;"&amp;D584,$F$6:$F$1005,"&lt;&gt;İptal")&gt;1),"HATA: oda bu tarihlerde çakışıyor",IF(AND(F584="Bekleniyor",D584&lt;RaporTarihi),"HATA: giriş günü geçti, Geldi veya İptal yapın","OK"))))))))))))</f>
        <v/>
      </c>
      <c r="L584" s="25">
        <f>IF(AND(ISNUMBER(A584),F584&lt;&gt;"İptal",ISNUMBER(D584),ISNUMBER(E584),D584&lt;=RaporTarihi,E584&gt;RaporTarihi),A584,"")</f>
        <v/>
      </c>
    </row>
    <row r="585">
      <c r="A585" s="22" t="n"/>
      <c r="B585" s="22" t="n"/>
      <c r="C585" s="22" t="n"/>
      <c r="D585" s="23" t="n"/>
      <c r="E585" s="23" t="n"/>
      <c r="F585" s="22" t="n"/>
      <c r="G585" s="24" t="n"/>
      <c r="H585" s="22" t="n"/>
      <c r="I585" s="25">
        <f>IF(AND(ISNUMBER(D585),ISNUMBER(E585)),E585-D585,"")</f>
        <v/>
      </c>
      <c r="J585" s="26">
        <f>IF(AND(ISNUMBER(I585),ISNUMBER(G585)),IF(I585&gt;0,G585/I585,""),"")</f>
        <v/>
      </c>
      <c r="K585" s="25">
        <f>IF(COUNTA(A585:H585)=0,"",IF(OR(A585="",B585="",C585="",D585="",E585="",F585="",G585="",H585=""),"HATA: eksik bilgi",IF(COUNTIF(OdaListesi,A585)=0,"HATA: geçersiz oda no",IF(OR(NOT(ISNUMBER(D585)),NOT(ISNUMBER(E585))),"HATA: tarih geçersiz",IF(E585&lt;=D585,"HATA: çıkış girişten sonra olmalı",IF(OR(NOT(ISNUMBER(C585)),C585&lt;1,C585&gt;MaxKisi,C585&lt;&gt;INT(C585)),"HATA: kişi sayısı geçersiz",IF(OR(NOT(ISNUMBER(G585)),G585&lt;0),"HATA: tutar geçersiz",IF(B585&lt;&gt;TRIM(B585),"HATA: isimde baştaki/sondaki boşluk",IF(COUNTIF(KaynakAralik,H585)=0,"HATA: kaynak listede yok",IF(AND(F585&lt;&gt;"Bekleniyor",F585&lt;&gt;"Geldi",F585&lt;&gt;"İptal"),"HATA: giriş durumu geçersiz",IF(AND(F585&lt;&gt;"İptal",COUNTIFS($A$6:$A$1005,A585,$D$6:$D$1005,"&lt;"&amp;E585,$E$6:$E$1005,"&gt;"&amp;D585,$F$6:$F$1005,"&lt;&gt;İptal")&gt;1),"HATA: oda bu tarihlerde çakışıyor",IF(AND(F585="Bekleniyor",D585&lt;RaporTarihi),"HATA: giriş günü geçti, Geldi veya İptal yapın","OK"))))))))))))</f>
        <v/>
      </c>
      <c r="L585" s="25">
        <f>IF(AND(ISNUMBER(A585),F585&lt;&gt;"İptal",ISNUMBER(D585),ISNUMBER(E585),D585&lt;=RaporTarihi,E585&gt;RaporTarihi),A585,"")</f>
        <v/>
      </c>
    </row>
    <row r="586">
      <c r="A586" s="22" t="n"/>
      <c r="B586" s="22" t="n"/>
      <c r="C586" s="22" t="n"/>
      <c r="D586" s="23" t="n"/>
      <c r="E586" s="23" t="n"/>
      <c r="F586" s="22" t="n"/>
      <c r="G586" s="24" t="n"/>
      <c r="H586" s="22" t="n"/>
      <c r="I586" s="25">
        <f>IF(AND(ISNUMBER(D586),ISNUMBER(E586)),E586-D586,"")</f>
        <v/>
      </c>
      <c r="J586" s="26">
        <f>IF(AND(ISNUMBER(I586),ISNUMBER(G586)),IF(I586&gt;0,G586/I586,""),"")</f>
        <v/>
      </c>
      <c r="K586" s="25">
        <f>IF(COUNTA(A586:H586)=0,"",IF(OR(A586="",B586="",C586="",D586="",E586="",F586="",G586="",H586=""),"HATA: eksik bilgi",IF(COUNTIF(OdaListesi,A586)=0,"HATA: geçersiz oda no",IF(OR(NOT(ISNUMBER(D586)),NOT(ISNUMBER(E586))),"HATA: tarih geçersiz",IF(E586&lt;=D586,"HATA: çıkış girişten sonra olmalı",IF(OR(NOT(ISNUMBER(C586)),C586&lt;1,C586&gt;MaxKisi,C586&lt;&gt;INT(C586)),"HATA: kişi sayısı geçersiz",IF(OR(NOT(ISNUMBER(G586)),G586&lt;0),"HATA: tutar geçersiz",IF(B586&lt;&gt;TRIM(B586),"HATA: isimde baştaki/sondaki boşluk",IF(COUNTIF(KaynakAralik,H586)=0,"HATA: kaynak listede yok",IF(AND(F586&lt;&gt;"Bekleniyor",F586&lt;&gt;"Geldi",F586&lt;&gt;"İptal"),"HATA: giriş durumu geçersiz",IF(AND(F586&lt;&gt;"İptal",COUNTIFS($A$6:$A$1005,A586,$D$6:$D$1005,"&lt;"&amp;E586,$E$6:$E$1005,"&gt;"&amp;D586,$F$6:$F$1005,"&lt;&gt;İptal")&gt;1),"HATA: oda bu tarihlerde çakışıyor",IF(AND(F586="Bekleniyor",D586&lt;RaporTarihi),"HATA: giriş günü geçti, Geldi veya İptal yapın","OK"))))))))))))</f>
        <v/>
      </c>
      <c r="L586" s="25">
        <f>IF(AND(ISNUMBER(A586),F586&lt;&gt;"İptal",ISNUMBER(D586),ISNUMBER(E586),D586&lt;=RaporTarihi,E586&gt;RaporTarihi),A586,"")</f>
        <v/>
      </c>
    </row>
    <row r="587">
      <c r="A587" s="22" t="n"/>
      <c r="B587" s="22" t="n"/>
      <c r="C587" s="22" t="n"/>
      <c r="D587" s="23" t="n"/>
      <c r="E587" s="23" t="n"/>
      <c r="F587" s="22" t="n"/>
      <c r="G587" s="24" t="n"/>
      <c r="H587" s="22" t="n"/>
      <c r="I587" s="25">
        <f>IF(AND(ISNUMBER(D587),ISNUMBER(E587)),E587-D587,"")</f>
        <v/>
      </c>
      <c r="J587" s="26">
        <f>IF(AND(ISNUMBER(I587),ISNUMBER(G587)),IF(I587&gt;0,G587/I587,""),"")</f>
        <v/>
      </c>
      <c r="K587" s="25">
        <f>IF(COUNTA(A587:H587)=0,"",IF(OR(A587="",B587="",C587="",D587="",E587="",F587="",G587="",H587=""),"HATA: eksik bilgi",IF(COUNTIF(OdaListesi,A587)=0,"HATA: geçersiz oda no",IF(OR(NOT(ISNUMBER(D587)),NOT(ISNUMBER(E587))),"HATA: tarih geçersiz",IF(E587&lt;=D587,"HATA: çıkış girişten sonra olmalı",IF(OR(NOT(ISNUMBER(C587)),C587&lt;1,C587&gt;MaxKisi,C587&lt;&gt;INT(C587)),"HATA: kişi sayısı geçersiz",IF(OR(NOT(ISNUMBER(G587)),G587&lt;0),"HATA: tutar geçersiz",IF(B587&lt;&gt;TRIM(B587),"HATA: isimde baştaki/sondaki boşluk",IF(COUNTIF(KaynakAralik,H587)=0,"HATA: kaynak listede yok",IF(AND(F587&lt;&gt;"Bekleniyor",F587&lt;&gt;"Geldi",F587&lt;&gt;"İptal"),"HATA: giriş durumu geçersiz",IF(AND(F587&lt;&gt;"İptal",COUNTIFS($A$6:$A$1005,A587,$D$6:$D$1005,"&lt;"&amp;E587,$E$6:$E$1005,"&gt;"&amp;D587,$F$6:$F$1005,"&lt;&gt;İptal")&gt;1),"HATA: oda bu tarihlerde çakışıyor",IF(AND(F587="Bekleniyor",D587&lt;RaporTarihi),"HATA: giriş günü geçti, Geldi veya İptal yapın","OK"))))))))))))</f>
        <v/>
      </c>
      <c r="L587" s="25">
        <f>IF(AND(ISNUMBER(A587),F587&lt;&gt;"İptal",ISNUMBER(D587),ISNUMBER(E587),D587&lt;=RaporTarihi,E587&gt;RaporTarihi),A587,"")</f>
        <v/>
      </c>
    </row>
    <row r="588">
      <c r="A588" s="22" t="n"/>
      <c r="B588" s="22" t="n"/>
      <c r="C588" s="22" t="n"/>
      <c r="D588" s="23" t="n"/>
      <c r="E588" s="23" t="n"/>
      <c r="F588" s="22" t="n"/>
      <c r="G588" s="24" t="n"/>
      <c r="H588" s="22" t="n"/>
      <c r="I588" s="25">
        <f>IF(AND(ISNUMBER(D588),ISNUMBER(E588)),E588-D588,"")</f>
        <v/>
      </c>
      <c r="J588" s="26">
        <f>IF(AND(ISNUMBER(I588),ISNUMBER(G588)),IF(I588&gt;0,G588/I588,""),"")</f>
        <v/>
      </c>
      <c r="K588" s="25">
        <f>IF(COUNTA(A588:H588)=0,"",IF(OR(A588="",B588="",C588="",D588="",E588="",F588="",G588="",H588=""),"HATA: eksik bilgi",IF(COUNTIF(OdaListesi,A588)=0,"HATA: geçersiz oda no",IF(OR(NOT(ISNUMBER(D588)),NOT(ISNUMBER(E588))),"HATA: tarih geçersiz",IF(E588&lt;=D588,"HATA: çıkış girişten sonra olmalı",IF(OR(NOT(ISNUMBER(C588)),C588&lt;1,C588&gt;MaxKisi,C588&lt;&gt;INT(C588)),"HATA: kişi sayısı geçersiz",IF(OR(NOT(ISNUMBER(G588)),G588&lt;0),"HATA: tutar geçersiz",IF(B588&lt;&gt;TRIM(B588),"HATA: isimde baştaki/sondaki boşluk",IF(COUNTIF(KaynakAralik,H588)=0,"HATA: kaynak listede yok",IF(AND(F588&lt;&gt;"Bekleniyor",F588&lt;&gt;"Geldi",F588&lt;&gt;"İptal"),"HATA: giriş durumu geçersiz",IF(AND(F588&lt;&gt;"İptal",COUNTIFS($A$6:$A$1005,A588,$D$6:$D$1005,"&lt;"&amp;E588,$E$6:$E$1005,"&gt;"&amp;D588,$F$6:$F$1005,"&lt;&gt;İptal")&gt;1),"HATA: oda bu tarihlerde çakışıyor",IF(AND(F588="Bekleniyor",D588&lt;RaporTarihi),"HATA: giriş günü geçti, Geldi veya İptal yapın","OK"))))))))))))</f>
        <v/>
      </c>
      <c r="L588" s="25">
        <f>IF(AND(ISNUMBER(A588),F588&lt;&gt;"İptal",ISNUMBER(D588),ISNUMBER(E588),D588&lt;=RaporTarihi,E588&gt;RaporTarihi),A588,"")</f>
        <v/>
      </c>
    </row>
    <row r="589">
      <c r="A589" s="22" t="n"/>
      <c r="B589" s="22" t="n"/>
      <c r="C589" s="22" t="n"/>
      <c r="D589" s="23" t="n"/>
      <c r="E589" s="23" t="n"/>
      <c r="F589" s="22" t="n"/>
      <c r="G589" s="24" t="n"/>
      <c r="H589" s="22" t="n"/>
      <c r="I589" s="25">
        <f>IF(AND(ISNUMBER(D589),ISNUMBER(E589)),E589-D589,"")</f>
        <v/>
      </c>
      <c r="J589" s="26">
        <f>IF(AND(ISNUMBER(I589),ISNUMBER(G589)),IF(I589&gt;0,G589/I589,""),"")</f>
        <v/>
      </c>
      <c r="K589" s="25">
        <f>IF(COUNTA(A589:H589)=0,"",IF(OR(A589="",B589="",C589="",D589="",E589="",F589="",G589="",H589=""),"HATA: eksik bilgi",IF(COUNTIF(OdaListesi,A589)=0,"HATA: geçersiz oda no",IF(OR(NOT(ISNUMBER(D589)),NOT(ISNUMBER(E589))),"HATA: tarih geçersiz",IF(E589&lt;=D589,"HATA: çıkış girişten sonra olmalı",IF(OR(NOT(ISNUMBER(C589)),C589&lt;1,C589&gt;MaxKisi,C589&lt;&gt;INT(C589)),"HATA: kişi sayısı geçersiz",IF(OR(NOT(ISNUMBER(G589)),G589&lt;0),"HATA: tutar geçersiz",IF(B589&lt;&gt;TRIM(B589),"HATA: isimde baştaki/sondaki boşluk",IF(COUNTIF(KaynakAralik,H589)=0,"HATA: kaynak listede yok",IF(AND(F589&lt;&gt;"Bekleniyor",F589&lt;&gt;"Geldi",F589&lt;&gt;"İptal"),"HATA: giriş durumu geçersiz",IF(AND(F589&lt;&gt;"İptal",COUNTIFS($A$6:$A$1005,A589,$D$6:$D$1005,"&lt;"&amp;E589,$E$6:$E$1005,"&gt;"&amp;D589,$F$6:$F$1005,"&lt;&gt;İptal")&gt;1),"HATA: oda bu tarihlerde çakışıyor",IF(AND(F589="Bekleniyor",D589&lt;RaporTarihi),"HATA: giriş günü geçti, Geldi veya İptal yapın","OK"))))))))))))</f>
        <v/>
      </c>
      <c r="L589" s="25">
        <f>IF(AND(ISNUMBER(A589),F589&lt;&gt;"İptal",ISNUMBER(D589),ISNUMBER(E589),D589&lt;=RaporTarihi,E589&gt;RaporTarihi),A589,"")</f>
        <v/>
      </c>
    </row>
    <row r="590">
      <c r="A590" s="22" t="n"/>
      <c r="B590" s="22" t="n"/>
      <c r="C590" s="22" t="n"/>
      <c r="D590" s="23" t="n"/>
      <c r="E590" s="23" t="n"/>
      <c r="F590" s="22" t="n"/>
      <c r="G590" s="24" t="n"/>
      <c r="H590" s="22" t="n"/>
      <c r="I590" s="25">
        <f>IF(AND(ISNUMBER(D590),ISNUMBER(E590)),E590-D590,"")</f>
        <v/>
      </c>
      <c r="J590" s="26">
        <f>IF(AND(ISNUMBER(I590),ISNUMBER(G590)),IF(I590&gt;0,G590/I590,""),"")</f>
        <v/>
      </c>
      <c r="K590" s="25">
        <f>IF(COUNTA(A590:H590)=0,"",IF(OR(A590="",B590="",C590="",D590="",E590="",F590="",G590="",H590=""),"HATA: eksik bilgi",IF(COUNTIF(OdaListesi,A590)=0,"HATA: geçersiz oda no",IF(OR(NOT(ISNUMBER(D590)),NOT(ISNUMBER(E590))),"HATA: tarih geçersiz",IF(E590&lt;=D590,"HATA: çıkış girişten sonra olmalı",IF(OR(NOT(ISNUMBER(C590)),C590&lt;1,C590&gt;MaxKisi,C590&lt;&gt;INT(C590)),"HATA: kişi sayısı geçersiz",IF(OR(NOT(ISNUMBER(G590)),G590&lt;0),"HATA: tutar geçersiz",IF(B590&lt;&gt;TRIM(B590),"HATA: isimde baştaki/sondaki boşluk",IF(COUNTIF(KaynakAralik,H590)=0,"HATA: kaynak listede yok",IF(AND(F590&lt;&gt;"Bekleniyor",F590&lt;&gt;"Geldi",F590&lt;&gt;"İptal"),"HATA: giriş durumu geçersiz",IF(AND(F590&lt;&gt;"İptal",COUNTIFS($A$6:$A$1005,A590,$D$6:$D$1005,"&lt;"&amp;E590,$E$6:$E$1005,"&gt;"&amp;D590,$F$6:$F$1005,"&lt;&gt;İptal")&gt;1),"HATA: oda bu tarihlerde çakışıyor",IF(AND(F590="Bekleniyor",D590&lt;RaporTarihi),"HATA: giriş günü geçti, Geldi veya İptal yapın","OK"))))))))))))</f>
        <v/>
      </c>
      <c r="L590" s="25">
        <f>IF(AND(ISNUMBER(A590),F590&lt;&gt;"İptal",ISNUMBER(D590),ISNUMBER(E590),D590&lt;=RaporTarihi,E590&gt;RaporTarihi),A590,"")</f>
        <v/>
      </c>
    </row>
    <row r="591">
      <c r="A591" s="22" t="n"/>
      <c r="B591" s="22" t="n"/>
      <c r="C591" s="22" t="n"/>
      <c r="D591" s="23" t="n"/>
      <c r="E591" s="23" t="n"/>
      <c r="F591" s="22" t="n"/>
      <c r="G591" s="24" t="n"/>
      <c r="H591" s="22" t="n"/>
      <c r="I591" s="25">
        <f>IF(AND(ISNUMBER(D591),ISNUMBER(E591)),E591-D591,"")</f>
        <v/>
      </c>
      <c r="J591" s="26">
        <f>IF(AND(ISNUMBER(I591),ISNUMBER(G591)),IF(I591&gt;0,G591/I591,""),"")</f>
        <v/>
      </c>
      <c r="K591" s="25">
        <f>IF(COUNTA(A591:H591)=0,"",IF(OR(A591="",B591="",C591="",D591="",E591="",F591="",G591="",H591=""),"HATA: eksik bilgi",IF(COUNTIF(OdaListesi,A591)=0,"HATA: geçersiz oda no",IF(OR(NOT(ISNUMBER(D591)),NOT(ISNUMBER(E591))),"HATA: tarih geçersiz",IF(E591&lt;=D591,"HATA: çıkış girişten sonra olmalı",IF(OR(NOT(ISNUMBER(C591)),C591&lt;1,C591&gt;MaxKisi,C591&lt;&gt;INT(C591)),"HATA: kişi sayısı geçersiz",IF(OR(NOT(ISNUMBER(G591)),G591&lt;0),"HATA: tutar geçersiz",IF(B591&lt;&gt;TRIM(B591),"HATA: isimde baştaki/sondaki boşluk",IF(COUNTIF(KaynakAralik,H591)=0,"HATA: kaynak listede yok",IF(AND(F591&lt;&gt;"Bekleniyor",F591&lt;&gt;"Geldi",F591&lt;&gt;"İptal"),"HATA: giriş durumu geçersiz",IF(AND(F591&lt;&gt;"İptal",COUNTIFS($A$6:$A$1005,A591,$D$6:$D$1005,"&lt;"&amp;E591,$E$6:$E$1005,"&gt;"&amp;D591,$F$6:$F$1005,"&lt;&gt;İptal")&gt;1),"HATA: oda bu tarihlerde çakışıyor",IF(AND(F591="Bekleniyor",D591&lt;RaporTarihi),"HATA: giriş günü geçti, Geldi veya İptal yapın","OK"))))))))))))</f>
        <v/>
      </c>
      <c r="L591" s="25">
        <f>IF(AND(ISNUMBER(A591),F591&lt;&gt;"İptal",ISNUMBER(D591),ISNUMBER(E591),D591&lt;=RaporTarihi,E591&gt;RaporTarihi),A591,"")</f>
        <v/>
      </c>
    </row>
    <row r="592">
      <c r="A592" s="22" t="n"/>
      <c r="B592" s="22" t="n"/>
      <c r="C592" s="22" t="n"/>
      <c r="D592" s="23" t="n"/>
      <c r="E592" s="23" t="n"/>
      <c r="F592" s="22" t="n"/>
      <c r="G592" s="24" t="n"/>
      <c r="H592" s="22" t="n"/>
      <c r="I592" s="25">
        <f>IF(AND(ISNUMBER(D592),ISNUMBER(E592)),E592-D592,"")</f>
        <v/>
      </c>
      <c r="J592" s="26">
        <f>IF(AND(ISNUMBER(I592),ISNUMBER(G592)),IF(I592&gt;0,G592/I592,""),"")</f>
        <v/>
      </c>
      <c r="K592" s="25">
        <f>IF(COUNTA(A592:H592)=0,"",IF(OR(A592="",B592="",C592="",D592="",E592="",F592="",G592="",H592=""),"HATA: eksik bilgi",IF(COUNTIF(OdaListesi,A592)=0,"HATA: geçersiz oda no",IF(OR(NOT(ISNUMBER(D592)),NOT(ISNUMBER(E592))),"HATA: tarih geçersiz",IF(E592&lt;=D592,"HATA: çıkış girişten sonra olmalı",IF(OR(NOT(ISNUMBER(C592)),C592&lt;1,C592&gt;MaxKisi,C592&lt;&gt;INT(C592)),"HATA: kişi sayısı geçersiz",IF(OR(NOT(ISNUMBER(G592)),G592&lt;0),"HATA: tutar geçersiz",IF(B592&lt;&gt;TRIM(B592),"HATA: isimde baştaki/sondaki boşluk",IF(COUNTIF(KaynakAralik,H592)=0,"HATA: kaynak listede yok",IF(AND(F592&lt;&gt;"Bekleniyor",F592&lt;&gt;"Geldi",F592&lt;&gt;"İptal"),"HATA: giriş durumu geçersiz",IF(AND(F592&lt;&gt;"İptal",COUNTIFS($A$6:$A$1005,A592,$D$6:$D$1005,"&lt;"&amp;E592,$E$6:$E$1005,"&gt;"&amp;D592,$F$6:$F$1005,"&lt;&gt;İptal")&gt;1),"HATA: oda bu tarihlerde çakışıyor",IF(AND(F592="Bekleniyor",D592&lt;RaporTarihi),"HATA: giriş günü geçti, Geldi veya İptal yapın","OK"))))))))))))</f>
        <v/>
      </c>
      <c r="L592" s="25">
        <f>IF(AND(ISNUMBER(A592),F592&lt;&gt;"İptal",ISNUMBER(D592),ISNUMBER(E592),D592&lt;=RaporTarihi,E592&gt;RaporTarihi),A592,"")</f>
        <v/>
      </c>
    </row>
    <row r="593">
      <c r="A593" s="22" t="n"/>
      <c r="B593" s="22" t="n"/>
      <c r="C593" s="22" t="n"/>
      <c r="D593" s="23" t="n"/>
      <c r="E593" s="23" t="n"/>
      <c r="F593" s="22" t="n"/>
      <c r="G593" s="24" t="n"/>
      <c r="H593" s="22" t="n"/>
      <c r="I593" s="25">
        <f>IF(AND(ISNUMBER(D593),ISNUMBER(E593)),E593-D593,"")</f>
        <v/>
      </c>
      <c r="J593" s="26">
        <f>IF(AND(ISNUMBER(I593),ISNUMBER(G593)),IF(I593&gt;0,G593/I593,""),"")</f>
        <v/>
      </c>
      <c r="K593" s="25">
        <f>IF(COUNTA(A593:H593)=0,"",IF(OR(A593="",B593="",C593="",D593="",E593="",F593="",G593="",H593=""),"HATA: eksik bilgi",IF(COUNTIF(OdaListesi,A593)=0,"HATA: geçersiz oda no",IF(OR(NOT(ISNUMBER(D593)),NOT(ISNUMBER(E593))),"HATA: tarih geçersiz",IF(E593&lt;=D593,"HATA: çıkış girişten sonra olmalı",IF(OR(NOT(ISNUMBER(C593)),C593&lt;1,C593&gt;MaxKisi,C593&lt;&gt;INT(C593)),"HATA: kişi sayısı geçersiz",IF(OR(NOT(ISNUMBER(G593)),G593&lt;0),"HATA: tutar geçersiz",IF(B593&lt;&gt;TRIM(B593),"HATA: isimde baştaki/sondaki boşluk",IF(COUNTIF(KaynakAralik,H593)=0,"HATA: kaynak listede yok",IF(AND(F593&lt;&gt;"Bekleniyor",F593&lt;&gt;"Geldi",F593&lt;&gt;"İptal"),"HATA: giriş durumu geçersiz",IF(AND(F593&lt;&gt;"İptal",COUNTIFS($A$6:$A$1005,A593,$D$6:$D$1005,"&lt;"&amp;E593,$E$6:$E$1005,"&gt;"&amp;D593,$F$6:$F$1005,"&lt;&gt;İptal")&gt;1),"HATA: oda bu tarihlerde çakışıyor",IF(AND(F593="Bekleniyor",D593&lt;RaporTarihi),"HATA: giriş günü geçti, Geldi veya İptal yapın","OK"))))))))))))</f>
        <v/>
      </c>
      <c r="L593" s="25">
        <f>IF(AND(ISNUMBER(A593),F593&lt;&gt;"İptal",ISNUMBER(D593),ISNUMBER(E593),D593&lt;=RaporTarihi,E593&gt;RaporTarihi),A593,"")</f>
        <v/>
      </c>
    </row>
    <row r="594">
      <c r="A594" s="22" t="n"/>
      <c r="B594" s="22" t="n"/>
      <c r="C594" s="22" t="n"/>
      <c r="D594" s="23" t="n"/>
      <c r="E594" s="23" t="n"/>
      <c r="F594" s="22" t="n"/>
      <c r="G594" s="24" t="n"/>
      <c r="H594" s="22" t="n"/>
      <c r="I594" s="25">
        <f>IF(AND(ISNUMBER(D594),ISNUMBER(E594)),E594-D594,"")</f>
        <v/>
      </c>
      <c r="J594" s="26">
        <f>IF(AND(ISNUMBER(I594),ISNUMBER(G594)),IF(I594&gt;0,G594/I594,""),"")</f>
        <v/>
      </c>
      <c r="K594" s="25">
        <f>IF(COUNTA(A594:H594)=0,"",IF(OR(A594="",B594="",C594="",D594="",E594="",F594="",G594="",H594=""),"HATA: eksik bilgi",IF(COUNTIF(OdaListesi,A594)=0,"HATA: geçersiz oda no",IF(OR(NOT(ISNUMBER(D594)),NOT(ISNUMBER(E594))),"HATA: tarih geçersiz",IF(E594&lt;=D594,"HATA: çıkış girişten sonra olmalı",IF(OR(NOT(ISNUMBER(C594)),C594&lt;1,C594&gt;MaxKisi,C594&lt;&gt;INT(C594)),"HATA: kişi sayısı geçersiz",IF(OR(NOT(ISNUMBER(G594)),G594&lt;0),"HATA: tutar geçersiz",IF(B594&lt;&gt;TRIM(B594),"HATA: isimde baştaki/sondaki boşluk",IF(COUNTIF(KaynakAralik,H594)=0,"HATA: kaynak listede yok",IF(AND(F594&lt;&gt;"Bekleniyor",F594&lt;&gt;"Geldi",F594&lt;&gt;"İptal"),"HATA: giriş durumu geçersiz",IF(AND(F594&lt;&gt;"İptal",COUNTIFS($A$6:$A$1005,A594,$D$6:$D$1005,"&lt;"&amp;E594,$E$6:$E$1005,"&gt;"&amp;D594,$F$6:$F$1005,"&lt;&gt;İptal")&gt;1),"HATA: oda bu tarihlerde çakışıyor",IF(AND(F594="Bekleniyor",D594&lt;RaporTarihi),"HATA: giriş günü geçti, Geldi veya İptal yapın","OK"))))))))))))</f>
        <v/>
      </c>
      <c r="L594" s="25">
        <f>IF(AND(ISNUMBER(A594),F594&lt;&gt;"İptal",ISNUMBER(D594),ISNUMBER(E594),D594&lt;=RaporTarihi,E594&gt;RaporTarihi),A594,"")</f>
        <v/>
      </c>
    </row>
    <row r="595">
      <c r="A595" s="22" t="n"/>
      <c r="B595" s="22" t="n"/>
      <c r="C595" s="22" t="n"/>
      <c r="D595" s="23" t="n"/>
      <c r="E595" s="23" t="n"/>
      <c r="F595" s="22" t="n"/>
      <c r="G595" s="24" t="n"/>
      <c r="H595" s="22" t="n"/>
      <c r="I595" s="25">
        <f>IF(AND(ISNUMBER(D595),ISNUMBER(E595)),E595-D595,"")</f>
        <v/>
      </c>
      <c r="J595" s="26">
        <f>IF(AND(ISNUMBER(I595),ISNUMBER(G595)),IF(I595&gt;0,G595/I595,""),"")</f>
        <v/>
      </c>
      <c r="K595" s="25">
        <f>IF(COUNTA(A595:H595)=0,"",IF(OR(A595="",B595="",C595="",D595="",E595="",F595="",G595="",H595=""),"HATA: eksik bilgi",IF(COUNTIF(OdaListesi,A595)=0,"HATA: geçersiz oda no",IF(OR(NOT(ISNUMBER(D595)),NOT(ISNUMBER(E595))),"HATA: tarih geçersiz",IF(E595&lt;=D595,"HATA: çıkış girişten sonra olmalı",IF(OR(NOT(ISNUMBER(C595)),C595&lt;1,C595&gt;MaxKisi,C595&lt;&gt;INT(C595)),"HATA: kişi sayısı geçersiz",IF(OR(NOT(ISNUMBER(G595)),G595&lt;0),"HATA: tutar geçersiz",IF(B595&lt;&gt;TRIM(B595),"HATA: isimde baştaki/sondaki boşluk",IF(COUNTIF(KaynakAralik,H595)=0,"HATA: kaynak listede yok",IF(AND(F595&lt;&gt;"Bekleniyor",F595&lt;&gt;"Geldi",F595&lt;&gt;"İptal"),"HATA: giriş durumu geçersiz",IF(AND(F595&lt;&gt;"İptal",COUNTIFS($A$6:$A$1005,A595,$D$6:$D$1005,"&lt;"&amp;E595,$E$6:$E$1005,"&gt;"&amp;D595,$F$6:$F$1005,"&lt;&gt;İptal")&gt;1),"HATA: oda bu tarihlerde çakışıyor",IF(AND(F595="Bekleniyor",D595&lt;RaporTarihi),"HATA: giriş günü geçti, Geldi veya İptal yapın","OK"))))))))))))</f>
        <v/>
      </c>
      <c r="L595" s="25">
        <f>IF(AND(ISNUMBER(A595),F595&lt;&gt;"İptal",ISNUMBER(D595),ISNUMBER(E595),D595&lt;=RaporTarihi,E595&gt;RaporTarihi),A595,"")</f>
        <v/>
      </c>
    </row>
    <row r="596">
      <c r="A596" s="22" t="n"/>
      <c r="B596" s="22" t="n"/>
      <c r="C596" s="22" t="n"/>
      <c r="D596" s="23" t="n"/>
      <c r="E596" s="23" t="n"/>
      <c r="F596" s="22" t="n"/>
      <c r="G596" s="24" t="n"/>
      <c r="H596" s="22" t="n"/>
      <c r="I596" s="25">
        <f>IF(AND(ISNUMBER(D596),ISNUMBER(E596)),E596-D596,"")</f>
        <v/>
      </c>
      <c r="J596" s="26">
        <f>IF(AND(ISNUMBER(I596),ISNUMBER(G596)),IF(I596&gt;0,G596/I596,""),"")</f>
        <v/>
      </c>
      <c r="K596" s="25">
        <f>IF(COUNTA(A596:H596)=0,"",IF(OR(A596="",B596="",C596="",D596="",E596="",F596="",G596="",H596=""),"HATA: eksik bilgi",IF(COUNTIF(OdaListesi,A596)=0,"HATA: geçersiz oda no",IF(OR(NOT(ISNUMBER(D596)),NOT(ISNUMBER(E596))),"HATA: tarih geçersiz",IF(E596&lt;=D596,"HATA: çıkış girişten sonra olmalı",IF(OR(NOT(ISNUMBER(C596)),C596&lt;1,C596&gt;MaxKisi,C596&lt;&gt;INT(C596)),"HATA: kişi sayısı geçersiz",IF(OR(NOT(ISNUMBER(G596)),G596&lt;0),"HATA: tutar geçersiz",IF(B596&lt;&gt;TRIM(B596),"HATA: isimde baştaki/sondaki boşluk",IF(COUNTIF(KaynakAralik,H596)=0,"HATA: kaynak listede yok",IF(AND(F596&lt;&gt;"Bekleniyor",F596&lt;&gt;"Geldi",F596&lt;&gt;"İptal"),"HATA: giriş durumu geçersiz",IF(AND(F596&lt;&gt;"İptal",COUNTIFS($A$6:$A$1005,A596,$D$6:$D$1005,"&lt;"&amp;E596,$E$6:$E$1005,"&gt;"&amp;D596,$F$6:$F$1005,"&lt;&gt;İptal")&gt;1),"HATA: oda bu tarihlerde çakışıyor",IF(AND(F596="Bekleniyor",D596&lt;RaporTarihi),"HATA: giriş günü geçti, Geldi veya İptal yapın","OK"))))))))))))</f>
        <v/>
      </c>
      <c r="L596" s="25">
        <f>IF(AND(ISNUMBER(A596),F596&lt;&gt;"İptal",ISNUMBER(D596),ISNUMBER(E596),D596&lt;=RaporTarihi,E596&gt;RaporTarihi),A596,"")</f>
        <v/>
      </c>
    </row>
    <row r="597">
      <c r="A597" s="22" t="n"/>
      <c r="B597" s="22" t="n"/>
      <c r="C597" s="22" t="n"/>
      <c r="D597" s="23" t="n"/>
      <c r="E597" s="23" t="n"/>
      <c r="F597" s="22" t="n"/>
      <c r="G597" s="24" t="n"/>
      <c r="H597" s="22" t="n"/>
      <c r="I597" s="25">
        <f>IF(AND(ISNUMBER(D597),ISNUMBER(E597)),E597-D597,"")</f>
        <v/>
      </c>
      <c r="J597" s="26">
        <f>IF(AND(ISNUMBER(I597),ISNUMBER(G597)),IF(I597&gt;0,G597/I597,""),"")</f>
        <v/>
      </c>
      <c r="K597" s="25">
        <f>IF(COUNTA(A597:H597)=0,"",IF(OR(A597="",B597="",C597="",D597="",E597="",F597="",G597="",H597=""),"HATA: eksik bilgi",IF(COUNTIF(OdaListesi,A597)=0,"HATA: geçersiz oda no",IF(OR(NOT(ISNUMBER(D597)),NOT(ISNUMBER(E597))),"HATA: tarih geçersiz",IF(E597&lt;=D597,"HATA: çıkış girişten sonra olmalı",IF(OR(NOT(ISNUMBER(C597)),C597&lt;1,C597&gt;MaxKisi,C597&lt;&gt;INT(C597)),"HATA: kişi sayısı geçersiz",IF(OR(NOT(ISNUMBER(G597)),G597&lt;0),"HATA: tutar geçersiz",IF(B597&lt;&gt;TRIM(B597),"HATA: isimde baştaki/sondaki boşluk",IF(COUNTIF(KaynakAralik,H597)=0,"HATA: kaynak listede yok",IF(AND(F597&lt;&gt;"Bekleniyor",F597&lt;&gt;"Geldi",F597&lt;&gt;"İptal"),"HATA: giriş durumu geçersiz",IF(AND(F597&lt;&gt;"İptal",COUNTIFS($A$6:$A$1005,A597,$D$6:$D$1005,"&lt;"&amp;E597,$E$6:$E$1005,"&gt;"&amp;D597,$F$6:$F$1005,"&lt;&gt;İptal")&gt;1),"HATA: oda bu tarihlerde çakışıyor",IF(AND(F597="Bekleniyor",D597&lt;RaporTarihi),"HATA: giriş günü geçti, Geldi veya İptal yapın","OK"))))))))))))</f>
        <v/>
      </c>
      <c r="L597" s="25">
        <f>IF(AND(ISNUMBER(A597),F597&lt;&gt;"İptal",ISNUMBER(D597),ISNUMBER(E597),D597&lt;=RaporTarihi,E597&gt;RaporTarihi),A597,"")</f>
        <v/>
      </c>
    </row>
    <row r="598">
      <c r="A598" s="22" t="n"/>
      <c r="B598" s="22" t="n"/>
      <c r="C598" s="22" t="n"/>
      <c r="D598" s="23" t="n"/>
      <c r="E598" s="23" t="n"/>
      <c r="F598" s="22" t="n"/>
      <c r="G598" s="24" t="n"/>
      <c r="H598" s="22" t="n"/>
      <c r="I598" s="25">
        <f>IF(AND(ISNUMBER(D598),ISNUMBER(E598)),E598-D598,"")</f>
        <v/>
      </c>
      <c r="J598" s="26">
        <f>IF(AND(ISNUMBER(I598),ISNUMBER(G598)),IF(I598&gt;0,G598/I598,""),"")</f>
        <v/>
      </c>
      <c r="K598" s="25">
        <f>IF(COUNTA(A598:H598)=0,"",IF(OR(A598="",B598="",C598="",D598="",E598="",F598="",G598="",H598=""),"HATA: eksik bilgi",IF(COUNTIF(OdaListesi,A598)=0,"HATA: geçersiz oda no",IF(OR(NOT(ISNUMBER(D598)),NOT(ISNUMBER(E598))),"HATA: tarih geçersiz",IF(E598&lt;=D598,"HATA: çıkış girişten sonra olmalı",IF(OR(NOT(ISNUMBER(C598)),C598&lt;1,C598&gt;MaxKisi,C598&lt;&gt;INT(C598)),"HATA: kişi sayısı geçersiz",IF(OR(NOT(ISNUMBER(G598)),G598&lt;0),"HATA: tutar geçersiz",IF(B598&lt;&gt;TRIM(B598),"HATA: isimde baştaki/sondaki boşluk",IF(COUNTIF(KaynakAralik,H598)=0,"HATA: kaynak listede yok",IF(AND(F598&lt;&gt;"Bekleniyor",F598&lt;&gt;"Geldi",F598&lt;&gt;"İptal"),"HATA: giriş durumu geçersiz",IF(AND(F598&lt;&gt;"İptal",COUNTIFS($A$6:$A$1005,A598,$D$6:$D$1005,"&lt;"&amp;E598,$E$6:$E$1005,"&gt;"&amp;D598,$F$6:$F$1005,"&lt;&gt;İptal")&gt;1),"HATA: oda bu tarihlerde çakışıyor",IF(AND(F598="Bekleniyor",D598&lt;RaporTarihi),"HATA: giriş günü geçti, Geldi veya İptal yapın","OK"))))))))))))</f>
        <v/>
      </c>
      <c r="L598" s="25">
        <f>IF(AND(ISNUMBER(A598),F598&lt;&gt;"İptal",ISNUMBER(D598),ISNUMBER(E598),D598&lt;=RaporTarihi,E598&gt;RaporTarihi),A598,"")</f>
        <v/>
      </c>
    </row>
    <row r="599">
      <c r="A599" s="22" t="n"/>
      <c r="B599" s="22" t="n"/>
      <c r="C599" s="22" t="n"/>
      <c r="D599" s="23" t="n"/>
      <c r="E599" s="23" t="n"/>
      <c r="F599" s="22" t="n"/>
      <c r="G599" s="24" t="n"/>
      <c r="H599" s="22" t="n"/>
      <c r="I599" s="25">
        <f>IF(AND(ISNUMBER(D599),ISNUMBER(E599)),E599-D599,"")</f>
        <v/>
      </c>
      <c r="J599" s="26">
        <f>IF(AND(ISNUMBER(I599),ISNUMBER(G599)),IF(I599&gt;0,G599/I599,""),"")</f>
        <v/>
      </c>
      <c r="K599" s="25">
        <f>IF(COUNTA(A599:H599)=0,"",IF(OR(A599="",B599="",C599="",D599="",E599="",F599="",G599="",H599=""),"HATA: eksik bilgi",IF(COUNTIF(OdaListesi,A599)=0,"HATA: geçersiz oda no",IF(OR(NOT(ISNUMBER(D599)),NOT(ISNUMBER(E599))),"HATA: tarih geçersiz",IF(E599&lt;=D599,"HATA: çıkış girişten sonra olmalı",IF(OR(NOT(ISNUMBER(C599)),C599&lt;1,C599&gt;MaxKisi,C599&lt;&gt;INT(C599)),"HATA: kişi sayısı geçersiz",IF(OR(NOT(ISNUMBER(G599)),G599&lt;0),"HATA: tutar geçersiz",IF(B599&lt;&gt;TRIM(B599),"HATA: isimde baştaki/sondaki boşluk",IF(COUNTIF(KaynakAralik,H599)=0,"HATA: kaynak listede yok",IF(AND(F599&lt;&gt;"Bekleniyor",F599&lt;&gt;"Geldi",F599&lt;&gt;"İptal"),"HATA: giriş durumu geçersiz",IF(AND(F599&lt;&gt;"İptal",COUNTIFS($A$6:$A$1005,A599,$D$6:$D$1005,"&lt;"&amp;E599,$E$6:$E$1005,"&gt;"&amp;D599,$F$6:$F$1005,"&lt;&gt;İptal")&gt;1),"HATA: oda bu tarihlerde çakışıyor",IF(AND(F599="Bekleniyor",D599&lt;RaporTarihi),"HATA: giriş günü geçti, Geldi veya İptal yapın","OK"))))))))))))</f>
        <v/>
      </c>
      <c r="L599" s="25">
        <f>IF(AND(ISNUMBER(A599),F599&lt;&gt;"İptal",ISNUMBER(D599),ISNUMBER(E599),D599&lt;=RaporTarihi,E599&gt;RaporTarihi),A599,"")</f>
        <v/>
      </c>
    </row>
    <row r="600">
      <c r="A600" s="22" t="n"/>
      <c r="B600" s="22" t="n"/>
      <c r="C600" s="22" t="n"/>
      <c r="D600" s="23" t="n"/>
      <c r="E600" s="23" t="n"/>
      <c r="F600" s="22" t="n"/>
      <c r="G600" s="24" t="n"/>
      <c r="H600" s="22" t="n"/>
      <c r="I600" s="25">
        <f>IF(AND(ISNUMBER(D600),ISNUMBER(E600)),E600-D600,"")</f>
        <v/>
      </c>
      <c r="J600" s="26">
        <f>IF(AND(ISNUMBER(I600),ISNUMBER(G600)),IF(I600&gt;0,G600/I600,""),"")</f>
        <v/>
      </c>
      <c r="K600" s="25">
        <f>IF(COUNTA(A600:H600)=0,"",IF(OR(A600="",B600="",C600="",D600="",E600="",F600="",G600="",H600=""),"HATA: eksik bilgi",IF(COUNTIF(OdaListesi,A600)=0,"HATA: geçersiz oda no",IF(OR(NOT(ISNUMBER(D600)),NOT(ISNUMBER(E600))),"HATA: tarih geçersiz",IF(E600&lt;=D600,"HATA: çıkış girişten sonra olmalı",IF(OR(NOT(ISNUMBER(C600)),C600&lt;1,C600&gt;MaxKisi,C600&lt;&gt;INT(C600)),"HATA: kişi sayısı geçersiz",IF(OR(NOT(ISNUMBER(G600)),G600&lt;0),"HATA: tutar geçersiz",IF(B600&lt;&gt;TRIM(B600),"HATA: isimde baştaki/sondaki boşluk",IF(COUNTIF(KaynakAralik,H600)=0,"HATA: kaynak listede yok",IF(AND(F600&lt;&gt;"Bekleniyor",F600&lt;&gt;"Geldi",F600&lt;&gt;"İptal"),"HATA: giriş durumu geçersiz",IF(AND(F600&lt;&gt;"İptal",COUNTIFS($A$6:$A$1005,A600,$D$6:$D$1005,"&lt;"&amp;E600,$E$6:$E$1005,"&gt;"&amp;D600,$F$6:$F$1005,"&lt;&gt;İptal")&gt;1),"HATA: oda bu tarihlerde çakışıyor",IF(AND(F600="Bekleniyor",D600&lt;RaporTarihi),"HATA: giriş günü geçti, Geldi veya İptal yapın","OK"))))))))))))</f>
        <v/>
      </c>
      <c r="L600" s="25">
        <f>IF(AND(ISNUMBER(A600),F600&lt;&gt;"İptal",ISNUMBER(D600),ISNUMBER(E600),D600&lt;=RaporTarihi,E600&gt;RaporTarihi),A600,"")</f>
        <v/>
      </c>
    </row>
    <row r="601">
      <c r="A601" s="22" t="n"/>
      <c r="B601" s="22" t="n"/>
      <c r="C601" s="22" t="n"/>
      <c r="D601" s="23" t="n"/>
      <c r="E601" s="23" t="n"/>
      <c r="F601" s="22" t="n"/>
      <c r="G601" s="24" t="n"/>
      <c r="H601" s="22" t="n"/>
      <c r="I601" s="25">
        <f>IF(AND(ISNUMBER(D601),ISNUMBER(E601)),E601-D601,"")</f>
        <v/>
      </c>
      <c r="J601" s="26">
        <f>IF(AND(ISNUMBER(I601),ISNUMBER(G601)),IF(I601&gt;0,G601/I601,""),"")</f>
        <v/>
      </c>
      <c r="K601" s="25">
        <f>IF(COUNTA(A601:H601)=0,"",IF(OR(A601="",B601="",C601="",D601="",E601="",F601="",G601="",H601=""),"HATA: eksik bilgi",IF(COUNTIF(OdaListesi,A601)=0,"HATA: geçersiz oda no",IF(OR(NOT(ISNUMBER(D601)),NOT(ISNUMBER(E601))),"HATA: tarih geçersiz",IF(E601&lt;=D601,"HATA: çıkış girişten sonra olmalı",IF(OR(NOT(ISNUMBER(C601)),C601&lt;1,C601&gt;MaxKisi,C601&lt;&gt;INT(C601)),"HATA: kişi sayısı geçersiz",IF(OR(NOT(ISNUMBER(G601)),G601&lt;0),"HATA: tutar geçersiz",IF(B601&lt;&gt;TRIM(B601),"HATA: isimde baştaki/sondaki boşluk",IF(COUNTIF(KaynakAralik,H601)=0,"HATA: kaynak listede yok",IF(AND(F601&lt;&gt;"Bekleniyor",F601&lt;&gt;"Geldi",F601&lt;&gt;"İptal"),"HATA: giriş durumu geçersiz",IF(AND(F601&lt;&gt;"İptal",COUNTIFS($A$6:$A$1005,A601,$D$6:$D$1005,"&lt;"&amp;E601,$E$6:$E$1005,"&gt;"&amp;D601,$F$6:$F$1005,"&lt;&gt;İptal")&gt;1),"HATA: oda bu tarihlerde çakışıyor",IF(AND(F601="Bekleniyor",D601&lt;RaporTarihi),"HATA: giriş günü geçti, Geldi veya İptal yapın","OK"))))))))))))</f>
        <v/>
      </c>
      <c r="L601" s="25">
        <f>IF(AND(ISNUMBER(A601),F601&lt;&gt;"İptal",ISNUMBER(D601),ISNUMBER(E601),D601&lt;=RaporTarihi,E601&gt;RaporTarihi),A601,"")</f>
        <v/>
      </c>
    </row>
    <row r="602">
      <c r="A602" s="22" t="n"/>
      <c r="B602" s="22" t="n"/>
      <c r="C602" s="22" t="n"/>
      <c r="D602" s="23" t="n"/>
      <c r="E602" s="23" t="n"/>
      <c r="F602" s="22" t="n"/>
      <c r="G602" s="24" t="n"/>
      <c r="H602" s="22" t="n"/>
      <c r="I602" s="25">
        <f>IF(AND(ISNUMBER(D602),ISNUMBER(E602)),E602-D602,"")</f>
        <v/>
      </c>
      <c r="J602" s="26">
        <f>IF(AND(ISNUMBER(I602),ISNUMBER(G602)),IF(I602&gt;0,G602/I602,""),"")</f>
        <v/>
      </c>
      <c r="K602" s="25">
        <f>IF(COUNTA(A602:H602)=0,"",IF(OR(A602="",B602="",C602="",D602="",E602="",F602="",G602="",H602=""),"HATA: eksik bilgi",IF(COUNTIF(OdaListesi,A602)=0,"HATA: geçersiz oda no",IF(OR(NOT(ISNUMBER(D602)),NOT(ISNUMBER(E602))),"HATA: tarih geçersiz",IF(E602&lt;=D602,"HATA: çıkış girişten sonra olmalı",IF(OR(NOT(ISNUMBER(C602)),C602&lt;1,C602&gt;MaxKisi,C602&lt;&gt;INT(C602)),"HATA: kişi sayısı geçersiz",IF(OR(NOT(ISNUMBER(G602)),G602&lt;0),"HATA: tutar geçersiz",IF(B602&lt;&gt;TRIM(B602),"HATA: isimde baştaki/sondaki boşluk",IF(COUNTIF(KaynakAralik,H602)=0,"HATA: kaynak listede yok",IF(AND(F602&lt;&gt;"Bekleniyor",F602&lt;&gt;"Geldi",F602&lt;&gt;"İptal"),"HATA: giriş durumu geçersiz",IF(AND(F602&lt;&gt;"İptal",COUNTIFS($A$6:$A$1005,A602,$D$6:$D$1005,"&lt;"&amp;E602,$E$6:$E$1005,"&gt;"&amp;D602,$F$6:$F$1005,"&lt;&gt;İptal")&gt;1),"HATA: oda bu tarihlerde çakışıyor",IF(AND(F602="Bekleniyor",D602&lt;RaporTarihi),"HATA: giriş günü geçti, Geldi veya İptal yapın","OK"))))))))))))</f>
        <v/>
      </c>
      <c r="L602" s="25">
        <f>IF(AND(ISNUMBER(A602),F602&lt;&gt;"İptal",ISNUMBER(D602),ISNUMBER(E602),D602&lt;=RaporTarihi,E602&gt;RaporTarihi),A602,"")</f>
        <v/>
      </c>
    </row>
    <row r="603">
      <c r="A603" s="22" t="n"/>
      <c r="B603" s="22" t="n"/>
      <c r="C603" s="22" t="n"/>
      <c r="D603" s="23" t="n"/>
      <c r="E603" s="23" t="n"/>
      <c r="F603" s="22" t="n"/>
      <c r="G603" s="24" t="n"/>
      <c r="H603" s="22" t="n"/>
      <c r="I603" s="25">
        <f>IF(AND(ISNUMBER(D603),ISNUMBER(E603)),E603-D603,"")</f>
        <v/>
      </c>
      <c r="J603" s="26">
        <f>IF(AND(ISNUMBER(I603),ISNUMBER(G603)),IF(I603&gt;0,G603/I603,""),"")</f>
        <v/>
      </c>
      <c r="K603" s="25">
        <f>IF(COUNTA(A603:H603)=0,"",IF(OR(A603="",B603="",C603="",D603="",E603="",F603="",G603="",H603=""),"HATA: eksik bilgi",IF(COUNTIF(OdaListesi,A603)=0,"HATA: geçersiz oda no",IF(OR(NOT(ISNUMBER(D603)),NOT(ISNUMBER(E603))),"HATA: tarih geçersiz",IF(E603&lt;=D603,"HATA: çıkış girişten sonra olmalı",IF(OR(NOT(ISNUMBER(C603)),C603&lt;1,C603&gt;MaxKisi,C603&lt;&gt;INT(C603)),"HATA: kişi sayısı geçersiz",IF(OR(NOT(ISNUMBER(G603)),G603&lt;0),"HATA: tutar geçersiz",IF(B603&lt;&gt;TRIM(B603),"HATA: isimde baştaki/sondaki boşluk",IF(COUNTIF(KaynakAralik,H603)=0,"HATA: kaynak listede yok",IF(AND(F603&lt;&gt;"Bekleniyor",F603&lt;&gt;"Geldi",F603&lt;&gt;"İptal"),"HATA: giriş durumu geçersiz",IF(AND(F603&lt;&gt;"İptal",COUNTIFS($A$6:$A$1005,A603,$D$6:$D$1005,"&lt;"&amp;E603,$E$6:$E$1005,"&gt;"&amp;D603,$F$6:$F$1005,"&lt;&gt;İptal")&gt;1),"HATA: oda bu tarihlerde çakışıyor",IF(AND(F603="Bekleniyor",D603&lt;RaporTarihi),"HATA: giriş günü geçti, Geldi veya İptal yapın","OK"))))))))))))</f>
        <v/>
      </c>
      <c r="L603" s="25">
        <f>IF(AND(ISNUMBER(A603),F603&lt;&gt;"İptal",ISNUMBER(D603),ISNUMBER(E603),D603&lt;=RaporTarihi,E603&gt;RaporTarihi),A603,"")</f>
        <v/>
      </c>
    </row>
    <row r="604">
      <c r="A604" s="22" t="n"/>
      <c r="B604" s="22" t="n"/>
      <c r="C604" s="22" t="n"/>
      <c r="D604" s="23" t="n"/>
      <c r="E604" s="23" t="n"/>
      <c r="F604" s="22" t="n"/>
      <c r="G604" s="24" t="n"/>
      <c r="H604" s="22" t="n"/>
      <c r="I604" s="25">
        <f>IF(AND(ISNUMBER(D604),ISNUMBER(E604)),E604-D604,"")</f>
        <v/>
      </c>
      <c r="J604" s="26">
        <f>IF(AND(ISNUMBER(I604),ISNUMBER(G604)),IF(I604&gt;0,G604/I604,""),"")</f>
        <v/>
      </c>
      <c r="K604" s="25">
        <f>IF(COUNTA(A604:H604)=0,"",IF(OR(A604="",B604="",C604="",D604="",E604="",F604="",G604="",H604=""),"HATA: eksik bilgi",IF(COUNTIF(OdaListesi,A604)=0,"HATA: geçersiz oda no",IF(OR(NOT(ISNUMBER(D604)),NOT(ISNUMBER(E604))),"HATA: tarih geçersiz",IF(E604&lt;=D604,"HATA: çıkış girişten sonra olmalı",IF(OR(NOT(ISNUMBER(C604)),C604&lt;1,C604&gt;MaxKisi,C604&lt;&gt;INT(C604)),"HATA: kişi sayısı geçersiz",IF(OR(NOT(ISNUMBER(G604)),G604&lt;0),"HATA: tutar geçersiz",IF(B604&lt;&gt;TRIM(B604),"HATA: isimde baştaki/sondaki boşluk",IF(COUNTIF(KaynakAralik,H604)=0,"HATA: kaynak listede yok",IF(AND(F604&lt;&gt;"Bekleniyor",F604&lt;&gt;"Geldi",F604&lt;&gt;"İptal"),"HATA: giriş durumu geçersiz",IF(AND(F604&lt;&gt;"İptal",COUNTIFS($A$6:$A$1005,A604,$D$6:$D$1005,"&lt;"&amp;E604,$E$6:$E$1005,"&gt;"&amp;D604,$F$6:$F$1005,"&lt;&gt;İptal")&gt;1),"HATA: oda bu tarihlerde çakışıyor",IF(AND(F604="Bekleniyor",D604&lt;RaporTarihi),"HATA: giriş günü geçti, Geldi veya İptal yapın","OK"))))))))))))</f>
        <v/>
      </c>
      <c r="L604" s="25">
        <f>IF(AND(ISNUMBER(A604),F604&lt;&gt;"İptal",ISNUMBER(D604),ISNUMBER(E604),D604&lt;=RaporTarihi,E604&gt;RaporTarihi),A604,"")</f>
        <v/>
      </c>
    </row>
    <row r="605">
      <c r="A605" s="22" t="n"/>
      <c r="B605" s="22" t="n"/>
      <c r="C605" s="22" t="n"/>
      <c r="D605" s="23" t="n"/>
      <c r="E605" s="23" t="n"/>
      <c r="F605" s="22" t="n"/>
      <c r="G605" s="24" t="n"/>
      <c r="H605" s="22" t="n"/>
      <c r="I605" s="25">
        <f>IF(AND(ISNUMBER(D605),ISNUMBER(E605)),E605-D605,"")</f>
        <v/>
      </c>
      <c r="J605" s="26">
        <f>IF(AND(ISNUMBER(I605),ISNUMBER(G605)),IF(I605&gt;0,G605/I605,""),"")</f>
        <v/>
      </c>
      <c r="K605" s="25">
        <f>IF(COUNTA(A605:H605)=0,"",IF(OR(A605="",B605="",C605="",D605="",E605="",F605="",G605="",H605=""),"HATA: eksik bilgi",IF(COUNTIF(OdaListesi,A605)=0,"HATA: geçersiz oda no",IF(OR(NOT(ISNUMBER(D605)),NOT(ISNUMBER(E605))),"HATA: tarih geçersiz",IF(E605&lt;=D605,"HATA: çıkış girişten sonra olmalı",IF(OR(NOT(ISNUMBER(C605)),C605&lt;1,C605&gt;MaxKisi,C605&lt;&gt;INT(C605)),"HATA: kişi sayısı geçersiz",IF(OR(NOT(ISNUMBER(G605)),G605&lt;0),"HATA: tutar geçersiz",IF(B605&lt;&gt;TRIM(B605),"HATA: isimde baştaki/sondaki boşluk",IF(COUNTIF(KaynakAralik,H605)=0,"HATA: kaynak listede yok",IF(AND(F605&lt;&gt;"Bekleniyor",F605&lt;&gt;"Geldi",F605&lt;&gt;"İptal"),"HATA: giriş durumu geçersiz",IF(AND(F605&lt;&gt;"İptal",COUNTIFS($A$6:$A$1005,A605,$D$6:$D$1005,"&lt;"&amp;E605,$E$6:$E$1005,"&gt;"&amp;D605,$F$6:$F$1005,"&lt;&gt;İptal")&gt;1),"HATA: oda bu tarihlerde çakışıyor",IF(AND(F605="Bekleniyor",D605&lt;RaporTarihi),"HATA: giriş günü geçti, Geldi veya İptal yapın","OK"))))))))))))</f>
        <v/>
      </c>
      <c r="L605" s="25">
        <f>IF(AND(ISNUMBER(A605),F605&lt;&gt;"İptal",ISNUMBER(D605),ISNUMBER(E605),D605&lt;=RaporTarihi,E605&gt;RaporTarihi),A605,"")</f>
        <v/>
      </c>
    </row>
    <row r="606">
      <c r="A606" s="22" t="n"/>
      <c r="B606" s="22" t="n"/>
      <c r="C606" s="22" t="n"/>
      <c r="D606" s="23" t="n"/>
      <c r="E606" s="23" t="n"/>
      <c r="F606" s="22" t="n"/>
      <c r="G606" s="24" t="n"/>
      <c r="H606" s="22" t="n"/>
      <c r="I606" s="25">
        <f>IF(AND(ISNUMBER(D606),ISNUMBER(E606)),E606-D606,"")</f>
        <v/>
      </c>
      <c r="J606" s="26">
        <f>IF(AND(ISNUMBER(I606),ISNUMBER(G606)),IF(I606&gt;0,G606/I606,""),"")</f>
        <v/>
      </c>
      <c r="K606" s="25">
        <f>IF(COUNTA(A606:H606)=0,"",IF(OR(A606="",B606="",C606="",D606="",E606="",F606="",G606="",H606=""),"HATA: eksik bilgi",IF(COUNTIF(OdaListesi,A606)=0,"HATA: geçersiz oda no",IF(OR(NOT(ISNUMBER(D606)),NOT(ISNUMBER(E606))),"HATA: tarih geçersiz",IF(E606&lt;=D606,"HATA: çıkış girişten sonra olmalı",IF(OR(NOT(ISNUMBER(C606)),C606&lt;1,C606&gt;MaxKisi,C606&lt;&gt;INT(C606)),"HATA: kişi sayısı geçersiz",IF(OR(NOT(ISNUMBER(G606)),G606&lt;0),"HATA: tutar geçersiz",IF(B606&lt;&gt;TRIM(B606),"HATA: isimde baştaki/sondaki boşluk",IF(COUNTIF(KaynakAralik,H606)=0,"HATA: kaynak listede yok",IF(AND(F606&lt;&gt;"Bekleniyor",F606&lt;&gt;"Geldi",F606&lt;&gt;"İptal"),"HATA: giriş durumu geçersiz",IF(AND(F606&lt;&gt;"İptal",COUNTIFS($A$6:$A$1005,A606,$D$6:$D$1005,"&lt;"&amp;E606,$E$6:$E$1005,"&gt;"&amp;D606,$F$6:$F$1005,"&lt;&gt;İptal")&gt;1),"HATA: oda bu tarihlerde çakışıyor",IF(AND(F606="Bekleniyor",D606&lt;RaporTarihi),"HATA: giriş günü geçti, Geldi veya İptal yapın","OK"))))))))))))</f>
        <v/>
      </c>
      <c r="L606" s="25">
        <f>IF(AND(ISNUMBER(A606),F606&lt;&gt;"İptal",ISNUMBER(D606),ISNUMBER(E606),D606&lt;=RaporTarihi,E606&gt;RaporTarihi),A606,"")</f>
        <v/>
      </c>
    </row>
    <row r="607">
      <c r="A607" s="22" t="n"/>
      <c r="B607" s="22" t="n"/>
      <c r="C607" s="22" t="n"/>
      <c r="D607" s="23" t="n"/>
      <c r="E607" s="23" t="n"/>
      <c r="F607" s="22" t="n"/>
      <c r="G607" s="24" t="n"/>
      <c r="H607" s="22" t="n"/>
      <c r="I607" s="25">
        <f>IF(AND(ISNUMBER(D607),ISNUMBER(E607)),E607-D607,"")</f>
        <v/>
      </c>
      <c r="J607" s="26">
        <f>IF(AND(ISNUMBER(I607),ISNUMBER(G607)),IF(I607&gt;0,G607/I607,""),"")</f>
        <v/>
      </c>
      <c r="K607" s="25">
        <f>IF(COUNTA(A607:H607)=0,"",IF(OR(A607="",B607="",C607="",D607="",E607="",F607="",G607="",H607=""),"HATA: eksik bilgi",IF(COUNTIF(OdaListesi,A607)=0,"HATA: geçersiz oda no",IF(OR(NOT(ISNUMBER(D607)),NOT(ISNUMBER(E607))),"HATA: tarih geçersiz",IF(E607&lt;=D607,"HATA: çıkış girişten sonra olmalı",IF(OR(NOT(ISNUMBER(C607)),C607&lt;1,C607&gt;MaxKisi,C607&lt;&gt;INT(C607)),"HATA: kişi sayısı geçersiz",IF(OR(NOT(ISNUMBER(G607)),G607&lt;0),"HATA: tutar geçersiz",IF(B607&lt;&gt;TRIM(B607),"HATA: isimde baştaki/sondaki boşluk",IF(COUNTIF(KaynakAralik,H607)=0,"HATA: kaynak listede yok",IF(AND(F607&lt;&gt;"Bekleniyor",F607&lt;&gt;"Geldi",F607&lt;&gt;"İptal"),"HATA: giriş durumu geçersiz",IF(AND(F607&lt;&gt;"İptal",COUNTIFS($A$6:$A$1005,A607,$D$6:$D$1005,"&lt;"&amp;E607,$E$6:$E$1005,"&gt;"&amp;D607,$F$6:$F$1005,"&lt;&gt;İptal")&gt;1),"HATA: oda bu tarihlerde çakışıyor",IF(AND(F607="Bekleniyor",D607&lt;RaporTarihi),"HATA: giriş günü geçti, Geldi veya İptal yapın","OK"))))))))))))</f>
        <v/>
      </c>
      <c r="L607" s="25">
        <f>IF(AND(ISNUMBER(A607),F607&lt;&gt;"İptal",ISNUMBER(D607),ISNUMBER(E607),D607&lt;=RaporTarihi,E607&gt;RaporTarihi),A607,"")</f>
        <v/>
      </c>
    </row>
    <row r="608">
      <c r="A608" s="22" t="n"/>
      <c r="B608" s="22" t="n"/>
      <c r="C608" s="22" t="n"/>
      <c r="D608" s="23" t="n"/>
      <c r="E608" s="23" t="n"/>
      <c r="F608" s="22" t="n"/>
      <c r="G608" s="24" t="n"/>
      <c r="H608" s="22" t="n"/>
      <c r="I608" s="25">
        <f>IF(AND(ISNUMBER(D608),ISNUMBER(E608)),E608-D608,"")</f>
        <v/>
      </c>
      <c r="J608" s="26">
        <f>IF(AND(ISNUMBER(I608),ISNUMBER(G608)),IF(I608&gt;0,G608/I608,""),"")</f>
        <v/>
      </c>
      <c r="K608" s="25">
        <f>IF(COUNTA(A608:H608)=0,"",IF(OR(A608="",B608="",C608="",D608="",E608="",F608="",G608="",H608=""),"HATA: eksik bilgi",IF(COUNTIF(OdaListesi,A608)=0,"HATA: geçersiz oda no",IF(OR(NOT(ISNUMBER(D608)),NOT(ISNUMBER(E608))),"HATA: tarih geçersiz",IF(E608&lt;=D608,"HATA: çıkış girişten sonra olmalı",IF(OR(NOT(ISNUMBER(C608)),C608&lt;1,C608&gt;MaxKisi,C608&lt;&gt;INT(C608)),"HATA: kişi sayısı geçersiz",IF(OR(NOT(ISNUMBER(G608)),G608&lt;0),"HATA: tutar geçersiz",IF(B608&lt;&gt;TRIM(B608),"HATA: isimde baştaki/sondaki boşluk",IF(COUNTIF(KaynakAralik,H608)=0,"HATA: kaynak listede yok",IF(AND(F608&lt;&gt;"Bekleniyor",F608&lt;&gt;"Geldi",F608&lt;&gt;"İptal"),"HATA: giriş durumu geçersiz",IF(AND(F608&lt;&gt;"İptal",COUNTIFS($A$6:$A$1005,A608,$D$6:$D$1005,"&lt;"&amp;E608,$E$6:$E$1005,"&gt;"&amp;D608,$F$6:$F$1005,"&lt;&gt;İptal")&gt;1),"HATA: oda bu tarihlerde çakışıyor",IF(AND(F608="Bekleniyor",D608&lt;RaporTarihi),"HATA: giriş günü geçti, Geldi veya İptal yapın","OK"))))))))))))</f>
        <v/>
      </c>
      <c r="L608" s="25">
        <f>IF(AND(ISNUMBER(A608),F608&lt;&gt;"İptal",ISNUMBER(D608),ISNUMBER(E608),D608&lt;=RaporTarihi,E608&gt;RaporTarihi),A608,"")</f>
        <v/>
      </c>
    </row>
    <row r="609">
      <c r="A609" s="22" t="n"/>
      <c r="B609" s="22" t="n"/>
      <c r="C609" s="22" t="n"/>
      <c r="D609" s="23" t="n"/>
      <c r="E609" s="23" t="n"/>
      <c r="F609" s="22" t="n"/>
      <c r="G609" s="24" t="n"/>
      <c r="H609" s="22" t="n"/>
      <c r="I609" s="25">
        <f>IF(AND(ISNUMBER(D609),ISNUMBER(E609)),E609-D609,"")</f>
        <v/>
      </c>
      <c r="J609" s="26">
        <f>IF(AND(ISNUMBER(I609),ISNUMBER(G609)),IF(I609&gt;0,G609/I609,""),"")</f>
        <v/>
      </c>
      <c r="K609" s="25">
        <f>IF(COUNTA(A609:H609)=0,"",IF(OR(A609="",B609="",C609="",D609="",E609="",F609="",G609="",H609=""),"HATA: eksik bilgi",IF(COUNTIF(OdaListesi,A609)=0,"HATA: geçersiz oda no",IF(OR(NOT(ISNUMBER(D609)),NOT(ISNUMBER(E609))),"HATA: tarih geçersiz",IF(E609&lt;=D609,"HATA: çıkış girişten sonra olmalı",IF(OR(NOT(ISNUMBER(C609)),C609&lt;1,C609&gt;MaxKisi,C609&lt;&gt;INT(C609)),"HATA: kişi sayısı geçersiz",IF(OR(NOT(ISNUMBER(G609)),G609&lt;0),"HATA: tutar geçersiz",IF(B609&lt;&gt;TRIM(B609),"HATA: isimde baştaki/sondaki boşluk",IF(COUNTIF(KaynakAralik,H609)=0,"HATA: kaynak listede yok",IF(AND(F609&lt;&gt;"Bekleniyor",F609&lt;&gt;"Geldi",F609&lt;&gt;"İptal"),"HATA: giriş durumu geçersiz",IF(AND(F609&lt;&gt;"İptal",COUNTIFS($A$6:$A$1005,A609,$D$6:$D$1005,"&lt;"&amp;E609,$E$6:$E$1005,"&gt;"&amp;D609,$F$6:$F$1005,"&lt;&gt;İptal")&gt;1),"HATA: oda bu tarihlerde çakışıyor",IF(AND(F609="Bekleniyor",D609&lt;RaporTarihi),"HATA: giriş günü geçti, Geldi veya İptal yapın","OK"))))))))))))</f>
        <v/>
      </c>
      <c r="L609" s="25">
        <f>IF(AND(ISNUMBER(A609),F609&lt;&gt;"İptal",ISNUMBER(D609),ISNUMBER(E609),D609&lt;=RaporTarihi,E609&gt;RaporTarihi),A609,"")</f>
        <v/>
      </c>
    </row>
    <row r="610">
      <c r="A610" s="22" t="n"/>
      <c r="B610" s="22" t="n"/>
      <c r="C610" s="22" t="n"/>
      <c r="D610" s="23" t="n"/>
      <c r="E610" s="23" t="n"/>
      <c r="F610" s="22" t="n"/>
      <c r="G610" s="24" t="n"/>
      <c r="H610" s="22" t="n"/>
      <c r="I610" s="25">
        <f>IF(AND(ISNUMBER(D610),ISNUMBER(E610)),E610-D610,"")</f>
        <v/>
      </c>
      <c r="J610" s="26">
        <f>IF(AND(ISNUMBER(I610),ISNUMBER(G610)),IF(I610&gt;0,G610/I610,""),"")</f>
        <v/>
      </c>
      <c r="K610" s="25">
        <f>IF(COUNTA(A610:H610)=0,"",IF(OR(A610="",B610="",C610="",D610="",E610="",F610="",G610="",H610=""),"HATA: eksik bilgi",IF(COUNTIF(OdaListesi,A610)=0,"HATA: geçersiz oda no",IF(OR(NOT(ISNUMBER(D610)),NOT(ISNUMBER(E610))),"HATA: tarih geçersiz",IF(E610&lt;=D610,"HATA: çıkış girişten sonra olmalı",IF(OR(NOT(ISNUMBER(C610)),C610&lt;1,C610&gt;MaxKisi,C610&lt;&gt;INT(C610)),"HATA: kişi sayısı geçersiz",IF(OR(NOT(ISNUMBER(G610)),G610&lt;0),"HATA: tutar geçersiz",IF(B610&lt;&gt;TRIM(B610),"HATA: isimde baştaki/sondaki boşluk",IF(COUNTIF(KaynakAralik,H610)=0,"HATA: kaynak listede yok",IF(AND(F610&lt;&gt;"Bekleniyor",F610&lt;&gt;"Geldi",F610&lt;&gt;"İptal"),"HATA: giriş durumu geçersiz",IF(AND(F610&lt;&gt;"İptal",COUNTIFS($A$6:$A$1005,A610,$D$6:$D$1005,"&lt;"&amp;E610,$E$6:$E$1005,"&gt;"&amp;D610,$F$6:$F$1005,"&lt;&gt;İptal")&gt;1),"HATA: oda bu tarihlerde çakışıyor",IF(AND(F610="Bekleniyor",D610&lt;RaporTarihi),"HATA: giriş günü geçti, Geldi veya İptal yapın","OK"))))))))))))</f>
        <v/>
      </c>
      <c r="L610" s="25">
        <f>IF(AND(ISNUMBER(A610),F610&lt;&gt;"İptal",ISNUMBER(D610),ISNUMBER(E610),D610&lt;=RaporTarihi,E610&gt;RaporTarihi),A610,"")</f>
        <v/>
      </c>
    </row>
    <row r="611">
      <c r="A611" s="22" t="n"/>
      <c r="B611" s="22" t="n"/>
      <c r="C611" s="22" t="n"/>
      <c r="D611" s="23" t="n"/>
      <c r="E611" s="23" t="n"/>
      <c r="F611" s="22" t="n"/>
      <c r="G611" s="24" t="n"/>
      <c r="H611" s="22" t="n"/>
      <c r="I611" s="25">
        <f>IF(AND(ISNUMBER(D611),ISNUMBER(E611)),E611-D611,"")</f>
        <v/>
      </c>
      <c r="J611" s="26">
        <f>IF(AND(ISNUMBER(I611),ISNUMBER(G611)),IF(I611&gt;0,G611/I611,""),"")</f>
        <v/>
      </c>
      <c r="K611" s="25">
        <f>IF(COUNTA(A611:H611)=0,"",IF(OR(A611="",B611="",C611="",D611="",E611="",F611="",G611="",H611=""),"HATA: eksik bilgi",IF(COUNTIF(OdaListesi,A611)=0,"HATA: geçersiz oda no",IF(OR(NOT(ISNUMBER(D611)),NOT(ISNUMBER(E611))),"HATA: tarih geçersiz",IF(E611&lt;=D611,"HATA: çıkış girişten sonra olmalı",IF(OR(NOT(ISNUMBER(C611)),C611&lt;1,C611&gt;MaxKisi,C611&lt;&gt;INT(C611)),"HATA: kişi sayısı geçersiz",IF(OR(NOT(ISNUMBER(G611)),G611&lt;0),"HATA: tutar geçersiz",IF(B611&lt;&gt;TRIM(B611),"HATA: isimde baştaki/sondaki boşluk",IF(COUNTIF(KaynakAralik,H611)=0,"HATA: kaynak listede yok",IF(AND(F611&lt;&gt;"Bekleniyor",F611&lt;&gt;"Geldi",F611&lt;&gt;"İptal"),"HATA: giriş durumu geçersiz",IF(AND(F611&lt;&gt;"İptal",COUNTIFS($A$6:$A$1005,A611,$D$6:$D$1005,"&lt;"&amp;E611,$E$6:$E$1005,"&gt;"&amp;D611,$F$6:$F$1005,"&lt;&gt;İptal")&gt;1),"HATA: oda bu tarihlerde çakışıyor",IF(AND(F611="Bekleniyor",D611&lt;RaporTarihi),"HATA: giriş günü geçti, Geldi veya İptal yapın","OK"))))))))))))</f>
        <v/>
      </c>
      <c r="L611" s="25">
        <f>IF(AND(ISNUMBER(A611),F611&lt;&gt;"İptal",ISNUMBER(D611),ISNUMBER(E611),D611&lt;=RaporTarihi,E611&gt;RaporTarihi),A611,"")</f>
        <v/>
      </c>
    </row>
    <row r="612">
      <c r="A612" s="22" t="n"/>
      <c r="B612" s="22" t="n"/>
      <c r="C612" s="22" t="n"/>
      <c r="D612" s="23" t="n"/>
      <c r="E612" s="23" t="n"/>
      <c r="F612" s="22" t="n"/>
      <c r="G612" s="24" t="n"/>
      <c r="H612" s="22" t="n"/>
      <c r="I612" s="25">
        <f>IF(AND(ISNUMBER(D612),ISNUMBER(E612)),E612-D612,"")</f>
        <v/>
      </c>
      <c r="J612" s="26">
        <f>IF(AND(ISNUMBER(I612),ISNUMBER(G612)),IF(I612&gt;0,G612/I612,""),"")</f>
        <v/>
      </c>
      <c r="K612" s="25">
        <f>IF(COUNTA(A612:H612)=0,"",IF(OR(A612="",B612="",C612="",D612="",E612="",F612="",G612="",H612=""),"HATA: eksik bilgi",IF(COUNTIF(OdaListesi,A612)=0,"HATA: geçersiz oda no",IF(OR(NOT(ISNUMBER(D612)),NOT(ISNUMBER(E612))),"HATA: tarih geçersiz",IF(E612&lt;=D612,"HATA: çıkış girişten sonra olmalı",IF(OR(NOT(ISNUMBER(C612)),C612&lt;1,C612&gt;MaxKisi,C612&lt;&gt;INT(C612)),"HATA: kişi sayısı geçersiz",IF(OR(NOT(ISNUMBER(G612)),G612&lt;0),"HATA: tutar geçersiz",IF(B612&lt;&gt;TRIM(B612),"HATA: isimde baştaki/sondaki boşluk",IF(COUNTIF(KaynakAralik,H612)=0,"HATA: kaynak listede yok",IF(AND(F612&lt;&gt;"Bekleniyor",F612&lt;&gt;"Geldi",F612&lt;&gt;"İptal"),"HATA: giriş durumu geçersiz",IF(AND(F612&lt;&gt;"İptal",COUNTIFS($A$6:$A$1005,A612,$D$6:$D$1005,"&lt;"&amp;E612,$E$6:$E$1005,"&gt;"&amp;D612,$F$6:$F$1005,"&lt;&gt;İptal")&gt;1),"HATA: oda bu tarihlerde çakışıyor",IF(AND(F612="Bekleniyor",D612&lt;RaporTarihi),"HATA: giriş günü geçti, Geldi veya İptal yapın","OK"))))))))))))</f>
        <v/>
      </c>
      <c r="L612" s="25">
        <f>IF(AND(ISNUMBER(A612),F612&lt;&gt;"İptal",ISNUMBER(D612),ISNUMBER(E612),D612&lt;=RaporTarihi,E612&gt;RaporTarihi),A612,"")</f>
        <v/>
      </c>
    </row>
    <row r="613">
      <c r="A613" s="22" t="n"/>
      <c r="B613" s="22" t="n"/>
      <c r="C613" s="22" t="n"/>
      <c r="D613" s="23" t="n"/>
      <c r="E613" s="23" t="n"/>
      <c r="F613" s="22" t="n"/>
      <c r="G613" s="24" t="n"/>
      <c r="H613" s="22" t="n"/>
      <c r="I613" s="25">
        <f>IF(AND(ISNUMBER(D613),ISNUMBER(E613)),E613-D613,"")</f>
        <v/>
      </c>
      <c r="J613" s="26">
        <f>IF(AND(ISNUMBER(I613),ISNUMBER(G613)),IF(I613&gt;0,G613/I613,""),"")</f>
        <v/>
      </c>
      <c r="K613" s="25">
        <f>IF(COUNTA(A613:H613)=0,"",IF(OR(A613="",B613="",C613="",D613="",E613="",F613="",G613="",H613=""),"HATA: eksik bilgi",IF(COUNTIF(OdaListesi,A613)=0,"HATA: geçersiz oda no",IF(OR(NOT(ISNUMBER(D613)),NOT(ISNUMBER(E613))),"HATA: tarih geçersiz",IF(E613&lt;=D613,"HATA: çıkış girişten sonra olmalı",IF(OR(NOT(ISNUMBER(C613)),C613&lt;1,C613&gt;MaxKisi,C613&lt;&gt;INT(C613)),"HATA: kişi sayısı geçersiz",IF(OR(NOT(ISNUMBER(G613)),G613&lt;0),"HATA: tutar geçersiz",IF(B613&lt;&gt;TRIM(B613),"HATA: isimde baştaki/sondaki boşluk",IF(COUNTIF(KaynakAralik,H613)=0,"HATA: kaynak listede yok",IF(AND(F613&lt;&gt;"Bekleniyor",F613&lt;&gt;"Geldi",F613&lt;&gt;"İptal"),"HATA: giriş durumu geçersiz",IF(AND(F613&lt;&gt;"İptal",COUNTIFS($A$6:$A$1005,A613,$D$6:$D$1005,"&lt;"&amp;E613,$E$6:$E$1005,"&gt;"&amp;D613,$F$6:$F$1005,"&lt;&gt;İptal")&gt;1),"HATA: oda bu tarihlerde çakışıyor",IF(AND(F613="Bekleniyor",D613&lt;RaporTarihi),"HATA: giriş günü geçti, Geldi veya İptal yapın","OK"))))))))))))</f>
        <v/>
      </c>
      <c r="L613" s="25">
        <f>IF(AND(ISNUMBER(A613),F613&lt;&gt;"İptal",ISNUMBER(D613),ISNUMBER(E613),D613&lt;=RaporTarihi,E613&gt;RaporTarihi),A613,"")</f>
        <v/>
      </c>
    </row>
    <row r="614">
      <c r="A614" s="22" t="n"/>
      <c r="B614" s="22" t="n"/>
      <c r="C614" s="22" t="n"/>
      <c r="D614" s="23" t="n"/>
      <c r="E614" s="23" t="n"/>
      <c r="F614" s="22" t="n"/>
      <c r="G614" s="24" t="n"/>
      <c r="H614" s="22" t="n"/>
      <c r="I614" s="25">
        <f>IF(AND(ISNUMBER(D614),ISNUMBER(E614)),E614-D614,"")</f>
        <v/>
      </c>
      <c r="J614" s="26">
        <f>IF(AND(ISNUMBER(I614),ISNUMBER(G614)),IF(I614&gt;0,G614/I614,""),"")</f>
        <v/>
      </c>
      <c r="K614" s="25">
        <f>IF(COUNTA(A614:H614)=0,"",IF(OR(A614="",B614="",C614="",D614="",E614="",F614="",G614="",H614=""),"HATA: eksik bilgi",IF(COUNTIF(OdaListesi,A614)=0,"HATA: geçersiz oda no",IF(OR(NOT(ISNUMBER(D614)),NOT(ISNUMBER(E614))),"HATA: tarih geçersiz",IF(E614&lt;=D614,"HATA: çıkış girişten sonra olmalı",IF(OR(NOT(ISNUMBER(C614)),C614&lt;1,C614&gt;MaxKisi,C614&lt;&gt;INT(C614)),"HATA: kişi sayısı geçersiz",IF(OR(NOT(ISNUMBER(G614)),G614&lt;0),"HATA: tutar geçersiz",IF(B614&lt;&gt;TRIM(B614),"HATA: isimde baştaki/sondaki boşluk",IF(COUNTIF(KaynakAralik,H614)=0,"HATA: kaynak listede yok",IF(AND(F614&lt;&gt;"Bekleniyor",F614&lt;&gt;"Geldi",F614&lt;&gt;"İptal"),"HATA: giriş durumu geçersiz",IF(AND(F614&lt;&gt;"İptal",COUNTIFS($A$6:$A$1005,A614,$D$6:$D$1005,"&lt;"&amp;E614,$E$6:$E$1005,"&gt;"&amp;D614,$F$6:$F$1005,"&lt;&gt;İptal")&gt;1),"HATA: oda bu tarihlerde çakışıyor",IF(AND(F614="Bekleniyor",D614&lt;RaporTarihi),"HATA: giriş günü geçti, Geldi veya İptal yapın","OK"))))))))))))</f>
        <v/>
      </c>
      <c r="L614" s="25">
        <f>IF(AND(ISNUMBER(A614),F614&lt;&gt;"İptal",ISNUMBER(D614),ISNUMBER(E614),D614&lt;=RaporTarihi,E614&gt;RaporTarihi),A614,"")</f>
        <v/>
      </c>
    </row>
    <row r="615">
      <c r="A615" s="22" t="n"/>
      <c r="B615" s="22" t="n"/>
      <c r="C615" s="22" t="n"/>
      <c r="D615" s="23" t="n"/>
      <c r="E615" s="23" t="n"/>
      <c r="F615" s="22" t="n"/>
      <c r="G615" s="24" t="n"/>
      <c r="H615" s="22" t="n"/>
      <c r="I615" s="25">
        <f>IF(AND(ISNUMBER(D615),ISNUMBER(E615)),E615-D615,"")</f>
        <v/>
      </c>
      <c r="J615" s="26">
        <f>IF(AND(ISNUMBER(I615),ISNUMBER(G615)),IF(I615&gt;0,G615/I615,""),"")</f>
        <v/>
      </c>
      <c r="K615" s="25">
        <f>IF(COUNTA(A615:H615)=0,"",IF(OR(A615="",B615="",C615="",D615="",E615="",F615="",G615="",H615=""),"HATA: eksik bilgi",IF(COUNTIF(OdaListesi,A615)=0,"HATA: geçersiz oda no",IF(OR(NOT(ISNUMBER(D615)),NOT(ISNUMBER(E615))),"HATA: tarih geçersiz",IF(E615&lt;=D615,"HATA: çıkış girişten sonra olmalı",IF(OR(NOT(ISNUMBER(C615)),C615&lt;1,C615&gt;MaxKisi,C615&lt;&gt;INT(C615)),"HATA: kişi sayısı geçersiz",IF(OR(NOT(ISNUMBER(G615)),G615&lt;0),"HATA: tutar geçersiz",IF(B615&lt;&gt;TRIM(B615),"HATA: isimde baştaki/sondaki boşluk",IF(COUNTIF(KaynakAralik,H615)=0,"HATA: kaynak listede yok",IF(AND(F615&lt;&gt;"Bekleniyor",F615&lt;&gt;"Geldi",F615&lt;&gt;"İptal"),"HATA: giriş durumu geçersiz",IF(AND(F615&lt;&gt;"İptal",COUNTIFS($A$6:$A$1005,A615,$D$6:$D$1005,"&lt;"&amp;E615,$E$6:$E$1005,"&gt;"&amp;D615,$F$6:$F$1005,"&lt;&gt;İptal")&gt;1),"HATA: oda bu tarihlerde çakışıyor",IF(AND(F615="Bekleniyor",D615&lt;RaporTarihi),"HATA: giriş günü geçti, Geldi veya İptal yapın","OK"))))))))))))</f>
        <v/>
      </c>
      <c r="L615" s="25">
        <f>IF(AND(ISNUMBER(A615),F615&lt;&gt;"İptal",ISNUMBER(D615),ISNUMBER(E615),D615&lt;=RaporTarihi,E615&gt;RaporTarihi),A615,"")</f>
        <v/>
      </c>
    </row>
    <row r="616">
      <c r="A616" s="22" t="n"/>
      <c r="B616" s="22" t="n"/>
      <c r="C616" s="22" t="n"/>
      <c r="D616" s="23" t="n"/>
      <c r="E616" s="23" t="n"/>
      <c r="F616" s="22" t="n"/>
      <c r="G616" s="24" t="n"/>
      <c r="H616" s="22" t="n"/>
      <c r="I616" s="25">
        <f>IF(AND(ISNUMBER(D616),ISNUMBER(E616)),E616-D616,"")</f>
        <v/>
      </c>
      <c r="J616" s="26">
        <f>IF(AND(ISNUMBER(I616),ISNUMBER(G616)),IF(I616&gt;0,G616/I616,""),"")</f>
        <v/>
      </c>
      <c r="K616" s="25">
        <f>IF(COUNTA(A616:H616)=0,"",IF(OR(A616="",B616="",C616="",D616="",E616="",F616="",G616="",H616=""),"HATA: eksik bilgi",IF(COUNTIF(OdaListesi,A616)=0,"HATA: geçersiz oda no",IF(OR(NOT(ISNUMBER(D616)),NOT(ISNUMBER(E616))),"HATA: tarih geçersiz",IF(E616&lt;=D616,"HATA: çıkış girişten sonra olmalı",IF(OR(NOT(ISNUMBER(C616)),C616&lt;1,C616&gt;MaxKisi,C616&lt;&gt;INT(C616)),"HATA: kişi sayısı geçersiz",IF(OR(NOT(ISNUMBER(G616)),G616&lt;0),"HATA: tutar geçersiz",IF(B616&lt;&gt;TRIM(B616),"HATA: isimde baştaki/sondaki boşluk",IF(COUNTIF(KaynakAralik,H616)=0,"HATA: kaynak listede yok",IF(AND(F616&lt;&gt;"Bekleniyor",F616&lt;&gt;"Geldi",F616&lt;&gt;"İptal"),"HATA: giriş durumu geçersiz",IF(AND(F616&lt;&gt;"İptal",COUNTIFS($A$6:$A$1005,A616,$D$6:$D$1005,"&lt;"&amp;E616,$E$6:$E$1005,"&gt;"&amp;D616,$F$6:$F$1005,"&lt;&gt;İptal")&gt;1),"HATA: oda bu tarihlerde çakışıyor",IF(AND(F616="Bekleniyor",D616&lt;RaporTarihi),"HATA: giriş günü geçti, Geldi veya İptal yapın","OK"))))))))))))</f>
        <v/>
      </c>
      <c r="L616" s="25">
        <f>IF(AND(ISNUMBER(A616),F616&lt;&gt;"İptal",ISNUMBER(D616),ISNUMBER(E616),D616&lt;=RaporTarihi,E616&gt;RaporTarihi),A616,"")</f>
        <v/>
      </c>
    </row>
    <row r="617">
      <c r="A617" s="22" t="n"/>
      <c r="B617" s="22" t="n"/>
      <c r="C617" s="22" t="n"/>
      <c r="D617" s="23" t="n"/>
      <c r="E617" s="23" t="n"/>
      <c r="F617" s="22" t="n"/>
      <c r="G617" s="24" t="n"/>
      <c r="H617" s="22" t="n"/>
      <c r="I617" s="25">
        <f>IF(AND(ISNUMBER(D617),ISNUMBER(E617)),E617-D617,"")</f>
        <v/>
      </c>
      <c r="J617" s="26">
        <f>IF(AND(ISNUMBER(I617),ISNUMBER(G617)),IF(I617&gt;0,G617/I617,""),"")</f>
        <v/>
      </c>
      <c r="K617" s="25">
        <f>IF(COUNTA(A617:H617)=0,"",IF(OR(A617="",B617="",C617="",D617="",E617="",F617="",G617="",H617=""),"HATA: eksik bilgi",IF(COUNTIF(OdaListesi,A617)=0,"HATA: geçersiz oda no",IF(OR(NOT(ISNUMBER(D617)),NOT(ISNUMBER(E617))),"HATA: tarih geçersiz",IF(E617&lt;=D617,"HATA: çıkış girişten sonra olmalı",IF(OR(NOT(ISNUMBER(C617)),C617&lt;1,C617&gt;MaxKisi,C617&lt;&gt;INT(C617)),"HATA: kişi sayısı geçersiz",IF(OR(NOT(ISNUMBER(G617)),G617&lt;0),"HATA: tutar geçersiz",IF(B617&lt;&gt;TRIM(B617),"HATA: isimde baştaki/sondaki boşluk",IF(COUNTIF(KaynakAralik,H617)=0,"HATA: kaynak listede yok",IF(AND(F617&lt;&gt;"Bekleniyor",F617&lt;&gt;"Geldi",F617&lt;&gt;"İptal"),"HATA: giriş durumu geçersiz",IF(AND(F617&lt;&gt;"İptal",COUNTIFS($A$6:$A$1005,A617,$D$6:$D$1005,"&lt;"&amp;E617,$E$6:$E$1005,"&gt;"&amp;D617,$F$6:$F$1005,"&lt;&gt;İptal")&gt;1),"HATA: oda bu tarihlerde çakışıyor",IF(AND(F617="Bekleniyor",D617&lt;RaporTarihi),"HATA: giriş günü geçti, Geldi veya İptal yapın","OK"))))))))))))</f>
        <v/>
      </c>
      <c r="L617" s="25">
        <f>IF(AND(ISNUMBER(A617),F617&lt;&gt;"İptal",ISNUMBER(D617),ISNUMBER(E617),D617&lt;=RaporTarihi,E617&gt;RaporTarihi),A617,"")</f>
        <v/>
      </c>
    </row>
    <row r="618">
      <c r="A618" s="22" t="n"/>
      <c r="B618" s="22" t="n"/>
      <c r="C618" s="22" t="n"/>
      <c r="D618" s="23" t="n"/>
      <c r="E618" s="23" t="n"/>
      <c r="F618" s="22" t="n"/>
      <c r="G618" s="24" t="n"/>
      <c r="H618" s="22" t="n"/>
      <c r="I618" s="25">
        <f>IF(AND(ISNUMBER(D618),ISNUMBER(E618)),E618-D618,"")</f>
        <v/>
      </c>
      <c r="J618" s="26">
        <f>IF(AND(ISNUMBER(I618),ISNUMBER(G618)),IF(I618&gt;0,G618/I618,""),"")</f>
        <v/>
      </c>
      <c r="K618" s="25">
        <f>IF(COUNTA(A618:H618)=0,"",IF(OR(A618="",B618="",C618="",D618="",E618="",F618="",G618="",H618=""),"HATA: eksik bilgi",IF(COUNTIF(OdaListesi,A618)=0,"HATA: geçersiz oda no",IF(OR(NOT(ISNUMBER(D618)),NOT(ISNUMBER(E618))),"HATA: tarih geçersiz",IF(E618&lt;=D618,"HATA: çıkış girişten sonra olmalı",IF(OR(NOT(ISNUMBER(C618)),C618&lt;1,C618&gt;MaxKisi,C618&lt;&gt;INT(C618)),"HATA: kişi sayısı geçersiz",IF(OR(NOT(ISNUMBER(G618)),G618&lt;0),"HATA: tutar geçersiz",IF(B618&lt;&gt;TRIM(B618),"HATA: isimde baştaki/sondaki boşluk",IF(COUNTIF(KaynakAralik,H618)=0,"HATA: kaynak listede yok",IF(AND(F618&lt;&gt;"Bekleniyor",F618&lt;&gt;"Geldi",F618&lt;&gt;"İptal"),"HATA: giriş durumu geçersiz",IF(AND(F618&lt;&gt;"İptal",COUNTIFS($A$6:$A$1005,A618,$D$6:$D$1005,"&lt;"&amp;E618,$E$6:$E$1005,"&gt;"&amp;D618,$F$6:$F$1005,"&lt;&gt;İptal")&gt;1),"HATA: oda bu tarihlerde çakışıyor",IF(AND(F618="Bekleniyor",D618&lt;RaporTarihi),"HATA: giriş günü geçti, Geldi veya İptal yapın","OK"))))))))))))</f>
        <v/>
      </c>
      <c r="L618" s="25">
        <f>IF(AND(ISNUMBER(A618),F618&lt;&gt;"İptal",ISNUMBER(D618),ISNUMBER(E618),D618&lt;=RaporTarihi,E618&gt;RaporTarihi),A618,"")</f>
        <v/>
      </c>
    </row>
    <row r="619">
      <c r="A619" s="22" t="n"/>
      <c r="B619" s="22" t="n"/>
      <c r="C619" s="22" t="n"/>
      <c r="D619" s="23" t="n"/>
      <c r="E619" s="23" t="n"/>
      <c r="F619" s="22" t="n"/>
      <c r="G619" s="24" t="n"/>
      <c r="H619" s="22" t="n"/>
      <c r="I619" s="25">
        <f>IF(AND(ISNUMBER(D619),ISNUMBER(E619)),E619-D619,"")</f>
        <v/>
      </c>
      <c r="J619" s="26">
        <f>IF(AND(ISNUMBER(I619),ISNUMBER(G619)),IF(I619&gt;0,G619/I619,""),"")</f>
        <v/>
      </c>
      <c r="K619" s="25">
        <f>IF(COUNTA(A619:H619)=0,"",IF(OR(A619="",B619="",C619="",D619="",E619="",F619="",G619="",H619=""),"HATA: eksik bilgi",IF(COUNTIF(OdaListesi,A619)=0,"HATA: geçersiz oda no",IF(OR(NOT(ISNUMBER(D619)),NOT(ISNUMBER(E619))),"HATA: tarih geçersiz",IF(E619&lt;=D619,"HATA: çıkış girişten sonra olmalı",IF(OR(NOT(ISNUMBER(C619)),C619&lt;1,C619&gt;MaxKisi,C619&lt;&gt;INT(C619)),"HATA: kişi sayısı geçersiz",IF(OR(NOT(ISNUMBER(G619)),G619&lt;0),"HATA: tutar geçersiz",IF(B619&lt;&gt;TRIM(B619),"HATA: isimde baştaki/sondaki boşluk",IF(COUNTIF(KaynakAralik,H619)=0,"HATA: kaynak listede yok",IF(AND(F619&lt;&gt;"Bekleniyor",F619&lt;&gt;"Geldi",F619&lt;&gt;"İptal"),"HATA: giriş durumu geçersiz",IF(AND(F619&lt;&gt;"İptal",COUNTIFS($A$6:$A$1005,A619,$D$6:$D$1005,"&lt;"&amp;E619,$E$6:$E$1005,"&gt;"&amp;D619,$F$6:$F$1005,"&lt;&gt;İptal")&gt;1),"HATA: oda bu tarihlerde çakışıyor",IF(AND(F619="Bekleniyor",D619&lt;RaporTarihi),"HATA: giriş günü geçti, Geldi veya İptal yapın","OK"))))))))))))</f>
        <v/>
      </c>
      <c r="L619" s="25">
        <f>IF(AND(ISNUMBER(A619),F619&lt;&gt;"İptal",ISNUMBER(D619),ISNUMBER(E619),D619&lt;=RaporTarihi,E619&gt;RaporTarihi),A619,"")</f>
        <v/>
      </c>
    </row>
    <row r="620">
      <c r="A620" s="22" t="n"/>
      <c r="B620" s="22" t="n"/>
      <c r="C620" s="22" t="n"/>
      <c r="D620" s="23" t="n"/>
      <c r="E620" s="23" t="n"/>
      <c r="F620" s="22" t="n"/>
      <c r="G620" s="24" t="n"/>
      <c r="H620" s="22" t="n"/>
      <c r="I620" s="25">
        <f>IF(AND(ISNUMBER(D620),ISNUMBER(E620)),E620-D620,"")</f>
        <v/>
      </c>
      <c r="J620" s="26">
        <f>IF(AND(ISNUMBER(I620),ISNUMBER(G620)),IF(I620&gt;0,G620/I620,""),"")</f>
        <v/>
      </c>
      <c r="K620" s="25">
        <f>IF(COUNTA(A620:H620)=0,"",IF(OR(A620="",B620="",C620="",D620="",E620="",F620="",G620="",H620=""),"HATA: eksik bilgi",IF(COUNTIF(OdaListesi,A620)=0,"HATA: geçersiz oda no",IF(OR(NOT(ISNUMBER(D620)),NOT(ISNUMBER(E620))),"HATA: tarih geçersiz",IF(E620&lt;=D620,"HATA: çıkış girişten sonra olmalı",IF(OR(NOT(ISNUMBER(C620)),C620&lt;1,C620&gt;MaxKisi,C620&lt;&gt;INT(C620)),"HATA: kişi sayısı geçersiz",IF(OR(NOT(ISNUMBER(G620)),G620&lt;0),"HATA: tutar geçersiz",IF(B620&lt;&gt;TRIM(B620),"HATA: isimde baştaki/sondaki boşluk",IF(COUNTIF(KaynakAralik,H620)=0,"HATA: kaynak listede yok",IF(AND(F620&lt;&gt;"Bekleniyor",F620&lt;&gt;"Geldi",F620&lt;&gt;"İptal"),"HATA: giriş durumu geçersiz",IF(AND(F620&lt;&gt;"İptal",COUNTIFS($A$6:$A$1005,A620,$D$6:$D$1005,"&lt;"&amp;E620,$E$6:$E$1005,"&gt;"&amp;D620,$F$6:$F$1005,"&lt;&gt;İptal")&gt;1),"HATA: oda bu tarihlerde çakışıyor",IF(AND(F620="Bekleniyor",D620&lt;RaporTarihi),"HATA: giriş günü geçti, Geldi veya İptal yapın","OK"))))))))))))</f>
        <v/>
      </c>
      <c r="L620" s="25">
        <f>IF(AND(ISNUMBER(A620),F620&lt;&gt;"İptal",ISNUMBER(D620),ISNUMBER(E620),D620&lt;=RaporTarihi,E620&gt;RaporTarihi),A620,"")</f>
        <v/>
      </c>
    </row>
    <row r="621">
      <c r="A621" s="22" t="n"/>
      <c r="B621" s="22" t="n"/>
      <c r="C621" s="22" t="n"/>
      <c r="D621" s="23" t="n"/>
      <c r="E621" s="23" t="n"/>
      <c r="F621" s="22" t="n"/>
      <c r="G621" s="24" t="n"/>
      <c r="H621" s="22" t="n"/>
      <c r="I621" s="25">
        <f>IF(AND(ISNUMBER(D621),ISNUMBER(E621)),E621-D621,"")</f>
        <v/>
      </c>
      <c r="J621" s="26">
        <f>IF(AND(ISNUMBER(I621),ISNUMBER(G621)),IF(I621&gt;0,G621/I621,""),"")</f>
        <v/>
      </c>
      <c r="K621" s="25">
        <f>IF(COUNTA(A621:H621)=0,"",IF(OR(A621="",B621="",C621="",D621="",E621="",F621="",G621="",H621=""),"HATA: eksik bilgi",IF(COUNTIF(OdaListesi,A621)=0,"HATA: geçersiz oda no",IF(OR(NOT(ISNUMBER(D621)),NOT(ISNUMBER(E621))),"HATA: tarih geçersiz",IF(E621&lt;=D621,"HATA: çıkış girişten sonra olmalı",IF(OR(NOT(ISNUMBER(C621)),C621&lt;1,C621&gt;MaxKisi,C621&lt;&gt;INT(C621)),"HATA: kişi sayısı geçersiz",IF(OR(NOT(ISNUMBER(G621)),G621&lt;0),"HATA: tutar geçersiz",IF(B621&lt;&gt;TRIM(B621),"HATA: isimde baştaki/sondaki boşluk",IF(COUNTIF(KaynakAralik,H621)=0,"HATA: kaynak listede yok",IF(AND(F621&lt;&gt;"Bekleniyor",F621&lt;&gt;"Geldi",F621&lt;&gt;"İptal"),"HATA: giriş durumu geçersiz",IF(AND(F621&lt;&gt;"İptal",COUNTIFS($A$6:$A$1005,A621,$D$6:$D$1005,"&lt;"&amp;E621,$E$6:$E$1005,"&gt;"&amp;D621,$F$6:$F$1005,"&lt;&gt;İptal")&gt;1),"HATA: oda bu tarihlerde çakışıyor",IF(AND(F621="Bekleniyor",D621&lt;RaporTarihi),"HATA: giriş günü geçti, Geldi veya İptal yapın","OK"))))))))))))</f>
        <v/>
      </c>
      <c r="L621" s="25">
        <f>IF(AND(ISNUMBER(A621),F621&lt;&gt;"İptal",ISNUMBER(D621),ISNUMBER(E621),D621&lt;=RaporTarihi,E621&gt;RaporTarihi),A621,"")</f>
        <v/>
      </c>
    </row>
    <row r="622">
      <c r="A622" s="22" t="n"/>
      <c r="B622" s="22" t="n"/>
      <c r="C622" s="22" t="n"/>
      <c r="D622" s="23" t="n"/>
      <c r="E622" s="23" t="n"/>
      <c r="F622" s="22" t="n"/>
      <c r="G622" s="24" t="n"/>
      <c r="H622" s="22" t="n"/>
      <c r="I622" s="25">
        <f>IF(AND(ISNUMBER(D622),ISNUMBER(E622)),E622-D622,"")</f>
        <v/>
      </c>
      <c r="J622" s="26">
        <f>IF(AND(ISNUMBER(I622),ISNUMBER(G622)),IF(I622&gt;0,G622/I622,""),"")</f>
        <v/>
      </c>
      <c r="K622" s="25">
        <f>IF(COUNTA(A622:H622)=0,"",IF(OR(A622="",B622="",C622="",D622="",E622="",F622="",G622="",H622=""),"HATA: eksik bilgi",IF(COUNTIF(OdaListesi,A622)=0,"HATA: geçersiz oda no",IF(OR(NOT(ISNUMBER(D622)),NOT(ISNUMBER(E622))),"HATA: tarih geçersiz",IF(E622&lt;=D622,"HATA: çıkış girişten sonra olmalı",IF(OR(NOT(ISNUMBER(C622)),C622&lt;1,C622&gt;MaxKisi,C622&lt;&gt;INT(C622)),"HATA: kişi sayısı geçersiz",IF(OR(NOT(ISNUMBER(G622)),G622&lt;0),"HATA: tutar geçersiz",IF(B622&lt;&gt;TRIM(B622),"HATA: isimde baştaki/sondaki boşluk",IF(COUNTIF(KaynakAralik,H622)=0,"HATA: kaynak listede yok",IF(AND(F622&lt;&gt;"Bekleniyor",F622&lt;&gt;"Geldi",F622&lt;&gt;"İptal"),"HATA: giriş durumu geçersiz",IF(AND(F622&lt;&gt;"İptal",COUNTIFS($A$6:$A$1005,A622,$D$6:$D$1005,"&lt;"&amp;E622,$E$6:$E$1005,"&gt;"&amp;D622,$F$6:$F$1005,"&lt;&gt;İptal")&gt;1),"HATA: oda bu tarihlerde çakışıyor",IF(AND(F622="Bekleniyor",D622&lt;RaporTarihi),"HATA: giriş günü geçti, Geldi veya İptal yapın","OK"))))))))))))</f>
        <v/>
      </c>
      <c r="L622" s="25">
        <f>IF(AND(ISNUMBER(A622),F622&lt;&gt;"İptal",ISNUMBER(D622),ISNUMBER(E622),D622&lt;=RaporTarihi,E622&gt;RaporTarihi),A622,"")</f>
        <v/>
      </c>
    </row>
    <row r="623">
      <c r="A623" s="22" t="n"/>
      <c r="B623" s="22" t="n"/>
      <c r="C623" s="22" t="n"/>
      <c r="D623" s="23" t="n"/>
      <c r="E623" s="23" t="n"/>
      <c r="F623" s="22" t="n"/>
      <c r="G623" s="24" t="n"/>
      <c r="H623" s="22" t="n"/>
      <c r="I623" s="25">
        <f>IF(AND(ISNUMBER(D623),ISNUMBER(E623)),E623-D623,"")</f>
        <v/>
      </c>
      <c r="J623" s="26">
        <f>IF(AND(ISNUMBER(I623),ISNUMBER(G623)),IF(I623&gt;0,G623/I623,""),"")</f>
        <v/>
      </c>
      <c r="K623" s="25">
        <f>IF(COUNTA(A623:H623)=0,"",IF(OR(A623="",B623="",C623="",D623="",E623="",F623="",G623="",H623=""),"HATA: eksik bilgi",IF(COUNTIF(OdaListesi,A623)=0,"HATA: geçersiz oda no",IF(OR(NOT(ISNUMBER(D623)),NOT(ISNUMBER(E623))),"HATA: tarih geçersiz",IF(E623&lt;=D623,"HATA: çıkış girişten sonra olmalı",IF(OR(NOT(ISNUMBER(C623)),C623&lt;1,C623&gt;MaxKisi,C623&lt;&gt;INT(C623)),"HATA: kişi sayısı geçersiz",IF(OR(NOT(ISNUMBER(G623)),G623&lt;0),"HATA: tutar geçersiz",IF(B623&lt;&gt;TRIM(B623),"HATA: isimde baştaki/sondaki boşluk",IF(COUNTIF(KaynakAralik,H623)=0,"HATA: kaynak listede yok",IF(AND(F623&lt;&gt;"Bekleniyor",F623&lt;&gt;"Geldi",F623&lt;&gt;"İptal"),"HATA: giriş durumu geçersiz",IF(AND(F623&lt;&gt;"İptal",COUNTIFS($A$6:$A$1005,A623,$D$6:$D$1005,"&lt;"&amp;E623,$E$6:$E$1005,"&gt;"&amp;D623,$F$6:$F$1005,"&lt;&gt;İptal")&gt;1),"HATA: oda bu tarihlerde çakışıyor",IF(AND(F623="Bekleniyor",D623&lt;RaporTarihi),"HATA: giriş günü geçti, Geldi veya İptal yapın","OK"))))))))))))</f>
        <v/>
      </c>
      <c r="L623" s="25">
        <f>IF(AND(ISNUMBER(A623),F623&lt;&gt;"İptal",ISNUMBER(D623),ISNUMBER(E623),D623&lt;=RaporTarihi,E623&gt;RaporTarihi),A623,"")</f>
        <v/>
      </c>
    </row>
    <row r="624">
      <c r="A624" s="22" t="n"/>
      <c r="B624" s="22" t="n"/>
      <c r="C624" s="22" t="n"/>
      <c r="D624" s="23" t="n"/>
      <c r="E624" s="23" t="n"/>
      <c r="F624" s="22" t="n"/>
      <c r="G624" s="24" t="n"/>
      <c r="H624" s="22" t="n"/>
      <c r="I624" s="25">
        <f>IF(AND(ISNUMBER(D624),ISNUMBER(E624)),E624-D624,"")</f>
        <v/>
      </c>
      <c r="J624" s="26">
        <f>IF(AND(ISNUMBER(I624),ISNUMBER(G624)),IF(I624&gt;0,G624/I624,""),"")</f>
        <v/>
      </c>
      <c r="K624" s="25">
        <f>IF(COUNTA(A624:H624)=0,"",IF(OR(A624="",B624="",C624="",D624="",E624="",F624="",G624="",H624=""),"HATA: eksik bilgi",IF(COUNTIF(OdaListesi,A624)=0,"HATA: geçersiz oda no",IF(OR(NOT(ISNUMBER(D624)),NOT(ISNUMBER(E624))),"HATA: tarih geçersiz",IF(E624&lt;=D624,"HATA: çıkış girişten sonra olmalı",IF(OR(NOT(ISNUMBER(C624)),C624&lt;1,C624&gt;MaxKisi,C624&lt;&gt;INT(C624)),"HATA: kişi sayısı geçersiz",IF(OR(NOT(ISNUMBER(G624)),G624&lt;0),"HATA: tutar geçersiz",IF(B624&lt;&gt;TRIM(B624),"HATA: isimde baştaki/sondaki boşluk",IF(COUNTIF(KaynakAralik,H624)=0,"HATA: kaynak listede yok",IF(AND(F624&lt;&gt;"Bekleniyor",F624&lt;&gt;"Geldi",F624&lt;&gt;"İptal"),"HATA: giriş durumu geçersiz",IF(AND(F624&lt;&gt;"İptal",COUNTIFS($A$6:$A$1005,A624,$D$6:$D$1005,"&lt;"&amp;E624,$E$6:$E$1005,"&gt;"&amp;D624,$F$6:$F$1005,"&lt;&gt;İptal")&gt;1),"HATA: oda bu tarihlerde çakışıyor",IF(AND(F624="Bekleniyor",D624&lt;RaporTarihi),"HATA: giriş günü geçti, Geldi veya İptal yapın","OK"))))))))))))</f>
        <v/>
      </c>
      <c r="L624" s="25">
        <f>IF(AND(ISNUMBER(A624),F624&lt;&gt;"İptal",ISNUMBER(D624),ISNUMBER(E624),D624&lt;=RaporTarihi,E624&gt;RaporTarihi),A624,"")</f>
        <v/>
      </c>
    </row>
    <row r="625">
      <c r="A625" s="22" t="n"/>
      <c r="B625" s="22" t="n"/>
      <c r="C625" s="22" t="n"/>
      <c r="D625" s="23" t="n"/>
      <c r="E625" s="23" t="n"/>
      <c r="F625" s="22" t="n"/>
      <c r="G625" s="24" t="n"/>
      <c r="H625" s="22" t="n"/>
      <c r="I625" s="25">
        <f>IF(AND(ISNUMBER(D625),ISNUMBER(E625)),E625-D625,"")</f>
        <v/>
      </c>
      <c r="J625" s="26">
        <f>IF(AND(ISNUMBER(I625),ISNUMBER(G625)),IF(I625&gt;0,G625/I625,""),"")</f>
        <v/>
      </c>
      <c r="K625" s="25">
        <f>IF(COUNTA(A625:H625)=0,"",IF(OR(A625="",B625="",C625="",D625="",E625="",F625="",G625="",H625=""),"HATA: eksik bilgi",IF(COUNTIF(OdaListesi,A625)=0,"HATA: geçersiz oda no",IF(OR(NOT(ISNUMBER(D625)),NOT(ISNUMBER(E625))),"HATA: tarih geçersiz",IF(E625&lt;=D625,"HATA: çıkış girişten sonra olmalı",IF(OR(NOT(ISNUMBER(C625)),C625&lt;1,C625&gt;MaxKisi,C625&lt;&gt;INT(C625)),"HATA: kişi sayısı geçersiz",IF(OR(NOT(ISNUMBER(G625)),G625&lt;0),"HATA: tutar geçersiz",IF(B625&lt;&gt;TRIM(B625),"HATA: isimde baştaki/sondaki boşluk",IF(COUNTIF(KaynakAralik,H625)=0,"HATA: kaynak listede yok",IF(AND(F625&lt;&gt;"Bekleniyor",F625&lt;&gt;"Geldi",F625&lt;&gt;"İptal"),"HATA: giriş durumu geçersiz",IF(AND(F625&lt;&gt;"İptal",COUNTIFS($A$6:$A$1005,A625,$D$6:$D$1005,"&lt;"&amp;E625,$E$6:$E$1005,"&gt;"&amp;D625,$F$6:$F$1005,"&lt;&gt;İptal")&gt;1),"HATA: oda bu tarihlerde çakışıyor",IF(AND(F625="Bekleniyor",D625&lt;RaporTarihi),"HATA: giriş günü geçti, Geldi veya İptal yapın","OK"))))))))))))</f>
        <v/>
      </c>
      <c r="L625" s="25">
        <f>IF(AND(ISNUMBER(A625),F625&lt;&gt;"İptal",ISNUMBER(D625),ISNUMBER(E625),D625&lt;=RaporTarihi,E625&gt;RaporTarihi),A625,"")</f>
        <v/>
      </c>
    </row>
    <row r="626">
      <c r="A626" s="22" t="n"/>
      <c r="B626" s="22" t="n"/>
      <c r="C626" s="22" t="n"/>
      <c r="D626" s="23" t="n"/>
      <c r="E626" s="23" t="n"/>
      <c r="F626" s="22" t="n"/>
      <c r="G626" s="24" t="n"/>
      <c r="H626" s="22" t="n"/>
      <c r="I626" s="25">
        <f>IF(AND(ISNUMBER(D626),ISNUMBER(E626)),E626-D626,"")</f>
        <v/>
      </c>
      <c r="J626" s="26">
        <f>IF(AND(ISNUMBER(I626),ISNUMBER(G626)),IF(I626&gt;0,G626/I626,""),"")</f>
        <v/>
      </c>
      <c r="K626" s="25">
        <f>IF(COUNTA(A626:H626)=0,"",IF(OR(A626="",B626="",C626="",D626="",E626="",F626="",G626="",H626=""),"HATA: eksik bilgi",IF(COUNTIF(OdaListesi,A626)=0,"HATA: geçersiz oda no",IF(OR(NOT(ISNUMBER(D626)),NOT(ISNUMBER(E626))),"HATA: tarih geçersiz",IF(E626&lt;=D626,"HATA: çıkış girişten sonra olmalı",IF(OR(NOT(ISNUMBER(C626)),C626&lt;1,C626&gt;MaxKisi,C626&lt;&gt;INT(C626)),"HATA: kişi sayısı geçersiz",IF(OR(NOT(ISNUMBER(G626)),G626&lt;0),"HATA: tutar geçersiz",IF(B626&lt;&gt;TRIM(B626),"HATA: isimde baştaki/sondaki boşluk",IF(COUNTIF(KaynakAralik,H626)=0,"HATA: kaynak listede yok",IF(AND(F626&lt;&gt;"Bekleniyor",F626&lt;&gt;"Geldi",F626&lt;&gt;"İptal"),"HATA: giriş durumu geçersiz",IF(AND(F626&lt;&gt;"İptal",COUNTIFS($A$6:$A$1005,A626,$D$6:$D$1005,"&lt;"&amp;E626,$E$6:$E$1005,"&gt;"&amp;D626,$F$6:$F$1005,"&lt;&gt;İptal")&gt;1),"HATA: oda bu tarihlerde çakışıyor",IF(AND(F626="Bekleniyor",D626&lt;RaporTarihi),"HATA: giriş günü geçti, Geldi veya İptal yapın","OK"))))))))))))</f>
        <v/>
      </c>
      <c r="L626" s="25">
        <f>IF(AND(ISNUMBER(A626),F626&lt;&gt;"İptal",ISNUMBER(D626),ISNUMBER(E626),D626&lt;=RaporTarihi,E626&gt;RaporTarihi),A626,"")</f>
        <v/>
      </c>
    </row>
    <row r="627">
      <c r="A627" s="22" t="n"/>
      <c r="B627" s="22" t="n"/>
      <c r="C627" s="22" t="n"/>
      <c r="D627" s="23" t="n"/>
      <c r="E627" s="23" t="n"/>
      <c r="F627" s="22" t="n"/>
      <c r="G627" s="24" t="n"/>
      <c r="H627" s="22" t="n"/>
      <c r="I627" s="25">
        <f>IF(AND(ISNUMBER(D627),ISNUMBER(E627)),E627-D627,"")</f>
        <v/>
      </c>
      <c r="J627" s="26">
        <f>IF(AND(ISNUMBER(I627),ISNUMBER(G627)),IF(I627&gt;0,G627/I627,""),"")</f>
        <v/>
      </c>
      <c r="K627" s="25">
        <f>IF(COUNTA(A627:H627)=0,"",IF(OR(A627="",B627="",C627="",D627="",E627="",F627="",G627="",H627=""),"HATA: eksik bilgi",IF(COUNTIF(OdaListesi,A627)=0,"HATA: geçersiz oda no",IF(OR(NOT(ISNUMBER(D627)),NOT(ISNUMBER(E627))),"HATA: tarih geçersiz",IF(E627&lt;=D627,"HATA: çıkış girişten sonra olmalı",IF(OR(NOT(ISNUMBER(C627)),C627&lt;1,C627&gt;MaxKisi,C627&lt;&gt;INT(C627)),"HATA: kişi sayısı geçersiz",IF(OR(NOT(ISNUMBER(G627)),G627&lt;0),"HATA: tutar geçersiz",IF(B627&lt;&gt;TRIM(B627),"HATA: isimde baştaki/sondaki boşluk",IF(COUNTIF(KaynakAralik,H627)=0,"HATA: kaynak listede yok",IF(AND(F627&lt;&gt;"Bekleniyor",F627&lt;&gt;"Geldi",F627&lt;&gt;"İptal"),"HATA: giriş durumu geçersiz",IF(AND(F627&lt;&gt;"İptal",COUNTIFS($A$6:$A$1005,A627,$D$6:$D$1005,"&lt;"&amp;E627,$E$6:$E$1005,"&gt;"&amp;D627,$F$6:$F$1005,"&lt;&gt;İptal")&gt;1),"HATA: oda bu tarihlerde çakışıyor",IF(AND(F627="Bekleniyor",D627&lt;RaporTarihi),"HATA: giriş günü geçti, Geldi veya İptal yapın","OK"))))))))))))</f>
        <v/>
      </c>
      <c r="L627" s="25">
        <f>IF(AND(ISNUMBER(A627),F627&lt;&gt;"İptal",ISNUMBER(D627),ISNUMBER(E627),D627&lt;=RaporTarihi,E627&gt;RaporTarihi),A627,"")</f>
        <v/>
      </c>
    </row>
    <row r="628">
      <c r="A628" s="22" t="n"/>
      <c r="B628" s="22" t="n"/>
      <c r="C628" s="22" t="n"/>
      <c r="D628" s="23" t="n"/>
      <c r="E628" s="23" t="n"/>
      <c r="F628" s="22" t="n"/>
      <c r="G628" s="24" t="n"/>
      <c r="H628" s="22" t="n"/>
      <c r="I628" s="25">
        <f>IF(AND(ISNUMBER(D628),ISNUMBER(E628)),E628-D628,"")</f>
        <v/>
      </c>
      <c r="J628" s="26">
        <f>IF(AND(ISNUMBER(I628),ISNUMBER(G628)),IF(I628&gt;0,G628/I628,""),"")</f>
        <v/>
      </c>
      <c r="K628" s="25">
        <f>IF(COUNTA(A628:H628)=0,"",IF(OR(A628="",B628="",C628="",D628="",E628="",F628="",G628="",H628=""),"HATA: eksik bilgi",IF(COUNTIF(OdaListesi,A628)=0,"HATA: geçersiz oda no",IF(OR(NOT(ISNUMBER(D628)),NOT(ISNUMBER(E628))),"HATA: tarih geçersiz",IF(E628&lt;=D628,"HATA: çıkış girişten sonra olmalı",IF(OR(NOT(ISNUMBER(C628)),C628&lt;1,C628&gt;MaxKisi,C628&lt;&gt;INT(C628)),"HATA: kişi sayısı geçersiz",IF(OR(NOT(ISNUMBER(G628)),G628&lt;0),"HATA: tutar geçersiz",IF(B628&lt;&gt;TRIM(B628),"HATA: isimde baştaki/sondaki boşluk",IF(COUNTIF(KaynakAralik,H628)=0,"HATA: kaynak listede yok",IF(AND(F628&lt;&gt;"Bekleniyor",F628&lt;&gt;"Geldi",F628&lt;&gt;"İptal"),"HATA: giriş durumu geçersiz",IF(AND(F628&lt;&gt;"İptal",COUNTIFS($A$6:$A$1005,A628,$D$6:$D$1005,"&lt;"&amp;E628,$E$6:$E$1005,"&gt;"&amp;D628,$F$6:$F$1005,"&lt;&gt;İptal")&gt;1),"HATA: oda bu tarihlerde çakışıyor",IF(AND(F628="Bekleniyor",D628&lt;RaporTarihi),"HATA: giriş günü geçti, Geldi veya İptal yapın","OK"))))))))))))</f>
        <v/>
      </c>
      <c r="L628" s="25">
        <f>IF(AND(ISNUMBER(A628),F628&lt;&gt;"İptal",ISNUMBER(D628),ISNUMBER(E628),D628&lt;=RaporTarihi,E628&gt;RaporTarihi),A628,"")</f>
        <v/>
      </c>
    </row>
    <row r="629">
      <c r="A629" s="22" t="n"/>
      <c r="B629" s="22" t="n"/>
      <c r="C629" s="22" t="n"/>
      <c r="D629" s="23" t="n"/>
      <c r="E629" s="23" t="n"/>
      <c r="F629" s="22" t="n"/>
      <c r="G629" s="24" t="n"/>
      <c r="H629" s="22" t="n"/>
      <c r="I629" s="25">
        <f>IF(AND(ISNUMBER(D629),ISNUMBER(E629)),E629-D629,"")</f>
        <v/>
      </c>
      <c r="J629" s="26">
        <f>IF(AND(ISNUMBER(I629),ISNUMBER(G629)),IF(I629&gt;0,G629/I629,""),"")</f>
        <v/>
      </c>
      <c r="K629" s="25">
        <f>IF(COUNTA(A629:H629)=0,"",IF(OR(A629="",B629="",C629="",D629="",E629="",F629="",G629="",H629=""),"HATA: eksik bilgi",IF(COUNTIF(OdaListesi,A629)=0,"HATA: geçersiz oda no",IF(OR(NOT(ISNUMBER(D629)),NOT(ISNUMBER(E629))),"HATA: tarih geçersiz",IF(E629&lt;=D629,"HATA: çıkış girişten sonra olmalı",IF(OR(NOT(ISNUMBER(C629)),C629&lt;1,C629&gt;MaxKisi,C629&lt;&gt;INT(C629)),"HATA: kişi sayısı geçersiz",IF(OR(NOT(ISNUMBER(G629)),G629&lt;0),"HATA: tutar geçersiz",IF(B629&lt;&gt;TRIM(B629),"HATA: isimde baştaki/sondaki boşluk",IF(COUNTIF(KaynakAralik,H629)=0,"HATA: kaynak listede yok",IF(AND(F629&lt;&gt;"Bekleniyor",F629&lt;&gt;"Geldi",F629&lt;&gt;"İptal"),"HATA: giriş durumu geçersiz",IF(AND(F629&lt;&gt;"İptal",COUNTIFS($A$6:$A$1005,A629,$D$6:$D$1005,"&lt;"&amp;E629,$E$6:$E$1005,"&gt;"&amp;D629,$F$6:$F$1005,"&lt;&gt;İptal")&gt;1),"HATA: oda bu tarihlerde çakışıyor",IF(AND(F629="Bekleniyor",D629&lt;RaporTarihi),"HATA: giriş günü geçti, Geldi veya İptal yapın","OK"))))))))))))</f>
        <v/>
      </c>
      <c r="L629" s="25">
        <f>IF(AND(ISNUMBER(A629),F629&lt;&gt;"İptal",ISNUMBER(D629),ISNUMBER(E629),D629&lt;=RaporTarihi,E629&gt;RaporTarihi),A629,"")</f>
        <v/>
      </c>
    </row>
    <row r="630">
      <c r="A630" s="22" t="n"/>
      <c r="B630" s="22" t="n"/>
      <c r="C630" s="22" t="n"/>
      <c r="D630" s="23" t="n"/>
      <c r="E630" s="23" t="n"/>
      <c r="F630" s="22" t="n"/>
      <c r="G630" s="24" t="n"/>
      <c r="H630" s="22" t="n"/>
      <c r="I630" s="25">
        <f>IF(AND(ISNUMBER(D630),ISNUMBER(E630)),E630-D630,"")</f>
        <v/>
      </c>
      <c r="J630" s="26">
        <f>IF(AND(ISNUMBER(I630),ISNUMBER(G630)),IF(I630&gt;0,G630/I630,""),"")</f>
        <v/>
      </c>
      <c r="K630" s="25">
        <f>IF(COUNTA(A630:H630)=0,"",IF(OR(A630="",B630="",C630="",D630="",E630="",F630="",G630="",H630=""),"HATA: eksik bilgi",IF(COUNTIF(OdaListesi,A630)=0,"HATA: geçersiz oda no",IF(OR(NOT(ISNUMBER(D630)),NOT(ISNUMBER(E630))),"HATA: tarih geçersiz",IF(E630&lt;=D630,"HATA: çıkış girişten sonra olmalı",IF(OR(NOT(ISNUMBER(C630)),C630&lt;1,C630&gt;MaxKisi,C630&lt;&gt;INT(C630)),"HATA: kişi sayısı geçersiz",IF(OR(NOT(ISNUMBER(G630)),G630&lt;0),"HATA: tutar geçersiz",IF(B630&lt;&gt;TRIM(B630),"HATA: isimde baştaki/sondaki boşluk",IF(COUNTIF(KaynakAralik,H630)=0,"HATA: kaynak listede yok",IF(AND(F630&lt;&gt;"Bekleniyor",F630&lt;&gt;"Geldi",F630&lt;&gt;"İptal"),"HATA: giriş durumu geçersiz",IF(AND(F630&lt;&gt;"İptal",COUNTIFS($A$6:$A$1005,A630,$D$6:$D$1005,"&lt;"&amp;E630,$E$6:$E$1005,"&gt;"&amp;D630,$F$6:$F$1005,"&lt;&gt;İptal")&gt;1),"HATA: oda bu tarihlerde çakışıyor",IF(AND(F630="Bekleniyor",D630&lt;RaporTarihi),"HATA: giriş günü geçti, Geldi veya İptal yapın","OK"))))))))))))</f>
        <v/>
      </c>
      <c r="L630" s="25">
        <f>IF(AND(ISNUMBER(A630),F630&lt;&gt;"İptal",ISNUMBER(D630),ISNUMBER(E630),D630&lt;=RaporTarihi,E630&gt;RaporTarihi),A630,"")</f>
        <v/>
      </c>
    </row>
    <row r="631">
      <c r="A631" s="22" t="n"/>
      <c r="B631" s="22" t="n"/>
      <c r="C631" s="22" t="n"/>
      <c r="D631" s="23" t="n"/>
      <c r="E631" s="23" t="n"/>
      <c r="F631" s="22" t="n"/>
      <c r="G631" s="24" t="n"/>
      <c r="H631" s="22" t="n"/>
      <c r="I631" s="25">
        <f>IF(AND(ISNUMBER(D631),ISNUMBER(E631)),E631-D631,"")</f>
        <v/>
      </c>
      <c r="J631" s="26">
        <f>IF(AND(ISNUMBER(I631),ISNUMBER(G631)),IF(I631&gt;0,G631/I631,""),"")</f>
        <v/>
      </c>
      <c r="K631" s="25">
        <f>IF(COUNTA(A631:H631)=0,"",IF(OR(A631="",B631="",C631="",D631="",E631="",F631="",G631="",H631=""),"HATA: eksik bilgi",IF(COUNTIF(OdaListesi,A631)=0,"HATA: geçersiz oda no",IF(OR(NOT(ISNUMBER(D631)),NOT(ISNUMBER(E631))),"HATA: tarih geçersiz",IF(E631&lt;=D631,"HATA: çıkış girişten sonra olmalı",IF(OR(NOT(ISNUMBER(C631)),C631&lt;1,C631&gt;MaxKisi,C631&lt;&gt;INT(C631)),"HATA: kişi sayısı geçersiz",IF(OR(NOT(ISNUMBER(G631)),G631&lt;0),"HATA: tutar geçersiz",IF(B631&lt;&gt;TRIM(B631),"HATA: isimde baştaki/sondaki boşluk",IF(COUNTIF(KaynakAralik,H631)=0,"HATA: kaynak listede yok",IF(AND(F631&lt;&gt;"Bekleniyor",F631&lt;&gt;"Geldi",F631&lt;&gt;"İptal"),"HATA: giriş durumu geçersiz",IF(AND(F631&lt;&gt;"İptal",COUNTIFS($A$6:$A$1005,A631,$D$6:$D$1005,"&lt;"&amp;E631,$E$6:$E$1005,"&gt;"&amp;D631,$F$6:$F$1005,"&lt;&gt;İptal")&gt;1),"HATA: oda bu tarihlerde çakışıyor",IF(AND(F631="Bekleniyor",D631&lt;RaporTarihi),"HATA: giriş günü geçti, Geldi veya İptal yapın","OK"))))))))))))</f>
        <v/>
      </c>
      <c r="L631" s="25">
        <f>IF(AND(ISNUMBER(A631),F631&lt;&gt;"İptal",ISNUMBER(D631),ISNUMBER(E631),D631&lt;=RaporTarihi,E631&gt;RaporTarihi),A631,"")</f>
        <v/>
      </c>
    </row>
    <row r="632">
      <c r="A632" s="22" t="n"/>
      <c r="B632" s="22" t="n"/>
      <c r="C632" s="22" t="n"/>
      <c r="D632" s="23" t="n"/>
      <c r="E632" s="23" t="n"/>
      <c r="F632" s="22" t="n"/>
      <c r="G632" s="24" t="n"/>
      <c r="H632" s="22" t="n"/>
      <c r="I632" s="25">
        <f>IF(AND(ISNUMBER(D632),ISNUMBER(E632)),E632-D632,"")</f>
        <v/>
      </c>
      <c r="J632" s="26">
        <f>IF(AND(ISNUMBER(I632),ISNUMBER(G632)),IF(I632&gt;0,G632/I632,""),"")</f>
        <v/>
      </c>
      <c r="K632" s="25">
        <f>IF(COUNTA(A632:H632)=0,"",IF(OR(A632="",B632="",C632="",D632="",E632="",F632="",G632="",H632=""),"HATA: eksik bilgi",IF(COUNTIF(OdaListesi,A632)=0,"HATA: geçersiz oda no",IF(OR(NOT(ISNUMBER(D632)),NOT(ISNUMBER(E632))),"HATA: tarih geçersiz",IF(E632&lt;=D632,"HATA: çıkış girişten sonra olmalı",IF(OR(NOT(ISNUMBER(C632)),C632&lt;1,C632&gt;MaxKisi,C632&lt;&gt;INT(C632)),"HATA: kişi sayısı geçersiz",IF(OR(NOT(ISNUMBER(G632)),G632&lt;0),"HATA: tutar geçersiz",IF(B632&lt;&gt;TRIM(B632),"HATA: isimde baştaki/sondaki boşluk",IF(COUNTIF(KaynakAralik,H632)=0,"HATA: kaynak listede yok",IF(AND(F632&lt;&gt;"Bekleniyor",F632&lt;&gt;"Geldi",F632&lt;&gt;"İptal"),"HATA: giriş durumu geçersiz",IF(AND(F632&lt;&gt;"İptal",COUNTIFS($A$6:$A$1005,A632,$D$6:$D$1005,"&lt;"&amp;E632,$E$6:$E$1005,"&gt;"&amp;D632,$F$6:$F$1005,"&lt;&gt;İptal")&gt;1),"HATA: oda bu tarihlerde çakışıyor",IF(AND(F632="Bekleniyor",D632&lt;RaporTarihi),"HATA: giriş günü geçti, Geldi veya İptal yapın","OK"))))))))))))</f>
        <v/>
      </c>
      <c r="L632" s="25">
        <f>IF(AND(ISNUMBER(A632),F632&lt;&gt;"İptal",ISNUMBER(D632),ISNUMBER(E632),D632&lt;=RaporTarihi,E632&gt;RaporTarihi),A632,"")</f>
        <v/>
      </c>
    </row>
    <row r="633">
      <c r="A633" s="22" t="n"/>
      <c r="B633" s="22" t="n"/>
      <c r="C633" s="22" t="n"/>
      <c r="D633" s="23" t="n"/>
      <c r="E633" s="23" t="n"/>
      <c r="F633" s="22" t="n"/>
      <c r="G633" s="24" t="n"/>
      <c r="H633" s="22" t="n"/>
      <c r="I633" s="25">
        <f>IF(AND(ISNUMBER(D633),ISNUMBER(E633)),E633-D633,"")</f>
        <v/>
      </c>
      <c r="J633" s="26">
        <f>IF(AND(ISNUMBER(I633),ISNUMBER(G633)),IF(I633&gt;0,G633/I633,""),"")</f>
        <v/>
      </c>
      <c r="K633" s="25">
        <f>IF(COUNTA(A633:H633)=0,"",IF(OR(A633="",B633="",C633="",D633="",E633="",F633="",G633="",H633=""),"HATA: eksik bilgi",IF(COUNTIF(OdaListesi,A633)=0,"HATA: geçersiz oda no",IF(OR(NOT(ISNUMBER(D633)),NOT(ISNUMBER(E633))),"HATA: tarih geçersiz",IF(E633&lt;=D633,"HATA: çıkış girişten sonra olmalı",IF(OR(NOT(ISNUMBER(C633)),C633&lt;1,C633&gt;MaxKisi,C633&lt;&gt;INT(C633)),"HATA: kişi sayısı geçersiz",IF(OR(NOT(ISNUMBER(G633)),G633&lt;0),"HATA: tutar geçersiz",IF(B633&lt;&gt;TRIM(B633),"HATA: isimde baştaki/sondaki boşluk",IF(COUNTIF(KaynakAralik,H633)=0,"HATA: kaynak listede yok",IF(AND(F633&lt;&gt;"Bekleniyor",F633&lt;&gt;"Geldi",F633&lt;&gt;"İptal"),"HATA: giriş durumu geçersiz",IF(AND(F633&lt;&gt;"İptal",COUNTIFS($A$6:$A$1005,A633,$D$6:$D$1005,"&lt;"&amp;E633,$E$6:$E$1005,"&gt;"&amp;D633,$F$6:$F$1005,"&lt;&gt;İptal")&gt;1),"HATA: oda bu tarihlerde çakışıyor",IF(AND(F633="Bekleniyor",D633&lt;RaporTarihi),"HATA: giriş günü geçti, Geldi veya İptal yapın","OK"))))))))))))</f>
        <v/>
      </c>
      <c r="L633" s="25">
        <f>IF(AND(ISNUMBER(A633),F633&lt;&gt;"İptal",ISNUMBER(D633),ISNUMBER(E633),D633&lt;=RaporTarihi,E633&gt;RaporTarihi),A633,"")</f>
        <v/>
      </c>
    </row>
    <row r="634">
      <c r="A634" s="22" t="n"/>
      <c r="B634" s="22" t="n"/>
      <c r="C634" s="22" t="n"/>
      <c r="D634" s="23" t="n"/>
      <c r="E634" s="23" t="n"/>
      <c r="F634" s="22" t="n"/>
      <c r="G634" s="24" t="n"/>
      <c r="H634" s="22" t="n"/>
      <c r="I634" s="25">
        <f>IF(AND(ISNUMBER(D634),ISNUMBER(E634)),E634-D634,"")</f>
        <v/>
      </c>
      <c r="J634" s="26">
        <f>IF(AND(ISNUMBER(I634),ISNUMBER(G634)),IF(I634&gt;0,G634/I634,""),"")</f>
        <v/>
      </c>
      <c r="K634" s="25">
        <f>IF(COUNTA(A634:H634)=0,"",IF(OR(A634="",B634="",C634="",D634="",E634="",F634="",G634="",H634=""),"HATA: eksik bilgi",IF(COUNTIF(OdaListesi,A634)=0,"HATA: geçersiz oda no",IF(OR(NOT(ISNUMBER(D634)),NOT(ISNUMBER(E634))),"HATA: tarih geçersiz",IF(E634&lt;=D634,"HATA: çıkış girişten sonra olmalı",IF(OR(NOT(ISNUMBER(C634)),C634&lt;1,C634&gt;MaxKisi,C634&lt;&gt;INT(C634)),"HATA: kişi sayısı geçersiz",IF(OR(NOT(ISNUMBER(G634)),G634&lt;0),"HATA: tutar geçersiz",IF(B634&lt;&gt;TRIM(B634),"HATA: isimde baştaki/sondaki boşluk",IF(COUNTIF(KaynakAralik,H634)=0,"HATA: kaynak listede yok",IF(AND(F634&lt;&gt;"Bekleniyor",F634&lt;&gt;"Geldi",F634&lt;&gt;"İptal"),"HATA: giriş durumu geçersiz",IF(AND(F634&lt;&gt;"İptal",COUNTIFS($A$6:$A$1005,A634,$D$6:$D$1005,"&lt;"&amp;E634,$E$6:$E$1005,"&gt;"&amp;D634,$F$6:$F$1005,"&lt;&gt;İptal")&gt;1),"HATA: oda bu tarihlerde çakışıyor",IF(AND(F634="Bekleniyor",D634&lt;RaporTarihi),"HATA: giriş günü geçti, Geldi veya İptal yapın","OK"))))))))))))</f>
        <v/>
      </c>
      <c r="L634" s="25">
        <f>IF(AND(ISNUMBER(A634),F634&lt;&gt;"İptal",ISNUMBER(D634),ISNUMBER(E634),D634&lt;=RaporTarihi,E634&gt;RaporTarihi),A634,"")</f>
        <v/>
      </c>
    </row>
    <row r="635">
      <c r="A635" s="22" t="n"/>
      <c r="B635" s="22" t="n"/>
      <c r="C635" s="22" t="n"/>
      <c r="D635" s="23" t="n"/>
      <c r="E635" s="23" t="n"/>
      <c r="F635" s="22" t="n"/>
      <c r="G635" s="24" t="n"/>
      <c r="H635" s="22" t="n"/>
      <c r="I635" s="25">
        <f>IF(AND(ISNUMBER(D635),ISNUMBER(E635)),E635-D635,"")</f>
        <v/>
      </c>
      <c r="J635" s="26">
        <f>IF(AND(ISNUMBER(I635),ISNUMBER(G635)),IF(I635&gt;0,G635/I635,""),"")</f>
        <v/>
      </c>
      <c r="K635" s="25">
        <f>IF(COUNTA(A635:H635)=0,"",IF(OR(A635="",B635="",C635="",D635="",E635="",F635="",G635="",H635=""),"HATA: eksik bilgi",IF(COUNTIF(OdaListesi,A635)=0,"HATA: geçersiz oda no",IF(OR(NOT(ISNUMBER(D635)),NOT(ISNUMBER(E635))),"HATA: tarih geçersiz",IF(E635&lt;=D635,"HATA: çıkış girişten sonra olmalı",IF(OR(NOT(ISNUMBER(C635)),C635&lt;1,C635&gt;MaxKisi,C635&lt;&gt;INT(C635)),"HATA: kişi sayısı geçersiz",IF(OR(NOT(ISNUMBER(G635)),G635&lt;0),"HATA: tutar geçersiz",IF(B635&lt;&gt;TRIM(B635),"HATA: isimde baştaki/sondaki boşluk",IF(COUNTIF(KaynakAralik,H635)=0,"HATA: kaynak listede yok",IF(AND(F635&lt;&gt;"Bekleniyor",F635&lt;&gt;"Geldi",F635&lt;&gt;"İptal"),"HATA: giriş durumu geçersiz",IF(AND(F635&lt;&gt;"İptal",COUNTIFS($A$6:$A$1005,A635,$D$6:$D$1005,"&lt;"&amp;E635,$E$6:$E$1005,"&gt;"&amp;D635,$F$6:$F$1005,"&lt;&gt;İptal")&gt;1),"HATA: oda bu tarihlerde çakışıyor",IF(AND(F635="Bekleniyor",D635&lt;RaporTarihi),"HATA: giriş günü geçti, Geldi veya İptal yapın","OK"))))))))))))</f>
        <v/>
      </c>
      <c r="L635" s="25">
        <f>IF(AND(ISNUMBER(A635),F635&lt;&gt;"İptal",ISNUMBER(D635),ISNUMBER(E635),D635&lt;=RaporTarihi,E635&gt;RaporTarihi),A635,"")</f>
        <v/>
      </c>
    </row>
    <row r="636">
      <c r="A636" s="22" t="n"/>
      <c r="B636" s="22" t="n"/>
      <c r="C636" s="22" t="n"/>
      <c r="D636" s="23" t="n"/>
      <c r="E636" s="23" t="n"/>
      <c r="F636" s="22" t="n"/>
      <c r="G636" s="24" t="n"/>
      <c r="H636" s="22" t="n"/>
      <c r="I636" s="25">
        <f>IF(AND(ISNUMBER(D636),ISNUMBER(E636)),E636-D636,"")</f>
        <v/>
      </c>
      <c r="J636" s="26">
        <f>IF(AND(ISNUMBER(I636),ISNUMBER(G636)),IF(I636&gt;0,G636/I636,""),"")</f>
        <v/>
      </c>
      <c r="K636" s="25">
        <f>IF(COUNTA(A636:H636)=0,"",IF(OR(A636="",B636="",C636="",D636="",E636="",F636="",G636="",H636=""),"HATA: eksik bilgi",IF(COUNTIF(OdaListesi,A636)=0,"HATA: geçersiz oda no",IF(OR(NOT(ISNUMBER(D636)),NOT(ISNUMBER(E636))),"HATA: tarih geçersiz",IF(E636&lt;=D636,"HATA: çıkış girişten sonra olmalı",IF(OR(NOT(ISNUMBER(C636)),C636&lt;1,C636&gt;MaxKisi,C636&lt;&gt;INT(C636)),"HATA: kişi sayısı geçersiz",IF(OR(NOT(ISNUMBER(G636)),G636&lt;0),"HATA: tutar geçersiz",IF(B636&lt;&gt;TRIM(B636),"HATA: isimde baştaki/sondaki boşluk",IF(COUNTIF(KaynakAralik,H636)=0,"HATA: kaynak listede yok",IF(AND(F636&lt;&gt;"Bekleniyor",F636&lt;&gt;"Geldi",F636&lt;&gt;"İptal"),"HATA: giriş durumu geçersiz",IF(AND(F636&lt;&gt;"İptal",COUNTIFS($A$6:$A$1005,A636,$D$6:$D$1005,"&lt;"&amp;E636,$E$6:$E$1005,"&gt;"&amp;D636,$F$6:$F$1005,"&lt;&gt;İptal")&gt;1),"HATA: oda bu tarihlerde çakışıyor",IF(AND(F636="Bekleniyor",D636&lt;RaporTarihi),"HATA: giriş günü geçti, Geldi veya İptal yapın","OK"))))))))))))</f>
        <v/>
      </c>
      <c r="L636" s="25">
        <f>IF(AND(ISNUMBER(A636),F636&lt;&gt;"İptal",ISNUMBER(D636),ISNUMBER(E636),D636&lt;=RaporTarihi,E636&gt;RaporTarihi),A636,"")</f>
        <v/>
      </c>
    </row>
    <row r="637">
      <c r="A637" s="22" t="n"/>
      <c r="B637" s="22" t="n"/>
      <c r="C637" s="22" t="n"/>
      <c r="D637" s="23" t="n"/>
      <c r="E637" s="23" t="n"/>
      <c r="F637" s="22" t="n"/>
      <c r="G637" s="24" t="n"/>
      <c r="H637" s="22" t="n"/>
      <c r="I637" s="25">
        <f>IF(AND(ISNUMBER(D637),ISNUMBER(E637)),E637-D637,"")</f>
        <v/>
      </c>
      <c r="J637" s="26">
        <f>IF(AND(ISNUMBER(I637),ISNUMBER(G637)),IF(I637&gt;0,G637/I637,""),"")</f>
        <v/>
      </c>
      <c r="K637" s="25">
        <f>IF(COUNTA(A637:H637)=0,"",IF(OR(A637="",B637="",C637="",D637="",E637="",F637="",G637="",H637=""),"HATA: eksik bilgi",IF(COUNTIF(OdaListesi,A637)=0,"HATA: geçersiz oda no",IF(OR(NOT(ISNUMBER(D637)),NOT(ISNUMBER(E637))),"HATA: tarih geçersiz",IF(E637&lt;=D637,"HATA: çıkış girişten sonra olmalı",IF(OR(NOT(ISNUMBER(C637)),C637&lt;1,C637&gt;MaxKisi,C637&lt;&gt;INT(C637)),"HATA: kişi sayısı geçersiz",IF(OR(NOT(ISNUMBER(G637)),G637&lt;0),"HATA: tutar geçersiz",IF(B637&lt;&gt;TRIM(B637),"HATA: isimde baştaki/sondaki boşluk",IF(COUNTIF(KaynakAralik,H637)=0,"HATA: kaynak listede yok",IF(AND(F637&lt;&gt;"Bekleniyor",F637&lt;&gt;"Geldi",F637&lt;&gt;"İptal"),"HATA: giriş durumu geçersiz",IF(AND(F637&lt;&gt;"İptal",COUNTIFS($A$6:$A$1005,A637,$D$6:$D$1005,"&lt;"&amp;E637,$E$6:$E$1005,"&gt;"&amp;D637,$F$6:$F$1005,"&lt;&gt;İptal")&gt;1),"HATA: oda bu tarihlerde çakışıyor",IF(AND(F637="Bekleniyor",D637&lt;RaporTarihi),"HATA: giriş günü geçti, Geldi veya İptal yapın","OK"))))))))))))</f>
        <v/>
      </c>
      <c r="L637" s="25">
        <f>IF(AND(ISNUMBER(A637),F637&lt;&gt;"İptal",ISNUMBER(D637),ISNUMBER(E637),D637&lt;=RaporTarihi,E637&gt;RaporTarihi),A637,"")</f>
        <v/>
      </c>
    </row>
    <row r="638">
      <c r="A638" s="22" t="n"/>
      <c r="B638" s="22" t="n"/>
      <c r="C638" s="22" t="n"/>
      <c r="D638" s="23" t="n"/>
      <c r="E638" s="23" t="n"/>
      <c r="F638" s="22" t="n"/>
      <c r="G638" s="24" t="n"/>
      <c r="H638" s="22" t="n"/>
      <c r="I638" s="25">
        <f>IF(AND(ISNUMBER(D638),ISNUMBER(E638)),E638-D638,"")</f>
        <v/>
      </c>
      <c r="J638" s="26">
        <f>IF(AND(ISNUMBER(I638),ISNUMBER(G638)),IF(I638&gt;0,G638/I638,""),"")</f>
        <v/>
      </c>
      <c r="K638" s="25">
        <f>IF(COUNTA(A638:H638)=0,"",IF(OR(A638="",B638="",C638="",D638="",E638="",F638="",G638="",H638=""),"HATA: eksik bilgi",IF(COUNTIF(OdaListesi,A638)=0,"HATA: geçersiz oda no",IF(OR(NOT(ISNUMBER(D638)),NOT(ISNUMBER(E638))),"HATA: tarih geçersiz",IF(E638&lt;=D638,"HATA: çıkış girişten sonra olmalı",IF(OR(NOT(ISNUMBER(C638)),C638&lt;1,C638&gt;MaxKisi,C638&lt;&gt;INT(C638)),"HATA: kişi sayısı geçersiz",IF(OR(NOT(ISNUMBER(G638)),G638&lt;0),"HATA: tutar geçersiz",IF(B638&lt;&gt;TRIM(B638),"HATA: isimde baştaki/sondaki boşluk",IF(COUNTIF(KaynakAralik,H638)=0,"HATA: kaynak listede yok",IF(AND(F638&lt;&gt;"Bekleniyor",F638&lt;&gt;"Geldi",F638&lt;&gt;"İptal"),"HATA: giriş durumu geçersiz",IF(AND(F638&lt;&gt;"İptal",COUNTIFS($A$6:$A$1005,A638,$D$6:$D$1005,"&lt;"&amp;E638,$E$6:$E$1005,"&gt;"&amp;D638,$F$6:$F$1005,"&lt;&gt;İptal")&gt;1),"HATA: oda bu tarihlerde çakışıyor",IF(AND(F638="Bekleniyor",D638&lt;RaporTarihi),"HATA: giriş günü geçti, Geldi veya İptal yapın","OK"))))))))))))</f>
        <v/>
      </c>
      <c r="L638" s="25">
        <f>IF(AND(ISNUMBER(A638),F638&lt;&gt;"İptal",ISNUMBER(D638),ISNUMBER(E638),D638&lt;=RaporTarihi,E638&gt;RaporTarihi),A638,"")</f>
        <v/>
      </c>
    </row>
    <row r="639">
      <c r="A639" s="22" t="n"/>
      <c r="B639" s="22" t="n"/>
      <c r="C639" s="22" t="n"/>
      <c r="D639" s="23" t="n"/>
      <c r="E639" s="23" t="n"/>
      <c r="F639" s="22" t="n"/>
      <c r="G639" s="24" t="n"/>
      <c r="H639" s="22" t="n"/>
      <c r="I639" s="25">
        <f>IF(AND(ISNUMBER(D639),ISNUMBER(E639)),E639-D639,"")</f>
        <v/>
      </c>
      <c r="J639" s="26">
        <f>IF(AND(ISNUMBER(I639),ISNUMBER(G639)),IF(I639&gt;0,G639/I639,""),"")</f>
        <v/>
      </c>
      <c r="K639" s="25">
        <f>IF(COUNTA(A639:H639)=0,"",IF(OR(A639="",B639="",C639="",D639="",E639="",F639="",G639="",H639=""),"HATA: eksik bilgi",IF(COUNTIF(OdaListesi,A639)=0,"HATA: geçersiz oda no",IF(OR(NOT(ISNUMBER(D639)),NOT(ISNUMBER(E639))),"HATA: tarih geçersiz",IF(E639&lt;=D639,"HATA: çıkış girişten sonra olmalı",IF(OR(NOT(ISNUMBER(C639)),C639&lt;1,C639&gt;MaxKisi,C639&lt;&gt;INT(C639)),"HATA: kişi sayısı geçersiz",IF(OR(NOT(ISNUMBER(G639)),G639&lt;0),"HATA: tutar geçersiz",IF(B639&lt;&gt;TRIM(B639),"HATA: isimde baştaki/sondaki boşluk",IF(COUNTIF(KaynakAralik,H639)=0,"HATA: kaynak listede yok",IF(AND(F639&lt;&gt;"Bekleniyor",F639&lt;&gt;"Geldi",F639&lt;&gt;"İptal"),"HATA: giriş durumu geçersiz",IF(AND(F639&lt;&gt;"İptal",COUNTIFS($A$6:$A$1005,A639,$D$6:$D$1005,"&lt;"&amp;E639,$E$6:$E$1005,"&gt;"&amp;D639,$F$6:$F$1005,"&lt;&gt;İptal")&gt;1),"HATA: oda bu tarihlerde çakışıyor",IF(AND(F639="Bekleniyor",D639&lt;RaporTarihi),"HATA: giriş günü geçti, Geldi veya İptal yapın","OK"))))))))))))</f>
        <v/>
      </c>
      <c r="L639" s="25">
        <f>IF(AND(ISNUMBER(A639),F639&lt;&gt;"İptal",ISNUMBER(D639),ISNUMBER(E639),D639&lt;=RaporTarihi,E639&gt;RaporTarihi),A639,"")</f>
        <v/>
      </c>
    </row>
    <row r="640">
      <c r="A640" s="22" t="n"/>
      <c r="B640" s="22" t="n"/>
      <c r="C640" s="22" t="n"/>
      <c r="D640" s="23" t="n"/>
      <c r="E640" s="23" t="n"/>
      <c r="F640" s="22" t="n"/>
      <c r="G640" s="24" t="n"/>
      <c r="H640" s="22" t="n"/>
      <c r="I640" s="25">
        <f>IF(AND(ISNUMBER(D640),ISNUMBER(E640)),E640-D640,"")</f>
        <v/>
      </c>
      <c r="J640" s="26">
        <f>IF(AND(ISNUMBER(I640),ISNUMBER(G640)),IF(I640&gt;0,G640/I640,""),"")</f>
        <v/>
      </c>
      <c r="K640" s="25">
        <f>IF(COUNTA(A640:H640)=0,"",IF(OR(A640="",B640="",C640="",D640="",E640="",F640="",G640="",H640=""),"HATA: eksik bilgi",IF(COUNTIF(OdaListesi,A640)=0,"HATA: geçersiz oda no",IF(OR(NOT(ISNUMBER(D640)),NOT(ISNUMBER(E640))),"HATA: tarih geçersiz",IF(E640&lt;=D640,"HATA: çıkış girişten sonra olmalı",IF(OR(NOT(ISNUMBER(C640)),C640&lt;1,C640&gt;MaxKisi,C640&lt;&gt;INT(C640)),"HATA: kişi sayısı geçersiz",IF(OR(NOT(ISNUMBER(G640)),G640&lt;0),"HATA: tutar geçersiz",IF(B640&lt;&gt;TRIM(B640),"HATA: isimde baştaki/sondaki boşluk",IF(COUNTIF(KaynakAralik,H640)=0,"HATA: kaynak listede yok",IF(AND(F640&lt;&gt;"Bekleniyor",F640&lt;&gt;"Geldi",F640&lt;&gt;"İptal"),"HATA: giriş durumu geçersiz",IF(AND(F640&lt;&gt;"İptal",COUNTIFS($A$6:$A$1005,A640,$D$6:$D$1005,"&lt;"&amp;E640,$E$6:$E$1005,"&gt;"&amp;D640,$F$6:$F$1005,"&lt;&gt;İptal")&gt;1),"HATA: oda bu tarihlerde çakışıyor",IF(AND(F640="Bekleniyor",D640&lt;RaporTarihi),"HATA: giriş günü geçti, Geldi veya İptal yapın","OK"))))))))))))</f>
        <v/>
      </c>
      <c r="L640" s="25">
        <f>IF(AND(ISNUMBER(A640),F640&lt;&gt;"İptal",ISNUMBER(D640),ISNUMBER(E640),D640&lt;=RaporTarihi,E640&gt;RaporTarihi),A640,"")</f>
        <v/>
      </c>
    </row>
    <row r="641">
      <c r="A641" s="22" t="n"/>
      <c r="B641" s="22" t="n"/>
      <c r="C641" s="22" t="n"/>
      <c r="D641" s="23" t="n"/>
      <c r="E641" s="23" t="n"/>
      <c r="F641" s="22" t="n"/>
      <c r="G641" s="24" t="n"/>
      <c r="H641" s="22" t="n"/>
      <c r="I641" s="25">
        <f>IF(AND(ISNUMBER(D641),ISNUMBER(E641)),E641-D641,"")</f>
        <v/>
      </c>
      <c r="J641" s="26">
        <f>IF(AND(ISNUMBER(I641),ISNUMBER(G641)),IF(I641&gt;0,G641/I641,""),"")</f>
        <v/>
      </c>
      <c r="K641" s="25">
        <f>IF(COUNTA(A641:H641)=0,"",IF(OR(A641="",B641="",C641="",D641="",E641="",F641="",G641="",H641=""),"HATA: eksik bilgi",IF(COUNTIF(OdaListesi,A641)=0,"HATA: geçersiz oda no",IF(OR(NOT(ISNUMBER(D641)),NOT(ISNUMBER(E641))),"HATA: tarih geçersiz",IF(E641&lt;=D641,"HATA: çıkış girişten sonra olmalı",IF(OR(NOT(ISNUMBER(C641)),C641&lt;1,C641&gt;MaxKisi,C641&lt;&gt;INT(C641)),"HATA: kişi sayısı geçersiz",IF(OR(NOT(ISNUMBER(G641)),G641&lt;0),"HATA: tutar geçersiz",IF(B641&lt;&gt;TRIM(B641),"HATA: isimde baştaki/sondaki boşluk",IF(COUNTIF(KaynakAralik,H641)=0,"HATA: kaynak listede yok",IF(AND(F641&lt;&gt;"Bekleniyor",F641&lt;&gt;"Geldi",F641&lt;&gt;"İptal"),"HATA: giriş durumu geçersiz",IF(AND(F641&lt;&gt;"İptal",COUNTIFS($A$6:$A$1005,A641,$D$6:$D$1005,"&lt;"&amp;E641,$E$6:$E$1005,"&gt;"&amp;D641,$F$6:$F$1005,"&lt;&gt;İptal")&gt;1),"HATA: oda bu tarihlerde çakışıyor",IF(AND(F641="Bekleniyor",D641&lt;RaporTarihi),"HATA: giriş günü geçti, Geldi veya İptal yapın","OK"))))))))))))</f>
        <v/>
      </c>
      <c r="L641" s="25">
        <f>IF(AND(ISNUMBER(A641),F641&lt;&gt;"İptal",ISNUMBER(D641),ISNUMBER(E641),D641&lt;=RaporTarihi,E641&gt;RaporTarihi),A641,"")</f>
        <v/>
      </c>
    </row>
    <row r="642">
      <c r="A642" s="22" t="n"/>
      <c r="B642" s="22" t="n"/>
      <c r="C642" s="22" t="n"/>
      <c r="D642" s="23" t="n"/>
      <c r="E642" s="23" t="n"/>
      <c r="F642" s="22" t="n"/>
      <c r="G642" s="24" t="n"/>
      <c r="H642" s="22" t="n"/>
      <c r="I642" s="25">
        <f>IF(AND(ISNUMBER(D642),ISNUMBER(E642)),E642-D642,"")</f>
        <v/>
      </c>
      <c r="J642" s="26">
        <f>IF(AND(ISNUMBER(I642),ISNUMBER(G642)),IF(I642&gt;0,G642/I642,""),"")</f>
        <v/>
      </c>
      <c r="K642" s="25">
        <f>IF(COUNTA(A642:H642)=0,"",IF(OR(A642="",B642="",C642="",D642="",E642="",F642="",G642="",H642=""),"HATA: eksik bilgi",IF(COUNTIF(OdaListesi,A642)=0,"HATA: geçersiz oda no",IF(OR(NOT(ISNUMBER(D642)),NOT(ISNUMBER(E642))),"HATA: tarih geçersiz",IF(E642&lt;=D642,"HATA: çıkış girişten sonra olmalı",IF(OR(NOT(ISNUMBER(C642)),C642&lt;1,C642&gt;MaxKisi,C642&lt;&gt;INT(C642)),"HATA: kişi sayısı geçersiz",IF(OR(NOT(ISNUMBER(G642)),G642&lt;0),"HATA: tutar geçersiz",IF(B642&lt;&gt;TRIM(B642),"HATA: isimde baştaki/sondaki boşluk",IF(COUNTIF(KaynakAralik,H642)=0,"HATA: kaynak listede yok",IF(AND(F642&lt;&gt;"Bekleniyor",F642&lt;&gt;"Geldi",F642&lt;&gt;"İptal"),"HATA: giriş durumu geçersiz",IF(AND(F642&lt;&gt;"İptal",COUNTIFS($A$6:$A$1005,A642,$D$6:$D$1005,"&lt;"&amp;E642,$E$6:$E$1005,"&gt;"&amp;D642,$F$6:$F$1005,"&lt;&gt;İptal")&gt;1),"HATA: oda bu tarihlerde çakışıyor",IF(AND(F642="Bekleniyor",D642&lt;RaporTarihi),"HATA: giriş günü geçti, Geldi veya İptal yapın","OK"))))))))))))</f>
        <v/>
      </c>
      <c r="L642" s="25">
        <f>IF(AND(ISNUMBER(A642),F642&lt;&gt;"İptal",ISNUMBER(D642),ISNUMBER(E642),D642&lt;=RaporTarihi,E642&gt;RaporTarihi),A642,"")</f>
        <v/>
      </c>
    </row>
    <row r="643">
      <c r="A643" s="22" t="n"/>
      <c r="B643" s="22" t="n"/>
      <c r="C643" s="22" t="n"/>
      <c r="D643" s="23" t="n"/>
      <c r="E643" s="23" t="n"/>
      <c r="F643" s="22" t="n"/>
      <c r="G643" s="24" t="n"/>
      <c r="H643" s="22" t="n"/>
      <c r="I643" s="25">
        <f>IF(AND(ISNUMBER(D643),ISNUMBER(E643)),E643-D643,"")</f>
        <v/>
      </c>
      <c r="J643" s="26">
        <f>IF(AND(ISNUMBER(I643),ISNUMBER(G643)),IF(I643&gt;0,G643/I643,""),"")</f>
        <v/>
      </c>
      <c r="K643" s="25">
        <f>IF(COUNTA(A643:H643)=0,"",IF(OR(A643="",B643="",C643="",D643="",E643="",F643="",G643="",H643=""),"HATA: eksik bilgi",IF(COUNTIF(OdaListesi,A643)=0,"HATA: geçersiz oda no",IF(OR(NOT(ISNUMBER(D643)),NOT(ISNUMBER(E643))),"HATA: tarih geçersiz",IF(E643&lt;=D643,"HATA: çıkış girişten sonra olmalı",IF(OR(NOT(ISNUMBER(C643)),C643&lt;1,C643&gt;MaxKisi,C643&lt;&gt;INT(C643)),"HATA: kişi sayısı geçersiz",IF(OR(NOT(ISNUMBER(G643)),G643&lt;0),"HATA: tutar geçersiz",IF(B643&lt;&gt;TRIM(B643),"HATA: isimde baştaki/sondaki boşluk",IF(COUNTIF(KaynakAralik,H643)=0,"HATA: kaynak listede yok",IF(AND(F643&lt;&gt;"Bekleniyor",F643&lt;&gt;"Geldi",F643&lt;&gt;"İptal"),"HATA: giriş durumu geçersiz",IF(AND(F643&lt;&gt;"İptal",COUNTIFS($A$6:$A$1005,A643,$D$6:$D$1005,"&lt;"&amp;E643,$E$6:$E$1005,"&gt;"&amp;D643,$F$6:$F$1005,"&lt;&gt;İptal")&gt;1),"HATA: oda bu tarihlerde çakışıyor",IF(AND(F643="Bekleniyor",D643&lt;RaporTarihi),"HATA: giriş günü geçti, Geldi veya İptal yapın","OK"))))))))))))</f>
        <v/>
      </c>
      <c r="L643" s="25">
        <f>IF(AND(ISNUMBER(A643),F643&lt;&gt;"İptal",ISNUMBER(D643),ISNUMBER(E643),D643&lt;=RaporTarihi,E643&gt;RaporTarihi),A643,"")</f>
        <v/>
      </c>
    </row>
    <row r="644">
      <c r="A644" s="22" t="n"/>
      <c r="B644" s="22" t="n"/>
      <c r="C644" s="22" t="n"/>
      <c r="D644" s="23" t="n"/>
      <c r="E644" s="23" t="n"/>
      <c r="F644" s="22" t="n"/>
      <c r="G644" s="24" t="n"/>
      <c r="H644" s="22" t="n"/>
      <c r="I644" s="25">
        <f>IF(AND(ISNUMBER(D644),ISNUMBER(E644)),E644-D644,"")</f>
        <v/>
      </c>
      <c r="J644" s="26">
        <f>IF(AND(ISNUMBER(I644),ISNUMBER(G644)),IF(I644&gt;0,G644/I644,""),"")</f>
        <v/>
      </c>
      <c r="K644" s="25">
        <f>IF(COUNTA(A644:H644)=0,"",IF(OR(A644="",B644="",C644="",D644="",E644="",F644="",G644="",H644=""),"HATA: eksik bilgi",IF(COUNTIF(OdaListesi,A644)=0,"HATA: geçersiz oda no",IF(OR(NOT(ISNUMBER(D644)),NOT(ISNUMBER(E644))),"HATA: tarih geçersiz",IF(E644&lt;=D644,"HATA: çıkış girişten sonra olmalı",IF(OR(NOT(ISNUMBER(C644)),C644&lt;1,C644&gt;MaxKisi,C644&lt;&gt;INT(C644)),"HATA: kişi sayısı geçersiz",IF(OR(NOT(ISNUMBER(G644)),G644&lt;0),"HATA: tutar geçersiz",IF(B644&lt;&gt;TRIM(B644),"HATA: isimde baştaki/sondaki boşluk",IF(COUNTIF(KaynakAralik,H644)=0,"HATA: kaynak listede yok",IF(AND(F644&lt;&gt;"Bekleniyor",F644&lt;&gt;"Geldi",F644&lt;&gt;"İptal"),"HATA: giriş durumu geçersiz",IF(AND(F644&lt;&gt;"İptal",COUNTIFS($A$6:$A$1005,A644,$D$6:$D$1005,"&lt;"&amp;E644,$E$6:$E$1005,"&gt;"&amp;D644,$F$6:$F$1005,"&lt;&gt;İptal")&gt;1),"HATA: oda bu tarihlerde çakışıyor",IF(AND(F644="Bekleniyor",D644&lt;RaporTarihi),"HATA: giriş günü geçti, Geldi veya İptal yapın","OK"))))))))))))</f>
        <v/>
      </c>
      <c r="L644" s="25">
        <f>IF(AND(ISNUMBER(A644),F644&lt;&gt;"İptal",ISNUMBER(D644),ISNUMBER(E644),D644&lt;=RaporTarihi,E644&gt;RaporTarihi),A644,"")</f>
        <v/>
      </c>
    </row>
    <row r="645">
      <c r="A645" s="22" t="n"/>
      <c r="B645" s="22" t="n"/>
      <c r="C645" s="22" t="n"/>
      <c r="D645" s="23" t="n"/>
      <c r="E645" s="23" t="n"/>
      <c r="F645" s="22" t="n"/>
      <c r="G645" s="24" t="n"/>
      <c r="H645" s="22" t="n"/>
      <c r="I645" s="25">
        <f>IF(AND(ISNUMBER(D645),ISNUMBER(E645)),E645-D645,"")</f>
        <v/>
      </c>
      <c r="J645" s="26">
        <f>IF(AND(ISNUMBER(I645),ISNUMBER(G645)),IF(I645&gt;0,G645/I645,""),"")</f>
        <v/>
      </c>
      <c r="K645" s="25">
        <f>IF(COUNTA(A645:H645)=0,"",IF(OR(A645="",B645="",C645="",D645="",E645="",F645="",G645="",H645=""),"HATA: eksik bilgi",IF(COUNTIF(OdaListesi,A645)=0,"HATA: geçersiz oda no",IF(OR(NOT(ISNUMBER(D645)),NOT(ISNUMBER(E645))),"HATA: tarih geçersiz",IF(E645&lt;=D645,"HATA: çıkış girişten sonra olmalı",IF(OR(NOT(ISNUMBER(C645)),C645&lt;1,C645&gt;MaxKisi,C645&lt;&gt;INT(C645)),"HATA: kişi sayısı geçersiz",IF(OR(NOT(ISNUMBER(G645)),G645&lt;0),"HATA: tutar geçersiz",IF(B645&lt;&gt;TRIM(B645),"HATA: isimde baştaki/sondaki boşluk",IF(COUNTIF(KaynakAralik,H645)=0,"HATA: kaynak listede yok",IF(AND(F645&lt;&gt;"Bekleniyor",F645&lt;&gt;"Geldi",F645&lt;&gt;"İptal"),"HATA: giriş durumu geçersiz",IF(AND(F645&lt;&gt;"İptal",COUNTIFS($A$6:$A$1005,A645,$D$6:$D$1005,"&lt;"&amp;E645,$E$6:$E$1005,"&gt;"&amp;D645,$F$6:$F$1005,"&lt;&gt;İptal")&gt;1),"HATA: oda bu tarihlerde çakışıyor",IF(AND(F645="Bekleniyor",D645&lt;RaporTarihi),"HATA: giriş günü geçti, Geldi veya İptal yapın","OK"))))))))))))</f>
        <v/>
      </c>
      <c r="L645" s="25">
        <f>IF(AND(ISNUMBER(A645),F645&lt;&gt;"İptal",ISNUMBER(D645),ISNUMBER(E645),D645&lt;=RaporTarihi,E645&gt;RaporTarihi),A645,"")</f>
        <v/>
      </c>
    </row>
    <row r="646">
      <c r="A646" s="22" t="n"/>
      <c r="B646" s="22" t="n"/>
      <c r="C646" s="22" t="n"/>
      <c r="D646" s="23" t="n"/>
      <c r="E646" s="23" t="n"/>
      <c r="F646" s="22" t="n"/>
      <c r="G646" s="24" t="n"/>
      <c r="H646" s="22" t="n"/>
      <c r="I646" s="25">
        <f>IF(AND(ISNUMBER(D646),ISNUMBER(E646)),E646-D646,"")</f>
        <v/>
      </c>
      <c r="J646" s="26">
        <f>IF(AND(ISNUMBER(I646),ISNUMBER(G646)),IF(I646&gt;0,G646/I646,""),"")</f>
        <v/>
      </c>
      <c r="K646" s="25">
        <f>IF(COUNTA(A646:H646)=0,"",IF(OR(A646="",B646="",C646="",D646="",E646="",F646="",G646="",H646=""),"HATA: eksik bilgi",IF(COUNTIF(OdaListesi,A646)=0,"HATA: geçersiz oda no",IF(OR(NOT(ISNUMBER(D646)),NOT(ISNUMBER(E646))),"HATA: tarih geçersiz",IF(E646&lt;=D646,"HATA: çıkış girişten sonra olmalı",IF(OR(NOT(ISNUMBER(C646)),C646&lt;1,C646&gt;MaxKisi,C646&lt;&gt;INT(C646)),"HATA: kişi sayısı geçersiz",IF(OR(NOT(ISNUMBER(G646)),G646&lt;0),"HATA: tutar geçersiz",IF(B646&lt;&gt;TRIM(B646),"HATA: isimde baştaki/sondaki boşluk",IF(COUNTIF(KaynakAralik,H646)=0,"HATA: kaynak listede yok",IF(AND(F646&lt;&gt;"Bekleniyor",F646&lt;&gt;"Geldi",F646&lt;&gt;"İptal"),"HATA: giriş durumu geçersiz",IF(AND(F646&lt;&gt;"İptal",COUNTIFS($A$6:$A$1005,A646,$D$6:$D$1005,"&lt;"&amp;E646,$E$6:$E$1005,"&gt;"&amp;D646,$F$6:$F$1005,"&lt;&gt;İptal")&gt;1),"HATA: oda bu tarihlerde çakışıyor",IF(AND(F646="Bekleniyor",D646&lt;RaporTarihi),"HATA: giriş günü geçti, Geldi veya İptal yapın","OK"))))))))))))</f>
        <v/>
      </c>
      <c r="L646" s="25">
        <f>IF(AND(ISNUMBER(A646),F646&lt;&gt;"İptal",ISNUMBER(D646),ISNUMBER(E646),D646&lt;=RaporTarihi,E646&gt;RaporTarihi),A646,"")</f>
        <v/>
      </c>
    </row>
    <row r="647">
      <c r="A647" s="22" t="n"/>
      <c r="B647" s="22" t="n"/>
      <c r="C647" s="22" t="n"/>
      <c r="D647" s="23" t="n"/>
      <c r="E647" s="23" t="n"/>
      <c r="F647" s="22" t="n"/>
      <c r="G647" s="24" t="n"/>
      <c r="H647" s="22" t="n"/>
      <c r="I647" s="25">
        <f>IF(AND(ISNUMBER(D647),ISNUMBER(E647)),E647-D647,"")</f>
        <v/>
      </c>
      <c r="J647" s="26">
        <f>IF(AND(ISNUMBER(I647),ISNUMBER(G647)),IF(I647&gt;0,G647/I647,""),"")</f>
        <v/>
      </c>
      <c r="K647" s="25">
        <f>IF(COUNTA(A647:H647)=0,"",IF(OR(A647="",B647="",C647="",D647="",E647="",F647="",G647="",H647=""),"HATA: eksik bilgi",IF(COUNTIF(OdaListesi,A647)=0,"HATA: geçersiz oda no",IF(OR(NOT(ISNUMBER(D647)),NOT(ISNUMBER(E647))),"HATA: tarih geçersiz",IF(E647&lt;=D647,"HATA: çıkış girişten sonra olmalı",IF(OR(NOT(ISNUMBER(C647)),C647&lt;1,C647&gt;MaxKisi,C647&lt;&gt;INT(C647)),"HATA: kişi sayısı geçersiz",IF(OR(NOT(ISNUMBER(G647)),G647&lt;0),"HATA: tutar geçersiz",IF(B647&lt;&gt;TRIM(B647),"HATA: isimde baştaki/sondaki boşluk",IF(COUNTIF(KaynakAralik,H647)=0,"HATA: kaynak listede yok",IF(AND(F647&lt;&gt;"Bekleniyor",F647&lt;&gt;"Geldi",F647&lt;&gt;"İptal"),"HATA: giriş durumu geçersiz",IF(AND(F647&lt;&gt;"İptal",COUNTIFS($A$6:$A$1005,A647,$D$6:$D$1005,"&lt;"&amp;E647,$E$6:$E$1005,"&gt;"&amp;D647,$F$6:$F$1005,"&lt;&gt;İptal")&gt;1),"HATA: oda bu tarihlerde çakışıyor",IF(AND(F647="Bekleniyor",D647&lt;RaporTarihi),"HATA: giriş günü geçti, Geldi veya İptal yapın","OK"))))))))))))</f>
        <v/>
      </c>
      <c r="L647" s="25">
        <f>IF(AND(ISNUMBER(A647),F647&lt;&gt;"İptal",ISNUMBER(D647),ISNUMBER(E647),D647&lt;=RaporTarihi,E647&gt;RaporTarihi),A647,"")</f>
        <v/>
      </c>
    </row>
    <row r="648">
      <c r="A648" s="22" t="n"/>
      <c r="B648" s="22" t="n"/>
      <c r="C648" s="22" t="n"/>
      <c r="D648" s="23" t="n"/>
      <c r="E648" s="23" t="n"/>
      <c r="F648" s="22" t="n"/>
      <c r="G648" s="24" t="n"/>
      <c r="H648" s="22" t="n"/>
      <c r="I648" s="25">
        <f>IF(AND(ISNUMBER(D648),ISNUMBER(E648)),E648-D648,"")</f>
        <v/>
      </c>
      <c r="J648" s="26">
        <f>IF(AND(ISNUMBER(I648),ISNUMBER(G648)),IF(I648&gt;0,G648/I648,""),"")</f>
        <v/>
      </c>
      <c r="K648" s="25">
        <f>IF(COUNTA(A648:H648)=0,"",IF(OR(A648="",B648="",C648="",D648="",E648="",F648="",G648="",H648=""),"HATA: eksik bilgi",IF(COUNTIF(OdaListesi,A648)=0,"HATA: geçersiz oda no",IF(OR(NOT(ISNUMBER(D648)),NOT(ISNUMBER(E648))),"HATA: tarih geçersiz",IF(E648&lt;=D648,"HATA: çıkış girişten sonra olmalı",IF(OR(NOT(ISNUMBER(C648)),C648&lt;1,C648&gt;MaxKisi,C648&lt;&gt;INT(C648)),"HATA: kişi sayısı geçersiz",IF(OR(NOT(ISNUMBER(G648)),G648&lt;0),"HATA: tutar geçersiz",IF(B648&lt;&gt;TRIM(B648),"HATA: isimde baştaki/sondaki boşluk",IF(COUNTIF(KaynakAralik,H648)=0,"HATA: kaynak listede yok",IF(AND(F648&lt;&gt;"Bekleniyor",F648&lt;&gt;"Geldi",F648&lt;&gt;"İptal"),"HATA: giriş durumu geçersiz",IF(AND(F648&lt;&gt;"İptal",COUNTIFS($A$6:$A$1005,A648,$D$6:$D$1005,"&lt;"&amp;E648,$E$6:$E$1005,"&gt;"&amp;D648,$F$6:$F$1005,"&lt;&gt;İptal")&gt;1),"HATA: oda bu tarihlerde çakışıyor",IF(AND(F648="Bekleniyor",D648&lt;RaporTarihi),"HATA: giriş günü geçti, Geldi veya İptal yapın","OK"))))))))))))</f>
        <v/>
      </c>
      <c r="L648" s="25">
        <f>IF(AND(ISNUMBER(A648),F648&lt;&gt;"İptal",ISNUMBER(D648),ISNUMBER(E648),D648&lt;=RaporTarihi,E648&gt;RaporTarihi),A648,"")</f>
        <v/>
      </c>
    </row>
    <row r="649">
      <c r="A649" s="22" t="n"/>
      <c r="B649" s="22" t="n"/>
      <c r="C649" s="22" t="n"/>
      <c r="D649" s="23" t="n"/>
      <c r="E649" s="23" t="n"/>
      <c r="F649" s="22" t="n"/>
      <c r="G649" s="24" t="n"/>
      <c r="H649" s="22" t="n"/>
      <c r="I649" s="25">
        <f>IF(AND(ISNUMBER(D649),ISNUMBER(E649)),E649-D649,"")</f>
        <v/>
      </c>
      <c r="J649" s="26">
        <f>IF(AND(ISNUMBER(I649),ISNUMBER(G649)),IF(I649&gt;0,G649/I649,""),"")</f>
        <v/>
      </c>
      <c r="K649" s="25">
        <f>IF(COUNTA(A649:H649)=0,"",IF(OR(A649="",B649="",C649="",D649="",E649="",F649="",G649="",H649=""),"HATA: eksik bilgi",IF(COUNTIF(OdaListesi,A649)=0,"HATA: geçersiz oda no",IF(OR(NOT(ISNUMBER(D649)),NOT(ISNUMBER(E649))),"HATA: tarih geçersiz",IF(E649&lt;=D649,"HATA: çıkış girişten sonra olmalı",IF(OR(NOT(ISNUMBER(C649)),C649&lt;1,C649&gt;MaxKisi,C649&lt;&gt;INT(C649)),"HATA: kişi sayısı geçersiz",IF(OR(NOT(ISNUMBER(G649)),G649&lt;0),"HATA: tutar geçersiz",IF(B649&lt;&gt;TRIM(B649),"HATA: isimde baştaki/sondaki boşluk",IF(COUNTIF(KaynakAralik,H649)=0,"HATA: kaynak listede yok",IF(AND(F649&lt;&gt;"Bekleniyor",F649&lt;&gt;"Geldi",F649&lt;&gt;"İptal"),"HATA: giriş durumu geçersiz",IF(AND(F649&lt;&gt;"İptal",COUNTIFS($A$6:$A$1005,A649,$D$6:$D$1005,"&lt;"&amp;E649,$E$6:$E$1005,"&gt;"&amp;D649,$F$6:$F$1005,"&lt;&gt;İptal")&gt;1),"HATA: oda bu tarihlerde çakışıyor",IF(AND(F649="Bekleniyor",D649&lt;RaporTarihi),"HATA: giriş günü geçti, Geldi veya İptal yapın","OK"))))))))))))</f>
        <v/>
      </c>
      <c r="L649" s="25">
        <f>IF(AND(ISNUMBER(A649),F649&lt;&gt;"İptal",ISNUMBER(D649),ISNUMBER(E649),D649&lt;=RaporTarihi,E649&gt;RaporTarihi),A649,"")</f>
        <v/>
      </c>
    </row>
    <row r="650">
      <c r="A650" s="22" t="n"/>
      <c r="B650" s="22" t="n"/>
      <c r="C650" s="22" t="n"/>
      <c r="D650" s="23" t="n"/>
      <c r="E650" s="23" t="n"/>
      <c r="F650" s="22" t="n"/>
      <c r="G650" s="24" t="n"/>
      <c r="H650" s="22" t="n"/>
      <c r="I650" s="25">
        <f>IF(AND(ISNUMBER(D650),ISNUMBER(E650)),E650-D650,"")</f>
        <v/>
      </c>
      <c r="J650" s="26">
        <f>IF(AND(ISNUMBER(I650),ISNUMBER(G650)),IF(I650&gt;0,G650/I650,""),"")</f>
        <v/>
      </c>
      <c r="K650" s="25">
        <f>IF(COUNTA(A650:H650)=0,"",IF(OR(A650="",B650="",C650="",D650="",E650="",F650="",G650="",H650=""),"HATA: eksik bilgi",IF(COUNTIF(OdaListesi,A650)=0,"HATA: geçersiz oda no",IF(OR(NOT(ISNUMBER(D650)),NOT(ISNUMBER(E650))),"HATA: tarih geçersiz",IF(E650&lt;=D650,"HATA: çıkış girişten sonra olmalı",IF(OR(NOT(ISNUMBER(C650)),C650&lt;1,C650&gt;MaxKisi,C650&lt;&gt;INT(C650)),"HATA: kişi sayısı geçersiz",IF(OR(NOT(ISNUMBER(G650)),G650&lt;0),"HATA: tutar geçersiz",IF(B650&lt;&gt;TRIM(B650),"HATA: isimde baştaki/sondaki boşluk",IF(COUNTIF(KaynakAralik,H650)=0,"HATA: kaynak listede yok",IF(AND(F650&lt;&gt;"Bekleniyor",F650&lt;&gt;"Geldi",F650&lt;&gt;"İptal"),"HATA: giriş durumu geçersiz",IF(AND(F650&lt;&gt;"İptal",COUNTIFS($A$6:$A$1005,A650,$D$6:$D$1005,"&lt;"&amp;E650,$E$6:$E$1005,"&gt;"&amp;D650,$F$6:$F$1005,"&lt;&gt;İptal")&gt;1),"HATA: oda bu tarihlerde çakışıyor",IF(AND(F650="Bekleniyor",D650&lt;RaporTarihi),"HATA: giriş günü geçti, Geldi veya İptal yapın","OK"))))))))))))</f>
        <v/>
      </c>
      <c r="L650" s="25">
        <f>IF(AND(ISNUMBER(A650),F650&lt;&gt;"İptal",ISNUMBER(D650),ISNUMBER(E650),D650&lt;=RaporTarihi,E650&gt;RaporTarihi),A650,"")</f>
        <v/>
      </c>
    </row>
    <row r="651">
      <c r="A651" s="22" t="n"/>
      <c r="B651" s="22" t="n"/>
      <c r="C651" s="22" t="n"/>
      <c r="D651" s="23" t="n"/>
      <c r="E651" s="23" t="n"/>
      <c r="F651" s="22" t="n"/>
      <c r="G651" s="24" t="n"/>
      <c r="H651" s="22" t="n"/>
      <c r="I651" s="25">
        <f>IF(AND(ISNUMBER(D651),ISNUMBER(E651)),E651-D651,"")</f>
        <v/>
      </c>
      <c r="J651" s="26">
        <f>IF(AND(ISNUMBER(I651),ISNUMBER(G651)),IF(I651&gt;0,G651/I651,""),"")</f>
        <v/>
      </c>
      <c r="K651" s="25">
        <f>IF(COUNTA(A651:H651)=0,"",IF(OR(A651="",B651="",C651="",D651="",E651="",F651="",G651="",H651=""),"HATA: eksik bilgi",IF(COUNTIF(OdaListesi,A651)=0,"HATA: geçersiz oda no",IF(OR(NOT(ISNUMBER(D651)),NOT(ISNUMBER(E651))),"HATA: tarih geçersiz",IF(E651&lt;=D651,"HATA: çıkış girişten sonra olmalı",IF(OR(NOT(ISNUMBER(C651)),C651&lt;1,C651&gt;MaxKisi,C651&lt;&gt;INT(C651)),"HATA: kişi sayısı geçersiz",IF(OR(NOT(ISNUMBER(G651)),G651&lt;0),"HATA: tutar geçersiz",IF(B651&lt;&gt;TRIM(B651),"HATA: isimde baştaki/sondaki boşluk",IF(COUNTIF(KaynakAralik,H651)=0,"HATA: kaynak listede yok",IF(AND(F651&lt;&gt;"Bekleniyor",F651&lt;&gt;"Geldi",F651&lt;&gt;"İptal"),"HATA: giriş durumu geçersiz",IF(AND(F651&lt;&gt;"İptal",COUNTIFS($A$6:$A$1005,A651,$D$6:$D$1005,"&lt;"&amp;E651,$E$6:$E$1005,"&gt;"&amp;D651,$F$6:$F$1005,"&lt;&gt;İptal")&gt;1),"HATA: oda bu tarihlerde çakışıyor",IF(AND(F651="Bekleniyor",D651&lt;RaporTarihi),"HATA: giriş günü geçti, Geldi veya İptal yapın","OK"))))))))))))</f>
        <v/>
      </c>
      <c r="L651" s="25">
        <f>IF(AND(ISNUMBER(A651),F651&lt;&gt;"İptal",ISNUMBER(D651),ISNUMBER(E651),D651&lt;=RaporTarihi,E651&gt;RaporTarihi),A651,"")</f>
        <v/>
      </c>
    </row>
    <row r="652">
      <c r="A652" s="22" t="n"/>
      <c r="B652" s="22" t="n"/>
      <c r="C652" s="22" t="n"/>
      <c r="D652" s="23" t="n"/>
      <c r="E652" s="23" t="n"/>
      <c r="F652" s="22" t="n"/>
      <c r="G652" s="24" t="n"/>
      <c r="H652" s="22" t="n"/>
      <c r="I652" s="25">
        <f>IF(AND(ISNUMBER(D652),ISNUMBER(E652)),E652-D652,"")</f>
        <v/>
      </c>
      <c r="J652" s="26">
        <f>IF(AND(ISNUMBER(I652),ISNUMBER(G652)),IF(I652&gt;0,G652/I652,""),"")</f>
        <v/>
      </c>
      <c r="K652" s="25">
        <f>IF(COUNTA(A652:H652)=0,"",IF(OR(A652="",B652="",C652="",D652="",E652="",F652="",G652="",H652=""),"HATA: eksik bilgi",IF(COUNTIF(OdaListesi,A652)=0,"HATA: geçersiz oda no",IF(OR(NOT(ISNUMBER(D652)),NOT(ISNUMBER(E652))),"HATA: tarih geçersiz",IF(E652&lt;=D652,"HATA: çıkış girişten sonra olmalı",IF(OR(NOT(ISNUMBER(C652)),C652&lt;1,C652&gt;MaxKisi,C652&lt;&gt;INT(C652)),"HATA: kişi sayısı geçersiz",IF(OR(NOT(ISNUMBER(G652)),G652&lt;0),"HATA: tutar geçersiz",IF(B652&lt;&gt;TRIM(B652),"HATA: isimde baştaki/sondaki boşluk",IF(COUNTIF(KaynakAralik,H652)=0,"HATA: kaynak listede yok",IF(AND(F652&lt;&gt;"Bekleniyor",F652&lt;&gt;"Geldi",F652&lt;&gt;"İptal"),"HATA: giriş durumu geçersiz",IF(AND(F652&lt;&gt;"İptal",COUNTIFS($A$6:$A$1005,A652,$D$6:$D$1005,"&lt;"&amp;E652,$E$6:$E$1005,"&gt;"&amp;D652,$F$6:$F$1005,"&lt;&gt;İptal")&gt;1),"HATA: oda bu tarihlerde çakışıyor",IF(AND(F652="Bekleniyor",D652&lt;RaporTarihi),"HATA: giriş günü geçti, Geldi veya İptal yapın","OK"))))))))))))</f>
        <v/>
      </c>
      <c r="L652" s="25">
        <f>IF(AND(ISNUMBER(A652),F652&lt;&gt;"İptal",ISNUMBER(D652),ISNUMBER(E652),D652&lt;=RaporTarihi,E652&gt;RaporTarihi),A652,"")</f>
        <v/>
      </c>
    </row>
    <row r="653">
      <c r="A653" s="22" t="n"/>
      <c r="B653" s="22" t="n"/>
      <c r="C653" s="22" t="n"/>
      <c r="D653" s="23" t="n"/>
      <c r="E653" s="23" t="n"/>
      <c r="F653" s="22" t="n"/>
      <c r="G653" s="24" t="n"/>
      <c r="H653" s="22" t="n"/>
      <c r="I653" s="25">
        <f>IF(AND(ISNUMBER(D653),ISNUMBER(E653)),E653-D653,"")</f>
        <v/>
      </c>
      <c r="J653" s="26">
        <f>IF(AND(ISNUMBER(I653),ISNUMBER(G653)),IF(I653&gt;0,G653/I653,""),"")</f>
        <v/>
      </c>
      <c r="K653" s="25">
        <f>IF(COUNTA(A653:H653)=0,"",IF(OR(A653="",B653="",C653="",D653="",E653="",F653="",G653="",H653=""),"HATA: eksik bilgi",IF(COUNTIF(OdaListesi,A653)=0,"HATA: geçersiz oda no",IF(OR(NOT(ISNUMBER(D653)),NOT(ISNUMBER(E653))),"HATA: tarih geçersiz",IF(E653&lt;=D653,"HATA: çıkış girişten sonra olmalı",IF(OR(NOT(ISNUMBER(C653)),C653&lt;1,C653&gt;MaxKisi,C653&lt;&gt;INT(C653)),"HATA: kişi sayısı geçersiz",IF(OR(NOT(ISNUMBER(G653)),G653&lt;0),"HATA: tutar geçersiz",IF(B653&lt;&gt;TRIM(B653),"HATA: isimde baştaki/sondaki boşluk",IF(COUNTIF(KaynakAralik,H653)=0,"HATA: kaynak listede yok",IF(AND(F653&lt;&gt;"Bekleniyor",F653&lt;&gt;"Geldi",F653&lt;&gt;"İptal"),"HATA: giriş durumu geçersiz",IF(AND(F653&lt;&gt;"İptal",COUNTIFS($A$6:$A$1005,A653,$D$6:$D$1005,"&lt;"&amp;E653,$E$6:$E$1005,"&gt;"&amp;D653,$F$6:$F$1005,"&lt;&gt;İptal")&gt;1),"HATA: oda bu tarihlerde çakışıyor",IF(AND(F653="Bekleniyor",D653&lt;RaporTarihi),"HATA: giriş günü geçti, Geldi veya İptal yapın","OK"))))))))))))</f>
        <v/>
      </c>
      <c r="L653" s="25">
        <f>IF(AND(ISNUMBER(A653),F653&lt;&gt;"İptal",ISNUMBER(D653),ISNUMBER(E653),D653&lt;=RaporTarihi,E653&gt;RaporTarihi),A653,"")</f>
        <v/>
      </c>
    </row>
    <row r="654">
      <c r="A654" s="22" t="n"/>
      <c r="B654" s="22" t="n"/>
      <c r="C654" s="22" t="n"/>
      <c r="D654" s="23" t="n"/>
      <c r="E654" s="23" t="n"/>
      <c r="F654" s="22" t="n"/>
      <c r="G654" s="24" t="n"/>
      <c r="H654" s="22" t="n"/>
      <c r="I654" s="25">
        <f>IF(AND(ISNUMBER(D654),ISNUMBER(E654)),E654-D654,"")</f>
        <v/>
      </c>
      <c r="J654" s="26">
        <f>IF(AND(ISNUMBER(I654),ISNUMBER(G654)),IF(I654&gt;0,G654/I654,""),"")</f>
        <v/>
      </c>
      <c r="K654" s="25">
        <f>IF(COUNTA(A654:H654)=0,"",IF(OR(A654="",B654="",C654="",D654="",E654="",F654="",G654="",H654=""),"HATA: eksik bilgi",IF(COUNTIF(OdaListesi,A654)=0,"HATA: geçersiz oda no",IF(OR(NOT(ISNUMBER(D654)),NOT(ISNUMBER(E654))),"HATA: tarih geçersiz",IF(E654&lt;=D654,"HATA: çıkış girişten sonra olmalı",IF(OR(NOT(ISNUMBER(C654)),C654&lt;1,C654&gt;MaxKisi,C654&lt;&gt;INT(C654)),"HATA: kişi sayısı geçersiz",IF(OR(NOT(ISNUMBER(G654)),G654&lt;0),"HATA: tutar geçersiz",IF(B654&lt;&gt;TRIM(B654),"HATA: isimde baştaki/sondaki boşluk",IF(COUNTIF(KaynakAralik,H654)=0,"HATA: kaynak listede yok",IF(AND(F654&lt;&gt;"Bekleniyor",F654&lt;&gt;"Geldi",F654&lt;&gt;"İptal"),"HATA: giriş durumu geçersiz",IF(AND(F654&lt;&gt;"İptal",COUNTIFS($A$6:$A$1005,A654,$D$6:$D$1005,"&lt;"&amp;E654,$E$6:$E$1005,"&gt;"&amp;D654,$F$6:$F$1005,"&lt;&gt;İptal")&gt;1),"HATA: oda bu tarihlerde çakışıyor",IF(AND(F654="Bekleniyor",D654&lt;RaporTarihi),"HATA: giriş günü geçti, Geldi veya İptal yapın","OK"))))))))))))</f>
        <v/>
      </c>
      <c r="L654" s="25">
        <f>IF(AND(ISNUMBER(A654),F654&lt;&gt;"İptal",ISNUMBER(D654),ISNUMBER(E654),D654&lt;=RaporTarihi,E654&gt;RaporTarihi),A654,"")</f>
        <v/>
      </c>
    </row>
    <row r="655">
      <c r="A655" s="22" t="n"/>
      <c r="B655" s="22" t="n"/>
      <c r="C655" s="22" t="n"/>
      <c r="D655" s="23" t="n"/>
      <c r="E655" s="23" t="n"/>
      <c r="F655" s="22" t="n"/>
      <c r="G655" s="24" t="n"/>
      <c r="H655" s="22" t="n"/>
      <c r="I655" s="25">
        <f>IF(AND(ISNUMBER(D655),ISNUMBER(E655)),E655-D655,"")</f>
        <v/>
      </c>
      <c r="J655" s="26">
        <f>IF(AND(ISNUMBER(I655),ISNUMBER(G655)),IF(I655&gt;0,G655/I655,""),"")</f>
        <v/>
      </c>
      <c r="K655" s="25">
        <f>IF(COUNTA(A655:H655)=0,"",IF(OR(A655="",B655="",C655="",D655="",E655="",F655="",G655="",H655=""),"HATA: eksik bilgi",IF(COUNTIF(OdaListesi,A655)=0,"HATA: geçersiz oda no",IF(OR(NOT(ISNUMBER(D655)),NOT(ISNUMBER(E655))),"HATA: tarih geçersiz",IF(E655&lt;=D655,"HATA: çıkış girişten sonra olmalı",IF(OR(NOT(ISNUMBER(C655)),C655&lt;1,C655&gt;MaxKisi,C655&lt;&gt;INT(C655)),"HATA: kişi sayısı geçersiz",IF(OR(NOT(ISNUMBER(G655)),G655&lt;0),"HATA: tutar geçersiz",IF(B655&lt;&gt;TRIM(B655),"HATA: isimde baştaki/sondaki boşluk",IF(COUNTIF(KaynakAralik,H655)=0,"HATA: kaynak listede yok",IF(AND(F655&lt;&gt;"Bekleniyor",F655&lt;&gt;"Geldi",F655&lt;&gt;"İptal"),"HATA: giriş durumu geçersiz",IF(AND(F655&lt;&gt;"İptal",COUNTIFS($A$6:$A$1005,A655,$D$6:$D$1005,"&lt;"&amp;E655,$E$6:$E$1005,"&gt;"&amp;D655,$F$6:$F$1005,"&lt;&gt;İptal")&gt;1),"HATA: oda bu tarihlerde çakışıyor",IF(AND(F655="Bekleniyor",D655&lt;RaporTarihi),"HATA: giriş günü geçti, Geldi veya İptal yapın","OK"))))))))))))</f>
        <v/>
      </c>
      <c r="L655" s="25">
        <f>IF(AND(ISNUMBER(A655),F655&lt;&gt;"İptal",ISNUMBER(D655),ISNUMBER(E655),D655&lt;=RaporTarihi,E655&gt;RaporTarihi),A655,"")</f>
        <v/>
      </c>
    </row>
    <row r="656">
      <c r="A656" s="22" t="n"/>
      <c r="B656" s="22" t="n"/>
      <c r="C656" s="22" t="n"/>
      <c r="D656" s="23" t="n"/>
      <c r="E656" s="23" t="n"/>
      <c r="F656" s="22" t="n"/>
      <c r="G656" s="24" t="n"/>
      <c r="H656" s="22" t="n"/>
      <c r="I656" s="25">
        <f>IF(AND(ISNUMBER(D656),ISNUMBER(E656)),E656-D656,"")</f>
        <v/>
      </c>
      <c r="J656" s="26">
        <f>IF(AND(ISNUMBER(I656),ISNUMBER(G656)),IF(I656&gt;0,G656/I656,""),"")</f>
        <v/>
      </c>
      <c r="K656" s="25">
        <f>IF(COUNTA(A656:H656)=0,"",IF(OR(A656="",B656="",C656="",D656="",E656="",F656="",G656="",H656=""),"HATA: eksik bilgi",IF(COUNTIF(OdaListesi,A656)=0,"HATA: geçersiz oda no",IF(OR(NOT(ISNUMBER(D656)),NOT(ISNUMBER(E656))),"HATA: tarih geçersiz",IF(E656&lt;=D656,"HATA: çıkış girişten sonra olmalı",IF(OR(NOT(ISNUMBER(C656)),C656&lt;1,C656&gt;MaxKisi,C656&lt;&gt;INT(C656)),"HATA: kişi sayısı geçersiz",IF(OR(NOT(ISNUMBER(G656)),G656&lt;0),"HATA: tutar geçersiz",IF(B656&lt;&gt;TRIM(B656),"HATA: isimde baştaki/sondaki boşluk",IF(COUNTIF(KaynakAralik,H656)=0,"HATA: kaynak listede yok",IF(AND(F656&lt;&gt;"Bekleniyor",F656&lt;&gt;"Geldi",F656&lt;&gt;"İptal"),"HATA: giriş durumu geçersiz",IF(AND(F656&lt;&gt;"İptal",COUNTIFS($A$6:$A$1005,A656,$D$6:$D$1005,"&lt;"&amp;E656,$E$6:$E$1005,"&gt;"&amp;D656,$F$6:$F$1005,"&lt;&gt;İptal")&gt;1),"HATA: oda bu tarihlerde çakışıyor",IF(AND(F656="Bekleniyor",D656&lt;RaporTarihi),"HATA: giriş günü geçti, Geldi veya İptal yapın","OK"))))))))))))</f>
        <v/>
      </c>
      <c r="L656" s="25">
        <f>IF(AND(ISNUMBER(A656),F656&lt;&gt;"İptal",ISNUMBER(D656),ISNUMBER(E656),D656&lt;=RaporTarihi,E656&gt;RaporTarihi),A656,"")</f>
        <v/>
      </c>
    </row>
    <row r="657">
      <c r="A657" s="22" t="n"/>
      <c r="B657" s="22" t="n"/>
      <c r="C657" s="22" t="n"/>
      <c r="D657" s="23" t="n"/>
      <c r="E657" s="23" t="n"/>
      <c r="F657" s="22" t="n"/>
      <c r="G657" s="24" t="n"/>
      <c r="H657" s="22" t="n"/>
      <c r="I657" s="25">
        <f>IF(AND(ISNUMBER(D657),ISNUMBER(E657)),E657-D657,"")</f>
        <v/>
      </c>
      <c r="J657" s="26">
        <f>IF(AND(ISNUMBER(I657),ISNUMBER(G657)),IF(I657&gt;0,G657/I657,""),"")</f>
        <v/>
      </c>
      <c r="K657" s="25">
        <f>IF(COUNTA(A657:H657)=0,"",IF(OR(A657="",B657="",C657="",D657="",E657="",F657="",G657="",H657=""),"HATA: eksik bilgi",IF(COUNTIF(OdaListesi,A657)=0,"HATA: geçersiz oda no",IF(OR(NOT(ISNUMBER(D657)),NOT(ISNUMBER(E657))),"HATA: tarih geçersiz",IF(E657&lt;=D657,"HATA: çıkış girişten sonra olmalı",IF(OR(NOT(ISNUMBER(C657)),C657&lt;1,C657&gt;MaxKisi,C657&lt;&gt;INT(C657)),"HATA: kişi sayısı geçersiz",IF(OR(NOT(ISNUMBER(G657)),G657&lt;0),"HATA: tutar geçersiz",IF(B657&lt;&gt;TRIM(B657),"HATA: isimde baştaki/sondaki boşluk",IF(COUNTIF(KaynakAralik,H657)=0,"HATA: kaynak listede yok",IF(AND(F657&lt;&gt;"Bekleniyor",F657&lt;&gt;"Geldi",F657&lt;&gt;"İptal"),"HATA: giriş durumu geçersiz",IF(AND(F657&lt;&gt;"İptal",COUNTIFS($A$6:$A$1005,A657,$D$6:$D$1005,"&lt;"&amp;E657,$E$6:$E$1005,"&gt;"&amp;D657,$F$6:$F$1005,"&lt;&gt;İptal")&gt;1),"HATA: oda bu tarihlerde çakışıyor",IF(AND(F657="Bekleniyor",D657&lt;RaporTarihi),"HATA: giriş günü geçti, Geldi veya İptal yapın","OK"))))))))))))</f>
        <v/>
      </c>
      <c r="L657" s="25">
        <f>IF(AND(ISNUMBER(A657),F657&lt;&gt;"İptal",ISNUMBER(D657),ISNUMBER(E657),D657&lt;=RaporTarihi,E657&gt;RaporTarihi),A657,"")</f>
        <v/>
      </c>
    </row>
    <row r="658">
      <c r="A658" s="22" t="n"/>
      <c r="B658" s="22" t="n"/>
      <c r="C658" s="22" t="n"/>
      <c r="D658" s="23" t="n"/>
      <c r="E658" s="23" t="n"/>
      <c r="F658" s="22" t="n"/>
      <c r="G658" s="24" t="n"/>
      <c r="H658" s="22" t="n"/>
      <c r="I658" s="25">
        <f>IF(AND(ISNUMBER(D658),ISNUMBER(E658)),E658-D658,"")</f>
        <v/>
      </c>
      <c r="J658" s="26">
        <f>IF(AND(ISNUMBER(I658),ISNUMBER(G658)),IF(I658&gt;0,G658/I658,""),"")</f>
        <v/>
      </c>
      <c r="K658" s="25">
        <f>IF(COUNTA(A658:H658)=0,"",IF(OR(A658="",B658="",C658="",D658="",E658="",F658="",G658="",H658=""),"HATA: eksik bilgi",IF(COUNTIF(OdaListesi,A658)=0,"HATA: geçersiz oda no",IF(OR(NOT(ISNUMBER(D658)),NOT(ISNUMBER(E658))),"HATA: tarih geçersiz",IF(E658&lt;=D658,"HATA: çıkış girişten sonra olmalı",IF(OR(NOT(ISNUMBER(C658)),C658&lt;1,C658&gt;MaxKisi,C658&lt;&gt;INT(C658)),"HATA: kişi sayısı geçersiz",IF(OR(NOT(ISNUMBER(G658)),G658&lt;0),"HATA: tutar geçersiz",IF(B658&lt;&gt;TRIM(B658),"HATA: isimde baştaki/sondaki boşluk",IF(COUNTIF(KaynakAralik,H658)=0,"HATA: kaynak listede yok",IF(AND(F658&lt;&gt;"Bekleniyor",F658&lt;&gt;"Geldi",F658&lt;&gt;"İptal"),"HATA: giriş durumu geçersiz",IF(AND(F658&lt;&gt;"İptal",COUNTIFS($A$6:$A$1005,A658,$D$6:$D$1005,"&lt;"&amp;E658,$E$6:$E$1005,"&gt;"&amp;D658,$F$6:$F$1005,"&lt;&gt;İptal")&gt;1),"HATA: oda bu tarihlerde çakışıyor",IF(AND(F658="Bekleniyor",D658&lt;RaporTarihi),"HATA: giriş günü geçti, Geldi veya İptal yapın","OK"))))))))))))</f>
        <v/>
      </c>
      <c r="L658" s="25">
        <f>IF(AND(ISNUMBER(A658),F658&lt;&gt;"İptal",ISNUMBER(D658),ISNUMBER(E658),D658&lt;=RaporTarihi,E658&gt;RaporTarihi),A658,"")</f>
        <v/>
      </c>
    </row>
    <row r="659">
      <c r="A659" s="22" t="n"/>
      <c r="B659" s="22" t="n"/>
      <c r="C659" s="22" t="n"/>
      <c r="D659" s="23" t="n"/>
      <c r="E659" s="23" t="n"/>
      <c r="F659" s="22" t="n"/>
      <c r="G659" s="24" t="n"/>
      <c r="H659" s="22" t="n"/>
      <c r="I659" s="25">
        <f>IF(AND(ISNUMBER(D659),ISNUMBER(E659)),E659-D659,"")</f>
        <v/>
      </c>
      <c r="J659" s="26">
        <f>IF(AND(ISNUMBER(I659),ISNUMBER(G659)),IF(I659&gt;0,G659/I659,""),"")</f>
        <v/>
      </c>
      <c r="K659" s="25">
        <f>IF(COUNTA(A659:H659)=0,"",IF(OR(A659="",B659="",C659="",D659="",E659="",F659="",G659="",H659=""),"HATA: eksik bilgi",IF(COUNTIF(OdaListesi,A659)=0,"HATA: geçersiz oda no",IF(OR(NOT(ISNUMBER(D659)),NOT(ISNUMBER(E659))),"HATA: tarih geçersiz",IF(E659&lt;=D659,"HATA: çıkış girişten sonra olmalı",IF(OR(NOT(ISNUMBER(C659)),C659&lt;1,C659&gt;MaxKisi,C659&lt;&gt;INT(C659)),"HATA: kişi sayısı geçersiz",IF(OR(NOT(ISNUMBER(G659)),G659&lt;0),"HATA: tutar geçersiz",IF(B659&lt;&gt;TRIM(B659),"HATA: isimde baştaki/sondaki boşluk",IF(COUNTIF(KaynakAralik,H659)=0,"HATA: kaynak listede yok",IF(AND(F659&lt;&gt;"Bekleniyor",F659&lt;&gt;"Geldi",F659&lt;&gt;"İptal"),"HATA: giriş durumu geçersiz",IF(AND(F659&lt;&gt;"İptal",COUNTIFS($A$6:$A$1005,A659,$D$6:$D$1005,"&lt;"&amp;E659,$E$6:$E$1005,"&gt;"&amp;D659,$F$6:$F$1005,"&lt;&gt;İptal")&gt;1),"HATA: oda bu tarihlerde çakışıyor",IF(AND(F659="Bekleniyor",D659&lt;RaporTarihi),"HATA: giriş günü geçti, Geldi veya İptal yapın","OK"))))))))))))</f>
        <v/>
      </c>
      <c r="L659" s="25">
        <f>IF(AND(ISNUMBER(A659),F659&lt;&gt;"İptal",ISNUMBER(D659),ISNUMBER(E659),D659&lt;=RaporTarihi,E659&gt;RaporTarihi),A659,"")</f>
        <v/>
      </c>
    </row>
    <row r="660">
      <c r="A660" s="22" t="n"/>
      <c r="B660" s="22" t="n"/>
      <c r="C660" s="22" t="n"/>
      <c r="D660" s="23" t="n"/>
      <c r="E660" s="23" t="n"/>
      <c r="F660" s="22" t="n"/>
      <c r="G660" s="24" t="n"/>
      <c r="H660" s="22" t="n"/>
      <c r="I660" s="25">
        <f>IF(AND(ISNUMBER(D660),ISNUMBER(E660)),E660-D660,"")</f>
        <v/>
      </c>
      <c r="J660" s="26">
        <f>IF(AND(ISNUMBER(I660),ISNUMBER(G660)),IF(I660&gt;0,G660/I660,""),"")</f>
        <v/>
      </c>
      <c r="K660" s="25">
        <f>IF(COUNTA(A660:H660)=0,"",IF(OR(A660="",B660="",C660="",D660="",E660="",F660="",G660="",H660=""),"HATA: eksik bilgi",IF(COUNTIF(OdaListesi,A660)=0,"HATA: geçersiz oda no",IF(OR(NOT(ISNUMBER(D660)),NOT(ISNUMBER(E660))),"HATA: tarih geçersiz",IF(E660&lt;=D660,"HATA: çıkış girişten sonra olmalı",IF(OR(NOT(ISNUMBER(C660)),C660&lt;1,C660&gt;MaxKisi,C660&lt;&gt;INT(C660)),"HATA: kişi sayısı geçersiz",IF(OR(NOT(ISNUMBER(G660)),G660&lt;0),"HATA: tutar geçersiz",IF(B660&lt;&gt;TRIM(B660),"HATA: isimde baştaki/sondaki boşluk",IF(COUNTIF(KaynakAralik,H660)=0,"HATA: kaynak listede yok",IF(AND(F660&lt;&gt;"Bekleniyor",F660&lt;&gt;"Geldi",F660&lt;&gt;"İptal"),"HATA: giriş durumu geçersiz",IF(AND(F660&lt;&gt;"İptal",COUNTIFS($A$6:$A$1005,A660,$D$6:$D$1005,"&lt;"&amp;E660,$E$6:$E$1005,"&gt;"&amp;D660,$F$6:$F$1005,"&lt;&gt;İptal")&gt;1),"HATA: oda bu tarihlerde çakışıyor",IF(AND(F660="Bekleniyor",D660&lt;RaporTarihi),"HATA: giriş günü geçti, Geldi veya İptal yapın","OK"))))))))))))</f>
        <v/>
      </c>
      <c r="L660" s="25">
        <f>IF(AND(ISNUMBER(A660),F660&lt;&gt;"İptal",ISNUMBER(D660),ISNUMBER(E660),D660&lt;=RaporTarihi,E660&gt;RaporTarihi),A660,"")</f>
        <v/>
      </c>
    </row>
    <row r="661">
      <c r="A661" s="22" t="n"/>
      <c r="B661" s="22" t="n"/>
      <c r="C661" s="22" t="n"/>
      <c r="D661" s="23" t="n"/>
      <c r="E661" s="23" t="n"/>
      <c r="F661" s="22" t="n"/>
      <c r="G661" s="24" t="n"/>
      <c r="H661" s="22" t="n"/>
      <c r="I661" s="25">
        <f>IF(AND(ISNUMBER(D661),ISNUMBER(E661)),E661-D661,"")</f>
        <v/>
      </c>
      <c r="J661" s="26">
        <f>IF(AND(ISNUMBER(I661),ISNUMBER(G661)),IF(I661&gt;0,G661/I661,""),"")</f>
        <v/>
      </c>
      <c r="K661" s="25">
        <f>IF(COUNTA(A661:H661)=0,"",IF(OR(A661="",B661="",C661="",D661="",E661="",F661="",G661="",H661=""),"HATA: eksik bilgi",IF(COUNTIF(OdaListesi,A661)=0,"HATA: geçersiz oda no",IF(OR(NOT(ISNUMBER(D661)),NOT(ISNUMBER(E661))),"HATA: tarih geçersiz",IF(E661&lt;=D661,"HATA: çıkış girişten sonra olmalı",IF(OR(NOT(ISNUMBER(C661)),C661&lt;1,C661&gt;MaxKisi,C661&lt;&gt;INT(C661)),"HATA: kişi sayısı geçersiz",IF(OR(NOT(ISNUMBER(G661)),G661&lt;0),"HATA: tutar geçersiz",IF(B661&lt;&gt;TRIM(B661),"HATA: isimde baştaki/sondaki boşluk",IF(COUNTIF(KaynakAralik,H661)=0,"HATA: kaynak listede yok",IF(AND(F661&lt;&gt;"Bekleniyor",F661&lt;&gt;"Geldi",F661&lt;&gt;"İptal"),"HATA: giriş durumu geçersiz",IF(AND(F661&lt;&gt;"İptal",COUNTIFS($A$6:$A$1005,A661,$D$6:$D$1005,"&lt;"&amp;E661,$E$6:$E$1005,"&gt;"&amp;D661,$F$6:$F$1005,"&lt;&gt;İptal")&gt;1),"HATA: oda bu tarihlerde çakışıyor",IF(AND(F661="Bekleniyor",D661&lt;RaporTarihi),"HATA: giriş günü geçti, Geldi veya İptal yapın","OK"))))))))))))</f>
        <v/>
      </c>
      <c r="L661" s="25">
        <f>IF(AND(ISNUMBER(A661),F661&lt;&gt;"İptal",ISNUMBER(D661),ISNUMBER(E661),D661&lt;=RaporTarihi,E661&gt;RaporTarihi),A661,"")</f>
        <v/>
      </c>
    </row>
    <row r="662">
      <c r="A662" s="22" t="n"/>
      <c r="B662" s="22" t="n"/>
      <c r="C662" s="22" t="n"/>
      <c r="D662" s="23" t="n"/>
      <c r="E662" s="23" t="n"/>
      <c r="F662" s="22" t="n"/>
      <c r="G662" s="24" t="n"/>
      <c r="H662" s="22" t="n"/>
      <c r="I662" s="25">
        <f>IF(AND(ISNUMBER(D662),ISNUMBER(E662)),E662-D662,"")</f>
        <v/>
      </c>
      <c r="J662" s="26">
        <f>IF(AND(ISNUMBER(I662),ISNUMBER(G662)),IF(I662&gt;0,G662/I662,""),"")</f>
        <v/>
      </c>
      <c r="K662" s="25">
        <f>IF(COUNTA(A662:H662)=0,"",IF(OR(A662="",B662="",C662="",D662="",E662="",F662="",G662="",H662=""),"HATA: eksik bilgi",IF(COUNTIF(OdaListesi,A662)=0,"HATA: geçersiz oda no",IF(OR(NOT(ISNUMBER(D662)),NOT(ISNUMBER(E662))),"HATA: tarih geçersiz",IF(E662&lt;=D662,"HATA: çıkış girişten sonra olmalı",IF(OR(NOT(ISNUMBER(C662)),C662&lt;1,C662&gt;MaxKisi,C662&lt;&gt;INT(C662)),"HATA: kişi sayısı geçersiz",IF(OR(NOT(ISNUMBER(G662)),G662&lt;0),"HATA: tutar geçersiz",IF(B662&lt;&gt;TRIM(B662),"HATA: isimde baştaki/sondaki boşluk",IF(COUNTIF(KaynakAralik,H662)=0,"HATA: kaynak listede yok",IF(AND(F662&lt;&gt;"Bekleniyor",F662&lt;&gt;"Geldi",F662&lt;&gt;"İptal"),"HATA: giriş durumu geçersiz",IF(AND(F662&lt;&gt;"İptal",COUNTIFS($A$6:$A$1005,A662,$D$6:$D$1005,"&lt;"&amp;E662,$E$6:$E$1005,"&gt;"&amp;D662,$F$6:$F$1005,"&lt;&gt;İptal")&gt;1),"HATA: oda bu tarihlerde çakışıyor",IF(AND(F662="Bekleniyor",D662&lt;RaporTarihi),"HATA: giriş günü geçti, Geldi veya İptal yapın","OK"))))))))))))</f>
        <v/>
      </c>
      <c r="L662" s="25">
        <f>IF(AND(ISNUMBER(A662),F662&lt;&gt;"İptal",ISNUMBER(D662),ISNUMBER(E662),D662&lt;=RaporTarihi,E662&gt;RaporTarihi),A662,"")</f>
        <v/>
      </c>
    </row>
    <row r="663">
      <c r="A663" s="22" t="n"/>
      <c r="B663" s="22" t="n"/>
      <c r="C663" s="22" t="n"/>
      <c r="D663" s="23" t="n"/>
      <c r="E663" s="23" t="n"/>
      <c r="F663" s="22" t="n"/>
      <c r="G663" s="24" t="n"/>
      <c r="H663" s="22" t="n"/>
      <c r="I663" s="25">
        <f>IF(AND(ISNUMBER(D663),ISNUMBER(E663)),E663-D663,"")</f>
        <v/>
      </c>
      <c r="J663" s="26">
        <f>IF(AND(ISNUMBER(I663),ISNUMBER(G663)),IF(I663&gt;0,G663/I663,""),"")</f>
        <v/>
      </c>
      <c r="K663" s="25">
        <f>IF(COUNTA(A663:H663)=0,"",IF(OR(A663="",B663="",C663="",D663="",E663="",F663="",G663="",H663=""),"HATA: eksik bilgi",IF(COUNTIF(OdaListesi,A663)=0,"HATA: geçersiz oda no",IF(OR(NOT(ISNUMBER(D663)),NOT(ISNUMBER(E663))),"HATA: tarih geçersiz",IF(E663&lt;=D663,"HATA: çıkış girişten sonra olmalı",IF(OR(NOT(ISNUMBER(C663)),C663&lt;1,C663&gt;MaxKisi,C663&lt;&gt;INT(C663)),"HATA: kişi sayısı geçersiz",IF(OR(NOT(ISNUMBER(G663)),G663&lt;0),"HATA: tutar geçersiz",IF(B663&lt;&gt;TRIM(B663),"HATA: isimde baştaki/sondaki boşluk",IF(COUNTIF(KaynakAralik,H663)=0,"HATA: kaynak listede yok",IF(AND(F663&lt;&gt;"Bekleniyor",F663&lt;&gt;"Geldi",F663&lt;&gt;"İptal"),"HATA: giriş durumu geçersiz",IF(AND(F663&lt;&gt;"İptal",COUNTIFS($A$6:$A$1005,A663,$D$6:$D$1005,"&lt;"&amp;E663,$E$6:$E$1005,"&gt;"&amp;D663,$F$6:$F$1005,"&lt;&gt;İptal")&gt;1),"HATA: oda bu tarihlerde çakışıyor",IF(AND(F663="Bekleniyor",D663&lt;RaporTarihi),"HATA: giriş günü geçti, Geldi veya İptal yapın","OK"))))))))))))</f>
        <v/>
      </c>
      <c r="L663" s="25">
        <f>IF(AND(ISNUMBER(A663),F663&lt;&gt;"İptal",ISNUMBER(D663),ISNUMBER(E663),D663&lt;=RaporTarihi,E663&gt;RaporTarihi),A663,"")</f>
        <v/>
      </c>
    </row>
    <row r="664">
      <c r="A664" s="22" t="n"/>
      <c r="B664" s="22" t="n"/>
      <c r="C664" s="22" t="n"/>
      <c r="D664" s="23" t="n"/>
      <c r="E664" s="23" t="n"/>
      <c r="F664" s="22" t="n"/>
      <c r="G664" s="24" t="n"/>
      <c r="H664" s="22" t="n"/>
      <c r="I664" s="25">
        <f>IF(AND(ISNUMBER(D664),ISNUMBER(E664)),E664-D664,"")</f>
        <v/>
      </c>
      <c r="J664" s="26">
        <f>IF(AND(ISNUMBER(I664),ISNUMBER(G664)),IF(I664&gt;0,G664/I664,""),"")</f>
        <v/>
      </c>
      <c r="K664" s="25">
        <f>IF(COUNTA(A664:H664)=0,"",IF(OR(A664="",B664="",C664="",D664="",E664="",F664="",G664="",H664=""),"HATA: eksik bilgi",IF(COUNTIF(OdaListesi,A664)=0,"HATA: geçersiz oda no",IF(OR(NOT(ISNUMBER(D664)),NOT(ISNUMBER(E664))),"HATA: tarih geçersiz",IF(E664&lt;=D664,"HATA: çıkış girişten sonra olmalı",IF(OR(NOT(ISNUMBER(C664)),C664&lt;1,C664&gt;MaxKisi,C664&lt;&gt;INT(C664)),"HATA: kişi sayısı geçersiz",IF(OR(NOT(ISNUMBER(G664)),G664&lt;0),"HATA: tutar geçersiz",IF(B664&lt;&gt;TRIM(B664),"HATA: isimde baştaki/sondaki boşluk",IF(COUNTIF(KaynakAralik,H664)=0,"HATA: kaynak listede yok",IF(AND(F664&lt;&gt;"Bekleniyor",F664&lt;&gt;"Geldi",F664&lt;&gt;"İptal"),"HATA: giriş durumu geçersiz",IF(AND(F664&lt;&gt;"İptal",COUNTIFS($A$6:$A$1005,A664,$D$6:$D$1005,"&lt;"&amp;E664,$E$6:$E$1005,"&gt;"&amp;D664,$F$6:$F$1005,"&lt;&gt;İptal")&gt;1),"HATA: oda bu tarihlerde çakışıyor",IF(AND(F664="Bekleniyor",D664&lt;RaporTarihi),"HATA: giriş günü geçti, Geldi veya İptal yapın","OK"))))))))))))</f>
        <v/>
      </c>
      <c r="L664" s="25">
        <f>IF(AND(ISNUMBER(A664),F664&lt;&gt;"İptal",ISNUMBER(D664),ISNUMBER(E664),D664&lt;=RaporTarihi,E664&gt;RaporTarihi),A664,"")</f>
        <v/>
      </c>
    </row>
    <row r="665">
      <c r="A665" s="22" t="n"/>
      <c r="B665" s="22" t="n"/>
      <c r="C665" s="22" t="n"/>
      <c r="D665" s="23" t="n"/>
      <c r="E665" s="23" t="n"/>
      <c r="F665" s="22" t="n"/>
      <c r="G665" s="24" t="n"/>
      <c r="H665" s="22" t="n"/>
      <c r="I665" s="25">
        <f>IF(AND(ISNUMBER(D665),ISNUMBER(E665)),E665-D665,"")</f>
        <v/>
      </c>
      <c r="J665" s="26">
        <f>IF(AND(ISNUMBER(I665),ISNUMBER(G665)),IF(I665&gt;0,G665/I665,""),"")</f>
        <v/>
      </c>
      <c r="K665" s="25">
        <f>IF(COUNTA(A665:H665)=0,"",IF(OR(A665="",B665="",C665="",D665="",E665="",F665="",G665="",H665=""),"HATA: eksik bilgi",IF(COUNTIF(OdaListesi,A665)=0,"HATA: geçersiz oda no",IF(OR(NOT(ISNUMBER(D665)),NOT(ISNUMBER(E665))),"HATA: tarih geçersiz",IF(E665&lt;=D665,"HATA: çıkış girişten sonra olmalı",IF(OR(NOT(ISNUMBER(C665)),C665&lt;1,C665&gt;MaxKisi,C665&lt;&gt;INT(C665)),"HATA: kişi sayısı geçersiz",IF(OR(NOT(ISNUMBER(G665)),G665&lt;0),"HATA: tutar geçersiz",IF(B665&lt;&gt;TRIM(B665),"HATA: isimde baştaki/sondaki boşluk",IF(COUNTIF(KaynakAralik,H665)=0,"HATA: kaynak listede yok",IF(AND(F665&lt;&gt;"Bekleniyor",F665&lt;&gt;"Geldi",F665&lt;&gt;"İptal"),"HATA: giriş durumu geçersiz",IF(AND(F665&lt;&gt;"İptal",COUNTIFS($A$6:$A$1005,A665,$D$6:$D$1005,"&lt;"&amp;E665,$E$6:$E$1005,"&gt;"&amp;D665,$F$6:$F$1005,"&lt;&gt;İptal")&gt;1),"HATA: oda bu tarihlerde çakışıyor",IF(AND(F665="Bekleniyor",D665&lt;RaporTarihi),"HATA: giriş günü geçti, Geldi veya İptal yapın","OK"))))))))))))</f>
        <v/>
      </c>
      <c r="L665" s="25">
        <f>IF(AND(ISNUMBER(A665),F665&lt;&gt;"İptal",ISNUMBER(D665),ISNUMBER(E665),D665&lt;=RaporTarihi,E665&gt;RaporTarihi),A665,"")</f>
        <v/>
      </c>
    </row>
    <row r="666">
      <c r="A666" s="22" t="n"/>
      <c r="B666" s="22" t="n"/>
      <c r="C666" s="22" t="n"/>
      <c r="D666" s="23" t="n"/>
      <c r="E666" s="23" t="n"/>
      <c r="F666" s="22" t="n"/>
      <c r="G666" s="24" t="n"/>
      <c r="H666" s="22" t="n"/>
      <c r="I666" s="25">
        <f>IF(AND(ISNUMBER(D666),ISNUMBER(E666)),E666-D666,"")</f>
        <v/>
      </c>
      <c r="J666" s="26">
        <f>IF(AND(ISNUMBER(I666),ISNUMBER(G666)),IF(I666&gt;0,G666/I666,""),"")</f>
        <v/>
      </c>
      <c r="K666" s="25">
        <f>IF(COUNTA(A666:H666)=0,"",IF(OR(A666="",B666="",C666="",D666="",E666="",F666="",G666="",H666=""),"HATA: eksik bilgi",IF(COUNTIF(OdaListesi,A666)=0,"HATA: geçersiz oda no",IF(OR(NOT(ISNUMBER(D666)),NOT(ISNUMBER(E666))),"HATA: tarih geçersiz",IF(E666&lt;=D666,"HATA: çıkış girişten sonra olmalı",IF(OR(NOT(ISNUMBER(C666)),C666&lt;1,C666&gt;MaxKisi,C666&lt;&gt;INT(C666)),"HATA: kişi sayısı geçersiz",IF(OR(NOT(ISNUMBER(G666)),G666&lt;0),"HATA: tutar geçersiz",IF(B666&lt;&gt;TRIM(B666),"HATA: isimde baştaki/sondaki boşluk",IF(COUNTIF(KaynakAralik,H666)=0,"HATA: kaynak listede yok",IF(AND(F666&lt;&gt;"Bekleniyor",F666&lt;&gt;"Geldi",F666&lt;&gt;"İptal"),"HATA: giriş durumu geçersiz",IF(AND(F666&lt;&gt;"İptal",COUNTIFS($A$6:$A$1005,A666,$D$6:$D$1005,"&lt;"&amp;E666,$E$6:$E$1005,"&gt;"&amp;D666,$F$6:$F$1005,"&lt;&gt;İptal")&gt;1),"HATA: oda bu tarihlerde çakışıyor",IF(AND(F666="Bekleniyor",D666&lt;RaporTarihi),"HATA: giriş günü geçti, Geldi veya İptal yapın","OK"))))))))))))</f>
        <v/>
      </c>
      <c r="L666" s="25">
        <f>IF(AND(ISNUMBER(A666),F666&lt;&gt;"İptal",ISNUMBER(D666),ISNUMBER(E666),D666&lt;=RaporTarihi,E666&gt;RaporTarihi),A666,"")</f>
        <v/>
      </c>
    </row>
    <row r="667">
      <c r="A667" s="22" t="n"/>
      <c r="B667" s="22" t="n"/>
      <c r="C667" s="22" t="n"/>
      <c r="D667" s="23" t="n"/>
      <c r="E667" s="23" t="n"/>
      <c r="F667" s="22" t="n"/>
      <c r="G667" s="24" t="n"/>
      <c r="H667" s="22" t="n"/>
      <c r="I667" s="25">
        <f>IF(AND(ISNUMBER(D667),ISNUMBER(E667)),E667-D667,"")</f>
        <v/>
      </c>
      <c r="J667" s="26">
        <f>IF(AND(ISNUMBER(I667),ISNUMBER(G667)),IF(I667&gt;0,G667/I667,""),"")</f>
        <v/>
      </c>
      <c r="K667" s="25">
        <f>IF(COUNTA(A667:H667)=0,"",IF(OR(A667="",B667="",C667="",D667="",E667="",F667="",G667="",H667=""),"HATA: eksik bilgi",IF(COUNTIF(OdaListesi,A667)=0,"HATA: geçersiz oda no",IF(OR(NOT(ISNUMBER(D667)),NOT(ISNUMBER(E667))),"HATA: tarih geçersiz",IF(E667&lt;=D667,"HATA: çıkış girişten sonra olmalı",IF(OR(NOT(ISNUMBER(C667)),C667&lt;1,C667&gt;MaxKisi,C667&lt;&gt;INT(C667)),"HATA: kişi sayısı geçersiz",IF(OR(NOT(ISNUMBER(G667)),G667&lt;0),"HATA: tutar geçersiz",IF(B667&lt;&gt;TRIM(B667),"HATA: isimde baştaki/sondaki boşluk",IF(COUNTIF(KaynakAralik,H667)=0,"HATA: kaynak listede yok",IF(AND(F667&lt;&gt;"Bekleniyor",F667&lt;&gt;"Geldi",F667&lt;&gt;"İptal"),"HATA: giriş durumu geçersiz",IF(AND(F667&lt;&gt;"İptal",COUNTIFS($A$6:$A$1005,A667,$D$6:$D$1005,"&lt;"&amp;E667,$E$6:$E$1005,"&gt;"&amp;D667,$F$6:$F$1005,"&lt;&gt;İptal")&gt;1),"HATA: oda bu tarihlerde çakışıyor",IF(AND(F667="Bekleniyor",D667&lt;RaporTarihi),"HATA: giriş günü geçti, Geldi veya İptal yapın","OK"))))))))))))</f>
        <v/>
      </c>
      <c r="L667" s="25">
        <f>IF(AND(ISNUMBER(A667),F667&lt;&gt;"İptal",ISNUMBER(D667),ISNUMBER(E667),D667&lt;=RaporTarihi,E667&gt;RaporTarihi),A667,"")</f>
        <v/>
      </c>
    </row>
    <row r="668">
      <c r="A668" s="22" t="n"/>
      <c r="B668" s="22" t="n"/>
      <c r="C668" s="22" t="n"/>
      <c r="D668" s="23" t="n"/>
      <c r="E668" s="23" t="n"/>
      <c r="F668" s="22" t="n"/>
      <c r="G668" s="24" t="n"/>
      <c r="H668" s="22" t="n"/>
      <c r="I668" s="25">
        <f>IF(AND(ISNUMBER(D668),ISNUMBER(E668)),E668-D668,"")</f>
        <v/>
      </c>
      <c r="J668" s="26">
        <f>IF(AND(ISNUMBER(I668),ISNUMBER(G668)),IF(I668&gt;0,G668/I668,""),"")</f>
        <v/>
      </c>
      <c r="K668" s="25">
        <f>IF(COUNTA(A668:H668)=0,"",IF(OR(A668="",B668="",C668="",D668="",E668="",F668="",G668="",H668=""),"HATA: eksik bilgi",IF(COUNTIF(OdaListesi,A668)=0,"HATA: geçersiz oda no",IF(OR(NOT(ISNUMBER(D668)),NOT(ISNUMBER(E668))),"HATA: tarih geçersiz",IF(E668&lt;=D668,"HATA: çıkış girişten sonra olmalı",IF(OR(NOT(ISNUMBER(C668)),C668&lt;1,C668&gt;MaxKisi,C668&lt;&gt;INT(C668)),"HATA: kişi sayısı geçersiz",IF(OR(NOT(ISNUMBER(G668)),G668&lt;0),"HATA: tutar geçersiz",IF(B668&lt;&gt;TRIM(B668),"HATA: isimde baştaki/sondaki boşluk",IF(COUNTIF(KaynakAralik,H668)=0,"HATA: kaynak listede yok",IF(AND(F668&lt;&gt;"Bekleniyor",F668&lt;&gt;"Geldi",F668&lt;&gt;"İptal"),"HATA: giriş durumu geçersiz",IF(AND(F668&lt;&gt;"İptal",COUNTIFS($A$6:$A$1005,A668,$D$6:$D$1005,"&lt;"&amp;E668,$E$6:$E$1005,"&gt;"&amp;D668,$F$6:$F$1005,"&lt;&gt;İptal")&gt;1),"HATA: oda bu tarihlerde çakışıyor",IF(AND(F668="Bekleniyor",D668&lt;RaporTarihi),"HATA: giriş günü geçti, Geldi veya İptal yapın","OK"))))))))))))</f>
        <v/>
      </c>
      <c r="L668" s="25">
        <f>IF(AND(ISNUMBER(A668),F668&lt;&gt;"İptal",ISNUMBER(D668),ISNUMBER(E668),D668&lt;=RaporTarihi,E668&gt;RaporTarihi),A668,"")</f>
        <v/>
      </c>
    </row>
    <row r="669">
      <c r="A669" s="22" t="n"/>
      <c r="B669" s="22" t="n"/>
      <c r="C669" s="22" t="n"/>
      <c r="D669" s="23" t="n"/>
      <c r="E669" s="23" t="n"/>
      <c r="F669" s="22" t="n"/>
      <c r="G669" s="24" t="n"/>
      <c r="H669" s="22" t="n"/>
      <c r="I669" s="25">
        <f>IF(AND(ISNUMBER(D669),ISNUMBER(E669)),E669-D669,"")</f>
        <v/>
      </c>
      <c r="J669" s="26">
        <f>IF(AND(ISNUMBER(I669),ISNUMBER(G669)),IF(I669&gt;0,G669/I669,""),"")</f>
        <v/>
      </c>
      <c r="K669" s="25">
        <f>IF(COUNTA(A669:H669)=0,"",IF(OR(A669="",B669="",C669="",D669="",E669="",F669="",G669="",H669=""),"HATA: eksik bilgi",IF(COUNTIF(OdaListesi,A669)=0,"HATA: geçersiz oda no",IF(OR(NOT(ISNUMBER(D669)),NOT(ISNUMBER(E669))),"HATA: tarih geçersiz",IF(E669&lt;=D669,"HATA: çıkış girişten sonra olmalı",IF(OR(NOT(ISNUMBER(C669)),C669&lt;1,C669&gt;MaxKisi,C669&lt;&gt;INT(C669)),"HATA: kişi sayısı geçersiz",IF(OR(NOT(ISNUMBER(G669)),G669&lt;0),"HATA: tutar geçersiz",IF(B669&lt;&gt;TRIM(B669),"HATA: isimde baştaki/sondaki boşluk",IF(COUNTIF(KaynakAralik,H669)=0,"HATA: kaynak listede yok",IF(AND(F669&lt;&gt;"Bekleniyor",F669&lt;&gt;"Geldi",F669&lt;&gt;"İptal"),"HATA: giriş durumu geçersiz",IF(AND(F669&lt;&gt;"İptal",COUNTIFS($A$6:$A$1005,A669,$D$6:$D$1005,"&lt;"&amp;E669,$E$6:$E$1005,"&gt;"&amp;D669,$F$6:$F$1005,"&lt;&gt;İptal")&gt;1),"HATA: oda bu tarihlerde çakışıyor",IF(AND(F669="Bekleniyor",D669&lt;RaporTarihi),"HATA: giriş günü geçti, Geldi veya İptal yapın","OK"))))))))))))</f>
        <v/>
      </c>
      <c r="L669" s="25">
        <f>IF(AND(ISNUMBER(A669),F669&lt;&gt;"İptal",ISNUMBER(D669),ISNUMBER(E669),D669&lt;=RaporTarihi,E669&gt;RaporTarihi),A669,"")</f>
        <v/>
      </c>
    </row>
    <row r="670">
      <c r="A670" s="22" t="n"/>
      <c r="B670" s="22" t="n"/>
      <c r="C670" s="22" t="n"/>
      <c r="D670" s="23" t="n"/>
      <c r="E670" s="23" t="n"/>
      <c r="F670" s="22" t="n"/>
      <c r="G670" s="24" t="n"/>
      <c r="H670" s="22" t="n"/>
      <c r="I670" s="25">
        <f>IF(AND(ISNUMBER(D670),ISNUMBER(E670)),E670-D670,"")</f>
        <v/>
      </c>
      <c r="J670" s="26">
        <f>IF(AND(ISNUMBER(I670),ISNUMBER(G670)),IF(I670&gt;0,G670/I670,""),"")</f>
        <v/>
      </c>
      <c r="K670" s="25">
        <f>IF(COUNTA(A670:H670)=0,"",IF(OR(A670="",B670="",C670="",D670="",E670="",F670="",G670="",H670=""),"HATA: eksik bilgi",IF(COUNTIF(OdaListesi,A670)=0,"HATA: geçersiz oda no",IF(OR(NOT(ISNUMBER(D670)),NOT(ISNUMBER(E670))),"HATA: tarih geçersiz",IF(E670&lt;=D670,"HATA: çıkış girişten sonra olmalı",IF(OR(NOT(ISNUMBER(C670)),C670&lt;1,C670&gt;MaxKisi,C670&lt;&gt;INT(C670)),"HATA: kişi sayısı geçersiz",IF(OR(NOT(ISNUMBER(G670)),G670&lt;0),"HATA: tutar geçersiz",IF(B670&lt;&gt;TRIM(B670),"HATA: isimde baştaki/sondaki boşluk",IF(COUNTIF(KaynakAralik,H670)=0,"HATA: kaynak listede yok",IF(AND(F670&lt;&gt;"Bekleniyor",F670&lt;&gt;"Geldi",F670&lt;&gt;"İptal"),"HATA: giriş durumu geçersiz",IF(AND(F670&lt;&gt;"İptal",COUNTIFS($A$6:$A$1005,A670,$D$6:$D$1005,"&lt;"&amp;E670,$E$6:$E$1005,"&gt;"&amp;D670,$F$6:$F$1005,"&lt;&gt;İptal")&gt;1),"HATA: oda bu tarihlerde çakışıyor",IF(AND(F670="Bekleniyor",D670&lt;RaporTarihi),"HATA: giriş günü geçti, Geldi veya İptal yapın","OK"))))))))))))</f>
        <v/>
      </c>
      <c r="L670" s="25">
        <f>IF(AND(ISNUMBER(A670),F670&lt;&gt;"İptal",ISNUMBER(D670),ISNUMBER(E670),D670&lt;=RaporTarihi,E670&gt;RaporTarihi),A670,"")</f>
        <v/>
      </c>
    </row>
    <row r="671">
      <c r="A671" s="22" t="n"/>
      <c r="B671" s="22" t="n"/>
      <c r="C671" s="22" t="n"/>
      <c r="D671" s="23" t="n"/>
      <c r="E671" s="23" t="n"/>
      <c r="F671" s="22" t="n"/>
      <c r="G671" s="24" t="n"/>
      <c r="H671" s="22" t="n"/>
      <c r="I671" s="25">
        <f>IF(AND(ISNUMBER(D671),ISNUMBER(E671)),E671-D671,"")</f>
        <v/>
      </c>
      <c r="J671" s="26">
        <f>IF(AND(ISNUMBER(I671),ISNUMBER(G671)),IF(I671&gt;0,G671/I671,""),"")</f>
        <v/>
      </c>
      <c r="K671" s="25">
        <f>IF(COUNTA(A671:H671)=0,"",IF(OR(A671="",B671="",C671="",D671="",E671="",F671="",G671="",H671=""),"HATA: eksik bilgi",IF(COUNTIF(OdaListesi,A671)=0,"HATA: geçersiz oda no",IF(OR(NOT(ISNUMBER(D671)),NOT(ISNUMBER(E671))),"HATA: tarih geçersiz",IF(E671&lt;=D671,"HATA: çıkış girişten sonra olmalı",IF(OR(NOT(ISNUMBER(C671)),C671&lt;1,C671&gt;MaxKisi,C671&lt;&gt;INT(C671)),"HATA: kişi sayısı geçersiz",IF(OR(NOT(ISNUMBER(G671)),G671&lt;0),"HATA: tutar geçersiz",IF(B671&lt;&gt;TRIM(B671),"HATA: isimde baştaki/sondaki boşluk",IF(COUNTIF(KaynakAralik,H671)=0,"HATA: kaynak listede yok",IF(AND(F671&lt;&gt;"Bekleniyor",F671&lt;&gt;"Geldi",F671&lt;&gt;"İptal"),"HATA: giriş durumu geçersiz",IF(AND(F671&lt;&gt;"İptal",COUNTIFS($A$6:$A$1005,A671,$D$6:$D$1005,"&lt;"&amp;E671,$E$6:$E$1005,"&gt;"&amp;D671,$F$6:$F$1005,"&lt;&gt;İptal")&gt;1),"HATA: oda bu tarihlerde çakışıyor",IF(AND(F671="Bekleniyor",D671&lt;RaporTarihi),"HATA: giriş günü geçti, Geldi veya İptal yapın","OK"))))))))))))</f>
        <v/>
      </c>
      <c r="L671" s="25">
        <f>IF(AND(ISNUMBER(A671),F671&lt;&gt;"İptal",ISNUMBER(D671),ISNUMBER(E671),D671&lt;=RaporTarihi,E671&gt;RaporTarihi),A671,"")</f>
        <v/>
      </c>
    </row>
    <row r="672">
      <c r="A672" s="22" t="n"/>
      <c r="B672" s="22" t="n"/>
      <c r="C672" s="22" t="n"/>
      <c r="D672" s="23" t="n"/>
      <c r="E672" s="23" t="n"/>
      <c r="F672" s="22" t="n"/>
      <c r="G672" s="24" t="n"/>
      <c r="H672" s="22" t="n"/>
      <c r="I672" s="25">
        <f>IF(AND(ISNUMBER(D672),ISNUMBER(E672)),E672-D672,"")</f>
        <v/>
      </c>
      <c r="J672" s="26">
        <f>IF(AND(ISNUMBER(I672),ISNUMBER(G672)),IF(I672&gt;0,G672/I672,""),"")</f>
        <v/>
      </c>
      <c r="K672" s="25">
        <f>IF(COUNTA(A672:H672)=0,"",IF(OR(A672="",B672="",C672="",D672="",E672="",F672="",G672="",H672=""),"HATA: eksik bilgi",IF(COUNTIF(OdaListesi,A672)=0,"HATA: geçersiz oda no",IF(OR(NOT(ISNUMBER(D672)),NOT(ISNUMBER(E672))),"HATA: tarih geçersiz",IF(E672&lt;=D672,"HATA: çıkış girişten sonra olmalı",IF(OR(NOT(ISNUMBER(C672)),C672&lt;1,C672&gt;MaxKisi,C672&lt;&gt;INT(C672)),"HATA: kişi sayısı geçersiz",IF(OR(NOT(ISNUMBER(G672)),G672&lt;0),"HATA: tutar geçersiz",IF(B672&lt;&gt;TRIM(B672),"HATA: isimde baştaki/sondaki boşluk",IF(COUNTIF(KaynakAralik,H672)=0,"HATA: kaynak listede yok",IF(AND(F672&lt;&gt;"Bekleniyor",F672&lt;&gt;"Geldi",F672&lt;&gt;"İptal"),"HATA: giriş durumu geçersiz",IF(AND(F672&lt;&gt;"İptal",COUNTIFS($A$6:$A$1005,A672,$D$6:$D$1005,"&lt;"&amp;E672,$E$6:$E$1005,"&gt;"&amp;D672,$F$6:$F$1005,"&lt;&gt;İptal")&gt;1),"HATA: oda bu tarihlerde çakışıyor",IF(AND(F672="Bekleniyor",D672&lt;RaporTarihi),"HATA: giriş günü geçti, Geldi veya İptal yapın","OK"))))))))))))</f>
        <v/>
      </c>
      <c r="L672" s="25">
        <f>IF(AND(ISNUMBER(A672),F672&lt;&gt;"İptal",ISNUMBER(D672),ISNUMBER(E672),D672&lt;=RaporTarihi,E672&gt;RaporTarihi),A672,"")</f>
        <v/>
      </c>
    </row>
    <row r="673">
      <c r="A673" s="22" t="n"/>
      <c r="B673" s="22" t="n"/>
      <c r="C673" s="22" t="n"/>
      <c r="D673" s="23" t="n"/>
      <c r="E673" s="23" t="n"/>
      <c r="F673" s="22" t="n"/>
      <c r="G673" s="24" t="n"/>
      <c r="H673" s="22" t="n"/>
      <c r="I673" s="25">
        <f>IF(AND(ISNUMBER(D673),ISNUMBER(E673)),E673-D673,"")</f>
        <v/>
      </c>
      <c r="J673" s="26">
        <f>IF(AND(ISNUMBER(I673),ISNUMBER(G673)),IF(I673&gt;0,G673/I673,""),"")</f>
        <v/>
      </c>
      <c r="K673" s="25">
        <f>IF(COUNTA(A673:H673)=0,"",IF(OR(A673="",B673="",C673="",D673="",E673="",F673="",G673="",H673=""),"HATA: eksik bilgi",IF(COUNTIF(OdaListesi,A673)=0,"HATA: geçersiz oda no",IF(OR(NOT(ISNUMBER(D673)),NOT(ISNUMBER(E673))),"HATA: tarih geçersiz",IF(E673&lt;=D673,"HATA: çıkış girişten sonra olmalı",IF(OR(NOT(ISNUMBER(C673)),C673&lt;1,C673&gt;MaxKisi,C673&lt;&gt;INT(C673)),"HATA: kişi sayısı geçersiz",IF(OR(NOT(ISNUMBER(G673)),G673&lt;0),"HATA: tutar geçersiz",IF(B673&lt;&gt;TRIM(B673),"HATA: isimde baştaki/sondaki boşluk",IF(COUNTIF(KaynakAralik,H673)=0,"HATA: kaynak listede yok",IF(AND(F673&lt;&gt;"Bekleniyor",F673&lt;&gt;"Geldi",F673&lt;&gt;"İptal"),"HATA: giriş durumu geçersiz",IF(AND(F673&lt;&gt;"İptal",COUNTIFS($A$6:$A$1005,A673,$D$6:$D$1005,"&lt;"&amp;E673,$E$6:$E$1005,"&gt;"&amp;D673,$F$6:$F$1005,"&lt;&gt;İptal")&gt;1),"HATA: oda bu tarihlerde çakışıyor",IF(AND(F673="Bekleniyor",D673&lt;RaporTarihi),"HATA: giriş günü geçti, Geldi veya İptal yapın","OK"))))))))))))</f>
        <v/>
      </c>
      <c r="L673" s="25">
        <f>IF(AND(ISNUMBER(A673),F673&lt;&gt;"İptal",ISNUMBER(D673),ISNUMBER(E673),D673&lt;=RaporTarihi,E673&gt;RaporTarihi),A673,"")</f>
        <v/>
      </c>
    </row>
    <row r="674">
      <c r="A674" s="22" t="n"/>
      <c r="B674" s="22" t="n"/>
      <c r="C674" s="22" t="n"/>
      <c r="D674" s="23" t="n"/>
      <c r="E674" s="23" t="n"/>
      <c r="F674" s="22" t="n"/>
      <c r="G674" s="24" t="n"/>
      <c r="H674" s="22" t="n"/>
      <c r="I674" s="25">
        <f>IF(AND(ISNUMBER(D674),ISNUMBER(E674)),E674-D674,"")</f>
        <v/>
      </c>
      <c r="J674" s="26">
        <f>IF(AND(ISNUMBER(I674),ISNUMBER(G674)),IF(I674&gt;0,G674/I674,""),"")</f>
        <v/>
      </c>
      <c r="K674" s="25">
        <f>IF(COUNTA(A674:H674)=0,"",IF(OR(A674="",B674="",C674="",D674="",E674="",F674="",G674="",H674=""),"HATA: eksik bilgi",IF(COUNTIF(OdaListesi,A674)=0,"HATA: geçersiz oda no",IF(OR(NOT(ISNUMBER(D674)),NOT(ISNUMBER(E674))),"HATA: tarih geçersiz",IF(E674&lt;=D674,"HATA: çıkış girişten sonra olmalı",IF(OR(NOT(ISNUMBER(C674)),C674&lt;1,C674&gt;MaxKisi,C674&lt;&gt;INT(C674)),"HATA: kişi sayısı geçersiz",IF(OR(NOT(ISNUMBER(G674)),G674&lt;0),"HATA: tutar geçersiz",IF(B674&lt;&gt;TRIM(B674),"HATA: isimde baştaki/sondaki boşluk",IF(COUNTIF(KaynakAralik,H674)=0,"HATA: kaynak listede yok",IF(AND(F674&lt;&gt;"Bekleniyor",F674&lt;&gt;"Geldi",F674&lt;&gt;"İptal"),"HATA: giriş durumu geçersiz",IF(AND(F674&lt;&gt;"İptal",COUNTIFS($A$6:$A$1005,A674,$D$6:$D$1005,"&lt;"&amp;E674,$E$6:$E$1005,"&gt;"&amp;D674,$F$6:$F$1005,"&lt;&gt;İptal")&gt;1),"HATA: oda bu tarihlerde çakışıyor",IF(AND(F674="Bekleniyor",D674&lt;RaporTarihi),"HATA: giriş günü geçti, Geldi veya İptal yapın","OK"))))))))))))</f>
        <v/>
      </c>
      <c r="L674" s="25">
        <f>IF(AND(ISNUMBER(A674),F674&lt;&gt;"İptal",ISNUMBER(D674),ISNUMBER(E674),D674&lt;=RaporTarihi,E674&gt;RaporTarihi),A674,"")</f>
        <v/>
      </c>
    </row>
    <row r="675">
      <c r="A675" s="22" t="n"/>
      <c r="B675" s="22" t="n"/>
      <c r="C675" s="22" t="n"/>
      <c r="D675" s="23" t="n"/>
      <c r="E675" s="23" t="n"/>
      <c r="F675" s="22" t="n"/>
      <c r="G675" s="24" t="n"/>
      <c r="H675" s="22" t="n"/>
      <c r="I675" s="25">
        <f>IF(AND(ISNUMBER(D675),ISNUMBER(E675)),E675-D675,"")</f>
        <v/>
      </c>
      <c r="J675" s="26">
        <f>IF(AND(ISNUMBER(I675),ISNUMBER(G675)),IF(I675&gt;0,G675/I675,""),"")</f>
        <v/>
      </c>
      <c r="K675" s="25">
        <f>IF(COUNTA(A675:H675)=0,"",IF(OR(A675="",B675="",C675="",D675="",E675="",F675="",G675="",H675=""),"HATA: eksik bilgi",IF(COUNTIF(OdaListesi,A675)=0,"HATA: geçersiz oda no",IF(OR(NOT(ISNUMBER(D675)),NOT(ISNUMBER(E675))),"HATA: tarih geçersiz",IF(E675&lt;=D675,"HATA: çıkış girişten sonra olmalı",IF(OR(NOT(ISNUMBER(C675)),C675&lt;1,C675&gt;MaxKisi,C675&lt;&gt;INT(C675)),"HATA: kişi sayısı geçersiz",IF(OR(NOT(ISNUMBER(G675)),G675&lt;0),"HATA: tutar geçersiz",IF(B675&lt;&gt;TRIM(B675),"HATA: isimde baştaki/sondaki boşluk",IF(COUNTIF(KaynakAralik,H675)=0,"HATA: kaynak listede yok",IF(AND(F675&lt;&gt;"Bekleniyor",F675&lt;&gt;"Geldi",F675&lt;&gt;"İptal"),"HATA: giriş durumu geçersiz",IF(AND(F675&lt;&gt;"İptal",COUNTIFS($A$6:$A$1005,A675,$D$6:$D$1005,"&lt;"&amp;E675,$E$6:$E$1005,"&gt;"&amp;D675,$F$6:$F$1005,"&lt;&gt;İptal")&gt;1),"HATA: oda bu tarihlerde çakışıyor",IF(AND(F675="Bekleniyor",D675&lt;RaporTarihi),"HATA: giriş günü geçti, Geldi veya İptal yapın","OK"))))))))))))</f>
        <v/>
      </c>
      <c r="L675" s="25">
        <f>IF(AND(ISNUMBER(A675),F675&lt;&gt;"İptal",ISNUMBER(D675),ISNUMBER(E675),D675&lt;=RaporTarihi,E675&gt;RaporTarihi),A675,"")</f>
        <v/>
      </c>
    </row>
    <row r="676">
      <c r="A676" s="22" t="n"/>
      <c r="B676" s="22" t="n"/>
      <c r="C676" s="22" t="n"/>
      <c r="D676" s="23" t="n"/>
      <c r="E676" s="23" t="n"/>
      <c r="F676" s="22" t="n"/>
      <c r="G676" s="24" t="n"/>
      <c r="H676" s="22" t="n"/>
      <c r="I676" s="25">
        <f>IF(AND(ISNUMBER(D676),ISNUMBER(E676)),E676-D676,"")</f>
        <v/>
      </c>
      <c r="J676" s="26">
        <f>IF(AND(ISNUMBER(I676),ISNUMBER(G676)),IF(I676&gt;0,G676/I676,""),"")</f>
        <v/>
      </c>
      <c r="K676" s="25">
        <f>IF(COUNTA(A676:H676)=0,"",IF(OR(A676="",B676="",C676="",D676="",E676="",F676="",G676="",H676=""),"HATA: eksik bilgi",IF(COUNTIF(OdaListesi,A676)=0,"HATA: geçersiz oda no",IF(OR(NOT(ISNUMBER(D676)),NOT(ISNUMBER(E676))),"HATA: tarih geçersiz",IF(E676&lt;=D676,"HATA: çıkış girişten sonra olmalı",IF(OR(NOT(ISNUMBER(C676)),C676&lt;1,C676&gt;MaxKisi,C676&lt;&gt;INT(C676)),"HATA: kişi sayısı geçersiz",IF(OR(NOT(ISNUMBER(G676)),G676&lt;0),"HATA: tutar geçersiz",IF(B676&lt;&gt;TRIM(B676),"HATA: isimde baştaki/sondaki boşluk",IF(COUNTIF(KaynakAralik,H676)=0,"HATA: kaynak listede yok",IF(AND(F676&lt;&gt;"Bekleniyor",F676&lt;&gt;"Geldi",F676&lt;&gt;"İptal"),"HATA: giriş durumu geçersiz",IF(AND(F676&lt;&gt;"İptal",COUNTIFS($A$6:$A$1005,A676,$D$6:$D$1005,"&lt;"&amp;E676,$E$6:$E$1005,"&gt;"&amp;D676,$F$6:$F$1005,"&lt;&gt;İptal")&gt;1),"HATA: oda bu tarihlerde çakışıyor",IF(AND(F676="Bekleniyor",D676&lt;RaporTarihi),"HATA: giriş günü geçti, Geldi veya İptal yapın","OK"))))))))))))</f>
        <v/>
      </c>
      <c r="L676" s="25">
        <f>IF(AND(ISNUMBER(A676),F676&lt;&gt;"İptal",ISNUMBER(D676),ISNUMBER(E676),D676&lt;=RaporTarihi,E676&gt;RaporTarihi),A676,"")</f>
        <v/>
      </c>
    </row>
    <row r="677">
      <c r="A677" s="22" t="n"/>
      <c r="B677" s="22" t="n"/>
      <c r="C677" s="22" t="n"/>
      <c r="D677" s="23" t="n"/>
      <c r="E677" s="23" t="n"/>
      <c r="F677" s="22" t="n"/>
      <c r="G677" s="24" t="n"/>
      <c r="H677" s="22" t="n"/>
      <c r="I677" s="25">
        <f>IF(AND(ISNUMBER(D677),ISNUMBER(E677)),E677-D677,"")</f>
        <v/>
      </c>
      <c r="J677" s="26">
        <f>IF(AND(ISNUMBER(I677),ISNUMBER(G677)),IF(I677&gt;0,G677/I677,""),"")</f>
        <v/>
      </c>
      <c r="K677" s="25">
        <f>IF(COUNTA(A677:H677)=0,"",IF(OR(A677="",B677="",C677="",D677="",E677="",F677="",G677="",H677=""),"HATA: eksik bilgi",IF(COUNTIF(OdaListesi,A677)=0,"HATA: geçersiz oda no",IF(OR(NOT(ISNUMBER(D677)),NOT(ISNUMBER(E677))),"HATA: tarih geçersiz",IF(E677&lt;=D677,"HATA: çıkış girişten sonra olmalı",IF(OR(NOT(ISNUMBER(C677)),C677&lt;1,C677&gt;MaxKisi,C677&lt;&gt;INT(C677)),"HATA: kişi sayısı geçersiz",IF(OR(NOT(ISNUMBER(G677)),G677&lt;0),"HATA: tutar geçersiz",IF(B677&lt;&gt;TRIM(B677),"HATA: isimde baştaki/sondaki boşluk",IF(COUNTIF(KaynakAralik,H677)=0,"HATA: kaynak listede yok",IF(AND(F677&lt;&gt;"Bekleniyor",F677&lt;&gt;"Geldi",F677&lt;&gt;"İptal"),"HATA: giriş durumu geçersiz",IF(AND(F677&lt;&gt;"İptal",COUNTIFS($A$6:$A$1005,A677,$D$6:$D$1005,"&lt;"&amp;E677,$E$6:$E$1005,"&gt;"&amp;D677,$F$6:$F$1005,"&lt;&gt;İptal")&gt;1),"HATA: oda bu tarihlerde çakışıyor",IF(AND(F677="Bekleniyor",D677&lt;RaporTarihi),"HATA: giriş günü geçti, Geldi veya İptal yapın","OK"))))))))))))</f>
        <v/>
      </c>
      <c r="L677" s="25">
        <f>IF(AND(ISNUMBER(A677),F677&lt;&gt;"İptal",ISNUMBER(D677),ISNUMBER(E677),D677&lt;=RaporTarihi,E677&gt;RaporTarihi),A677,"")</f>
        <v/>
      </c>
    </row>
    <row r="678">
      <c r="A678" s="22" t="n"/>
      <c r="B678" s="22" t="n"/>
      <c r="C678" s="22" t="n"/>
      <c r="D678" s="23" t="n"/>
      <c r="E678" s="23" t="n"/>
      <c r="F678" s="22" t="n"/>
      <c r="G678" s="24" t="n"/>
      <c r="H678" s="22" t="n"/>
      <c r="I678" s="25">
        <f>IF(AND(ISNUMBER(D678),ISNUMBER(E678)),E678-D678,"")</f>
        <v/>
      </c>
      <c r="J678" s="26">
        <f>IF(AND(ISNUMBER(I678),ISNUMBER(G678)),IF(I678&gt;0,G678/I678,""),"")</f>
        <v/>
      </c>
      <c r="K678" s="25">
        <f>IF(COUNTA(A678:H678)=0,"",IF(OR(A678="",B678="",C678="",D678="",E678="",F678="",G678="",H678=""),"HATA: eksik bilgi",IF(COUNTIF(OdaListesi,A678)=0,"HATA: geçersiz oda no",IF(OR(NOT(ISNUMBER(D678)),NOT(ISNUMBER(E678))),"HATA: tarih geçersiz",IF(E678&lt;=D678,"HATA: çıkış girişten sonra olmalı",IF(OR(NOT(ISNUMBER(C678)),C678&lt;1,C678&gt;MaxKisi,C678&lt;&gt;INT(C678)),"HATA: kişi sayısı geçersiz",IF(OR(NOT(ISNUMBER(G678)),G678&lt;0),"HATA: tutar geçersiz",IF(B678&lt;&gt;TRIM(B678),"HATA: isimde baştaki/sondaki boşluk",IF(COUNTIF(KaynakAralik,H678)=0,"HATA: kaynak listede yok",IF(AND(F678&lt;&gt;"Bekleniyor",F678&lt;&gt;"Geldi",F678&lt;&gt;"İptal"),"HATA: giriş durumu geçersiz",IF(AND(F678&lt;&gt;"İptal",COUNTIFS($A$6:$A$1005,A678,$D$6:$D$1005,"&lt;"&amp;E678,$E$6:$E$1005,"&gt;"&amp;D678,$F$6:$F$1005,"&lt;&gt;İptal")&gt;1),"HATA: oda bu tarihlerde çakışıyor",IF(AND(F678="Bekleniyor",D678&lt;RaporTarihi),"HATA: giriş günü geçti, Geldi veya İptal yapın","OK"))))))))))))</f>
        <v/>
      </c>
      <c r="L678" s="25">
        <f>IF(AND(ISNUMBER(A678),F678&lt;&gt;"İptal",ISNUMBER(D678),ISNUMBER(E678),D678&lt;=RaporTarihi,E678&gt;RaporTarihi),A678,"")</f>
        <v/>
      </c>
    </row>
    <row r="679">
      <c r="A679" s="22" t="n"/>
      <c r="B679" s="22" t="n"/>
      <c r="C679" s="22" t="n"/>
      <c r="D679" s="23" t="n"/>
      <c r="E679" s="23" t="n"/>
      <c r="F679" s="22" t="n"/>
      <c r="G679" s="24" t="n"/>
      <c r="H679" s="22" t="n"/>
      <c r="I679" s="25">
        <f>IF(AND(ISNUMBER(D679),ISNUMBER(E679)),E679-D679,"")</f>
        <v/>
      </c>
      <c r="J679" s="26">
        <f>IF(AND(ISNUMBER(I679),ISNUMBER(G679)),IF(I679&gt;0,G679/I679,""),"")</f>
        <v/>
      </c>
      <c r="K679" s="25">
        <f>IF(COUNTA(A679:H679)=0,"",IF(OR(A679="",B679="",C679="",D679="",E679="",F679="",G679="",H679=""),"HATA: eksik bilgi",IF(COUNTIF(OdaListesi,A679)=0,"HATA: geçersiz oda no",IF(OR(NOT(ISNUMBER(D679)),NOT(ISNUMBER(E679))),"HATA: tarih geçersiz",IF(E679&lt;=D679,"HATA: çıkış girişten sonra olmalı",IF(OR(NOT(ISNUMBER(C679)),C679&lt;1,C679&gt;MaxKisi,C679&lt;&gt;INT(C679)),"HATA: kişi sayısı geçersiz",IF(OR(NOT(ISNUMBER(G679)),G679&lt;0),"HATA: tutar geçersiz",IF(B679&lt;&gt;TRIM(B679),"HATA: isimde baştaki/sondaki boşluk",IF(COUNTIF(KaynakAralik,H679)=0,"HATA: kaynak listede yok",IF(AND(F679&lt;&gt;"Bekleniyor",F679&lt;&gt;"Geldi",F679&lt;&gt;"İptal"),"HATA: giriş durumu geçersiz",IF(AND(F679&lt;&gt;"İptal",COUNTIFS($A$6:$A$1005,A679,$D$6:$D$1005,"&lt;"&amp;E679,$E$6:$E$1005,"&gt;"&amp;D679,$F$6:$F$1005,"&lt;&gt;İptal")&gt;1),"HATA: oda bu tarihlerde çakışıyor",IF(AND(F679="Bekleniyor",D679&lt;RaporTarihi),"HATA: giriş günü geçti, Geldi veya İptal yapın","OK"))))))))))))</f>
        <v/>
      </c>
      <c r="L679" s="25">
        <f>IF(AND(ISNUMBER(A679),F679&lt;&gt;"İptal",ISNUMBER(D679),ISNUMBER(E679),D679&lt;=RaporTarihi,E679&gt;RaporTarihi),A679,"")</f>
        <v/>
      </c>
    </row>
    <row r="680">
      <c r="A680" s="22" t="n"/>
      <c r="B680" s="22" t="n"/>
      <c r="C680" s="22" t="n"/>
      <c r="D680" s="23" t="n"/>
      <c r="E680" s="23" t="n"/>
      <c r="F680" s="22" t="n"/>
      <c r="G680" s="24" t="n"/>
      <c r="H680" s="22" t="n"/>
      <c r="I680" s="25">
        <f>IF(AND(ISNUMBER(D680),ISNUMBER(E680)),E680-D680,"")</f>
        <v/>
      </c>
      <c r="J680" s="26">
        <f>IF(AND(ISNUMBER(I680),ISNUMBER(G680)),IF(I680&gt;0,G680/I680,""),"")</f>
        <v/>
      </c>
      <c r="K680" s="25">
        <f>IF(COUNTA(A680:H680)=0,"",IF(OR(A680="",B680="",C680="",D680="",E680="",F680="",G680="",H680=""),"HATA: eksik bilgi",IF(COUNTIF(OdaListesi,A680)=0,"HATA: geçersiz oda no",IF(OR(NOT(ISNUMBER(D680)),NOT(ISNUMBER(E680))),"HATA: tarih geçersiz",IF(E680&lt;=D680,"HATA: çıkış girişten sonra olmalı",IF(OR(NOT(ISNUMBER(C680)),C680&lt;1,C680&gt;MaxKisi,C680&lt;&gt;INT(C680)),"HATA: kişi sayısı geçersiz",IF(OR(NOT(ISNUMBER(G680)),G680&lt;0),"HATA: tutar geçersiz",IF(B680&lt;&gt;TRIM(B680),"HATA: isimde baştaki/sondaki boşluk",IF(COUNTIF(KaynakAralik,H680)=0,"HATA: kaynak listede yok",IF(AND(F680&lt;&gt;"Bekleniyor",F680&lt;&gt;"Geldi",F680&lt;&gt;"İptal"),"HATA: giriş durumu geçersiz",IF(AND(F680&lt;&gt;"İptal",COUNTIFS($A$6:$A$1005,A680,$D$6:$D$1005,"&lt;"&amp;E680,$E$6:$E$1005,"&gt;"&amp;D680,$F$6:$F$1005,"&lt;&gt;İptal")&gt;1),"HATA: oda bu tarihlerde çakışıyor",IF(AND(F680="Bekleniyor",D680&lt;RaporTarihi),"HATA: giriş günü geçti, Geldi veya İptal yapın","OK"))))))))))))</f>
        <v/>
      </c>
      <c r="L680" s="25">
        <f>IF(AND(ISNUMBER(A680),F680&lt;&gt;"İptal",ISNUMBER(D680),ISNUMBER(E680),D680&lt;=RaporTarihi,E680&gt;RaporTarihi),A680,"")</f>
        <v/>
      </c>
    </row>
    <row r="681">
      <c r="A681" s="22" t="n"/>
      <c r="B681" s="22" t="n"/>
      <c r="C681" s="22" t="n"/>
      <c r="D681" s="23" t="n"/>
      <c r="E681" s="23" t="n"/>
      <c r="F681" s="22" t="n"/>
      <c r="G681" s="24" t="n"/>
      <c r="H681" s="22" t="n"/>
      <c r="I681" s="25">
        <f>IF(AND(ISNUMBER(D681),ISNUMBER(E681)),E681-D681,"")</f>
        <v/>
      </c>
      <c r="J681" s="26">
        <f>IF(AND(ISNUMBER(I681),ISNUMBER(G681)),IF(I681&gt;0,G681/I681,""),"")</f>
        <v/>
      </c>
      <c r="K681" s="25">
        <f>IF(COUNTA(A681:H681)=0,"",IF(OR(A681="",B681="",C681="",D681="",E681="",F681="",G681="",H681=""),"HATA: eksik bilgi",IF(COUNTIF(OdaListesi,A681)=0,"HATA: geçersiz oda no",IF(OR(NOT(ISNUMBER(D681)),NOT(ISNUMBER(E681))),"HATA: tarih geçersiz",IF(E681&lt;=D681,"HATA: çıkış girişten sonra olmalı",IF(OR(NOT(ISNUMBER(C681)),C681&lt;1,C681&gt;MaxKisi,C681&lt;&gt;INT(C681)),"HATA: kişi sayısı geçersiz",IF(OR(NOT(ISNUMBER(G681)),G681&lt;0),"HATA: tutar geçersiz",IF(B681&lt;&gt;TRIM(B681),"HATA: isimde baştaki/sondaki boşluk",IF(COUNTIF(KaynakAralik,H681)=0,"HATA: kaynak listede yok",IF(AND(F681&lt;&gt;"Bekleniyor",F681&lt;&gt;"Geldi",F681&lt;&gt;"İptal"),"HATA: giriş durumu geçersiz",IF(AND(F681&lt;&gt;"İptal",COUNTIFS($A$6:$A$1005,A681,$D$6:$D$1005,"&lt;"&amp;E681,$E$6:$E$1005,"&gt;"&amp;D681,$F$6:$F$1005,"&lt;&gt;İptal")&gt;1),"HATA: oda bu tarihlerde çakışıyor",IF(AND(F681="Bekleniyor",D681&lt;RaporTarihi),"HATA: giriş günü geçti, Geldi veya İptal yapın","OK"))))))))))))</f>
        <v/>
      </c>
      <c r="L681" s="25">
        <f>IF(AND(ISNUMBER(A681),F681&lt;&gt;"İptal",ISNUMBER(D681),ISNUMBER(E681),D681&lt;=RaporTarihi,E681&gt;RaporTarihi),A681,"")</f>
        <v/>
      </c>
    </row>
    <row r="682">
      <c r="A682" s="22" t="n"/>
      <c r="B682" s="22" t="n"/>
      <c r="C682" s="22" t="n"/>
      <c r="D682" s="23" t="n"/>
      <c r="E682" s="23" t="n"/>
      <c r="F682" s="22" t="n"/>
      <c r="G682" s="24" t="n"/>
      <c r="H682" s="22" t="n"/>
      <c r="I682" s="25">
        <f>IF(AND(ISNUMBER(D682),ISNUMBER(E682)),E682-D682,"")</f>
        <v/>
      </c>
      <c r="J682" s="26">
        <f>IF(AND(ISNUMBER(I682),ISNUMBER(G682)),IF(I682&gt;0,G682/I682,""),"")</f>
        <v/>
      </c>
      <c r="K682" s="25">
        <f>IF(COUNTA(A682:H682)=0,"",IF(OR(A682="",B682="",C682="",D682="",E682="",F682="",G682="",H682=""),"HATA: eksik bilgi",IF(COUNTIF(OdaListesi,A682)=0,"HATA: geçersiz oda no",IF(OR(NOT(ISNUMBER(D682)),NOT(ISNUMBER(E682))),"HATA: tarih geçersiz",IF(E682&lt;=D682,"HATA: çıkış girişten sonra olmalı",IF(OR(NOT(ISNUMBER(C682)),C682&lt;1,C682&gt;MaxKisi,C682&lt;&gt;INT(C682)),"HATA: kişi sayısı geçersiz",IF(OR(NOT(ISNUMBER(G682)),G682&lt;0),"HATA: tutar geçersiz",IF(B682&lt;&gt;TRIM(B682),"HATA: isimde baştaki/sondaki boşluk",IF(COUNTIF(KaynakAralik,H682)=0,"HATA: kaynak listede yok",IF(AND(F682&lt;&gt;"Bekleniyor",F682&lt;&gt;"Geldi",F682&lt;&gt;"İptal"),"HATA: giriş durumu geçersiz",IF(AND(F682&lt;&gt;"İptal",COUNTIFS($A$6:$A$1005,A682,$D$6:$D$1005,"&lt;"&amp;E682,$E$6:$E$1005,"&gt;"&amp;D682,$F$6:$F$1005,"&lt;&gt;İptal")&gt;1),"HATA: oda bu tarihlerde çakışıyor",IF(AND(F682="Bekleniyor",D682&lt;RaporTarihi),"HATA: giriş günü geçti, Geldi veya İptal yapın","OK"))))))))))))</f>
        <v/>
      </c>
      <c r="L682" s="25">
        <f>IF(AND(ISNUMBER(A682),F682&lt;&gt;"İptal",ISNUMBER(D682),ISNUMBER(E682),D682&lt;=RaporTarihi,E682&gt;RaporTarihi),A682,"")</f>
        <v/>
      </c>
    </row>
    <row r="683">
      <c r="A683" s="22" t="n"/>
      <c r="B683" s="22" t="n"/>
      <c r="C683" s="22" t="n"/>
      <c r="D683" s="23" t="n"/>
      <c r="E683" s="23" t="n"/>
      <c r="F683" s="22" t="n"/>
      <c r="G683" s="24" t="n"/>
      <c r="H683" s="22" t="n"/>
      <c r="I683" s="25">
        <f>IF(AND(ISNUMBER(D683),ISNUMBER(E683)),E683-D683,"")</f>
        <v/>
      </c>
      <c r="J683" s="26">
        <f>IF(AND(ISNUMBER(I683),ISNUMBER(G683)),IF(I683&gt;0,G683/I683,""),"")</f>
        <v/>
      </c>
      <c r="K683" s="25">
        <f>IF(COUNTA(A683:H683)=0,"",IF(OR(A683="",B683="",C683="",D683="",E683="",F683="",G683="",H683=""),"HATA: eksik bilgi",IF(COUNTIF(OdaListesi,A683)=0,"HATA: geçersiz oda no",IF(OR(NOT(ISNUMBER(D683)),NOT(ISNUMBER(E683))),"HATA: tarih geçersiz",IF(E683&lt;=D683,"HATA: çıkış girişten sonra olmalı",IF(OR(NOT(ISNUMBER(C683)),C683&lt;1,C683&gt;MaxKisi,C683&lt;&gt;INT(C683)),"HATA: kişi sayısı geçersiz",IF(OR(NOT(ISNUMBER(G683)),G683&lt;0),"HATA: tutar geçersiz",IF(B683&lt;&gt;TRIM(B683),"HATA: isimde baştaki/sondaki boşluk",IF(COUNTIF(KaynakAralik,H683)=0,"HATA: kaynak listede yok",IF(AND(F683&lt;&gt;"Bekleniyor",F683&lt;&gt;"Geldi",F683&lt;&gt;"İptal"),"HATA: giriş durumu geçersiz",IF(AND(F683&lt;&gt;"İptal",COUNTIFS($A$6:$A$1005,A683,$D$6:$D$1005,"&lt;"&amp;E683,$E$6:$E$1005,"&gt;"&amp;D683,$F$6:$F$1005,"&lt;&gt;İptal")&gt;1),"HATA: oda bu tarihlerde çakışıyor",IF(AND(F683="Bekleniyor",D683&lt;RaporTarihi),"HATA: giriş günü geçti, Geldi veya İptal yapın","OK"))))))))))))</f>
        <v/>
      </c>
      <c r="L683" s="25">
        <f>IF(AND(ISNUMBER(A683),F683&lt;&gt;"İptal",ISNUMBER(D683),ISNUMBER(E683),D683&lt;=RaporTarihi,E683&gt;RaporTarihi),A683,"")</f>
        <v/>
      </c>
    </row>
    <row r="684">
      <c r="A684" s="22" t="n"/>
      <c r="B684" s="22" t="n"/>
      <c r="C684" s="22" t="n"/>
      <c r="D684" s="23" t="n"/>
      <c r="E684" s="23" t="n"/>
      <c r="F684" s="22" t="n"/>
      <c r="G684" s="24" t="n"/>
      <c r="H684" s="22" t="n"/>
      <c r="I684" s="25">
        <f>IF(AND(ISNUMBER(D684),ISNUMBER(E684)),E684-D684,"")</f>
        <v/>
      </c>
      <c r="J684" s="26">
        <f>IF(AND(ISNUMBER(I684),ISNUMBER(G684)),IF(I684&gt;0,G684/I684,""),"")</f>
        <v/>
      </c>
      <c r="K684" s="25">
        <f>IF(COUNTA(A684:H684)=0,"",IF(OR(A684="",B684="",C684="",D684="",E684="",F684="",G684="",H684=""),"HATA: eksik bilgi",IF(COUNTIF(OdaListesi,A684)=0,"HATA: geçersiz oda no",IF(OR(NOT(ISNUMBER(D684)),NOT(ISNUMBER(E684))),"HATA: tarih geçersiz",IF(E684&lt;=D684,"HATA: çıkış girişten sonra olmalı",IF(OR(NOT(ISNUMBER(C684)),C684&lt;1,C684&gt;MaxKisi,C684&lt;&gt;INT(C684)),"HATA: kişi sayısı geçersiz",IF(OR(NOT(ISNUMBER(G684)),G684&lt;0),"HATA: tutar geçersiz",IF(B684&lt;&gt;TRIM(B684),"HATA: isimde baştaki/sondaki boşluk",IF(COUNTIF(KaynakAralik,H684)=0,"HATA: kaynak listede yok",IF(AND(F684&lt;&gt;"Bekleniyor",F684&lt;&gt;"Geldi",F684&lt;&gt;"İptal"),"HATA: giriş durumu geçersiz",IF(AND(F684&lt;&gt;"İptal",COUNTIFS($A$6:$A$1005,A684,$D$6:$D$1005,"&lt;"&amp;E684,$E$6:$E$1005,"&gt;"&amp;D684,$F$6:$F$1005,"&lt;&gt;İptal")&gt;1),"HATA: oda bu tarihlerde çakışıyor",IF(AND(F684="Bekleniyor",D684&lt;RaporTarihi),"HATA: giriş günü geçti, Geldi veya İptal yapın","OK"))))))))))))</f>
        <v/>
      </c>
      <c r="L684" s="25">
        <f>IF(AND(ISNUMBER(A684),F684&lt;&gt;"İptal",ISNUMBER(D684),ISNUMBER(E684),D684&lt;=RaporTarihi,E684&gt;RaporTarihi),A684,"")</f>
        <v/>
      </c>
    </row>
    <row r="685">
      <c r="A685" s="22" t="n"/>
      <c r="B685" s="22" t="n"/>
      <c r="C685" s="22" t="n"/>
      <c r="D685" s="23" t="n"/>
      <c r="E685" s="23" t="n"/>
      <c r="F685" s="22" t="n"/>
      <c r="G685" s="24" t="n"/>
      <c r="H685" s="22" t="n"/>
      <c r="I685" s="25">
        <f>IF(AND(ISNUMBER(D685),ISNUMBER(E685)),E685-D685,"")</f>
        <v/>
      </c>
      <c r="J685" s="26">
        <f>IF(AND(ISNUMBER(I685),ISNUMBER(G685)),IF(I685&gt;0,G685/I685,""),"")</f>
        <v/>
      </c>
      <c r="K685" s="25">
        <f>IF(COUNTA(A685:H685)=0,"",IF(OR(A685="",B685="",C685="",D685="",E685="",F685="",G685="",H685=""),"HATA: eksik bilgi",IF(COUNTIF(OdaListesi,A685)=0,"HATA: geçersiz oda no",IF(OR(NOT(ISNUMBER(D685)),NOT(ISNUMBER(E685))),"HATA: tarih geçersiz",IF(E685&lt;=D685,"HATA: çıkış girişten sonra olmalı",IF(OR(NOT(ISNUMBER(C685)),C685&lt;1,C685&gt;MaxKisi,C685&lt;&gt;INT(C685)),"HATA: kişi sayısı geçersiz",IF(OR(NOT(ISNUMBER(G685)),G685&lt;0),"HATA: tutar geçersiz",IF(B685&lt;&gt;TRIM(B685),"HATA: isimde baştaki/sondaki boşluk",IF(COUNTIF(KaynakAralik,H685)=0,"HATA: kaynak listede yok",IF(AND(F685&lt;&gt;"Bekleniyor",F685&lt;&gt;"Geldi",F685&lt;&gt;"İptal"),"HATA: giriş durumu geçersiz",IF(AND(F685&lt;&gt;"İptal",COUNTIFS($A$6:$A$1005,A685,$D$6:$D$1005,"&lt;"&amp;E685,$E$6:$E$1005,"&gt;"&amp;D685,$F$6:$F$1005,"&lt;&gt;İptal")&gt;1),"HATA: oda bu tarihlerde çakışıyor",IF(AND(F685="Bekleniyor",D685&lt;RaporTarihi),"HATA: giriş günü geçti, Geldi veya İptal yapın","OK"))))))))))))</f>
        <v/>
      </c>
      <c r="L685" s="25">
        <f>IF(AND(ISNUMBER(A685),F685&lt;&gt;"İptal",ISNUMBER(D685),ISNUMBER(E685),D685&lt;=RaporTarihi,E685&gt;RaporTarihi),A685,"")</f>
        <v/>
      </c>
    </row>
    <row r="686">
      <c r="A686" s="22" t="n"/>
      <c r="B686" s="22" t="n"/>
      <c r="C686" s="22" t="n"/>
      <c r="D686" s="23" t="n"/>
      <c r="E686" s="23" t="n"/>
      <c r="F686" s="22" t="n"/>
      <c r="G686" s="24" t="n"/>
      <c r="H686" s="22" t="n"/>
      <c r="I686" s="25">
        <f>IF(AND(ISNUMBER(D686),ISNUMBER(E686)),E686-D686,"")</f>
        <v/>
      </c>
      <c r="J686" s="26">
        <f>IF(AND(ISNUMBER(I686),ISNUMBER(G686)),IF(I686&gt;0,G686/I686,""),"")</f>
        <v/>
      </c>
      <c r="K686" s="25">
        <f>IF(COUNTA(A686:H686)=0,"",IF(OR(A686="",B686="",C686="",D686="",E686="",F686="",G686="",H686=""),"HATA: eksik bilgi",IF(COUNTIF(OdaListesi,A686)=0,"HATA: geçersiz oda no",IF(OR(NOT(ISNUMBER(D686)),NOT(ISNUMBER(E686))),"HATA: tarih geçersiz",IF(E686&lt;=D686,"HATA: çıkış girişten sonra olmalı",IF(OR(NOT(ISNUMBER(C686)),C686&lt;1,C686&gt;MaxKisi,C686&lt;&gt;INT(C686)),"HATA: kişi sayısı geçersiz",IF(OR(NOT(ISNUMBER(G686)),G686&lt;0),"HATA: tutar geçersiz",IF(B686&lt;&gt;TRIM(B686),"HATA: isimde baştaki/sondaki boşluk",IF(COUNTIF(KaynakAralik,H686)=0,"HATA: kaynak listede yok",IF(AND(F686&lt;&gt;"Bekleniyor",F686&lt;&gt;"Geldi",F686&lt;&gt;"İptal"),"HATA: giriş durumu geçersiz",IF(AND(F686&lt;&gt;"İptal",COUNTIFS($A$6:$A$1005,A686,$D$6:$D$1005,"&lt;"&amp;E686,$E$6:$E$1005,"&gt;"&amp;D686,$F$6:$F$1005,"&lt;&gt;İptal")&gt;1),"HATA: oda bu tarihlerde çakışıyor",IF(AND(F686="Bekleniyor",D686&lt;RaporTarihi),"HATA: giriş günü geçti, Geldi veya İptal yapın","OK"))))))))))))</f>
        <v/>
      </c>
      <c r="L686" s="25">
        <f>IF(AND(ISNUMBER(A686),F686&lt;&gt;"İptal",ISNUMBER(D686),ISNUMBER(E686),D686&lt;=RaporTarihi,E686&gt;RaporTarihi),A686,"")</f>
        <v/>
      </c>
    </row>
    <row r="687">
      <c r="A687" s="22" t="n"/>
      <c r="B687" s="22" t="n"/>
      <c r="C687" s="22" t="n"/>
      <c r="D687" s="23" t="n"/>
      <c r="E687" s="23" t="n"/>
      <c r="F687" s="22" t="n"/>
      <c r="G687" s="24" t="n"/>
      <c r="H687" s="22" t="n"/>
      <c r="I687" s="25">
        <f>IF(AND(ISNUMBER(D687),ISNUMBER(E687)),E687-D687,"")</f>
        <v/>
      </c>
      <c r="J687" s="26">
        <f>IF(AND(ISNUMBER(I687),ISNUMBER(G687)),IF(I687&gt;0,G687/I687,""),"")</f>
        <v/>
      </c>
      <c r="K687" s="25">
        <f>IF(COUNTA(A687:H687)=0,"",IF(OR(A687="",B687="",C687="",D687="",E687="",F687="",G687="",H687=""),"HATA: eksik bilgi",IF(COUNTIF(OdaListesi,A687)=0,"HATA: geçersiz oda no",IF(OR(NOT(ISNUMBER(D687)),NOT(ISNUMBER(E687))),"HATA: tarih geçersiz",IF(E687&lt;=D687,"HATA: çıkış girişten sonra olmalı",IF(OR(NOT(ISNUMBER(C687)),C687&lt;1,C687&gt;MaxKisi,C687&lt;&gt;INT(C687)),"HATA: kişi sayısı geçersiz",IF(OR(NOT(ISNUMBER(G687)),G687&lt;0),"HATA: tutar geçersiz",IF(B687&lt;&gt;TRIM(B687),"HATA: isimde baştaki/sondaki boşluk",IF(COUNTIF(KaynakAralik,H687)=0,"HATA: kaynak listede yok",IF(AND(F687&lt;&gt;"Bekleniyor",F687&lt;&gt;"Geldi",F687&lt;&gt;"İptal"),"HATA: giriş durumu geçersiz",IF(AND(F687&lt;&gt;"İptal",COUNTIFS($A$6:$A$1005,A687,$D$6:$D$1005,"&lt;"&amp;E687,$E$6:$E$1005,"&gt;"&amp;D687,$F$6:$F$1005,"&lt;&gt;İptal")&gt;1),"HATA: oda bu tarihlerde çakışıyor",IF(AND(F687="Bekleniyor",D687&lt;RaporTarihi),"HATA: giriş günü geçti, Geldi veya İptal yapın","OK"))))))))))))</f>
        <v/>
      </c>
      <c r="L687" s="25">
        <f>IF(AND(ISNUMBER(A687),F687&lt;&gt;"İptal",ISNUMBER(D687),ISNUMBER(E687),D687&lt;=RaporTarihi,E687&gt;RaporTarihi),A687,"")</f>
        <v/>
      </c>
    </row>
    <row r="688">
      <c r="A688" s="22" t="n"/>
      <c r="B688" s="22" t="n"/>
      <c r="C688" s="22" t="n"/>
      <c r="D688" s="23" t="n"/>
      <c r="E688" s="23" t="n"/>
      <c r="F688" s="22" t="n"/>
      <c r="G688" s="24" t="n"/>
      <c r="H688" s="22" t="n"/>
      <c r="I688" s="25">
        <f>IF(AND(ISNUMBER(D688),ISNUMBER(E688)),E688-D688,"")</f>
        <v/>
      </c>
      <c r="J688" s="26">
        <f>IF(AND(ISNUMBER(I688),ISNUMBER(G688)),IF(I688&gt;0,G688/I688,""),"")</f>
        <v/>
      </c>
      <c r="K688" s="25">
        <f>IF(COUNTA(A688:H688)=0,"",IF(OR(A688="",B688="",C688="",D688="",E688="",F688="",G688="",H688=""),"HATA: eksik bilgi",IF(COUNTIF(OdaListesi,A688)=0,"HATA: geçersiz oda no",IF(OR(NOT(ISNUMBER(D688)),NOT(ISNUMBER(E688))),"HATA: tarih geçersiz",IF(E688&lt;=D688,"HATA: çıkış girişten sonra olmalı",IF(OR(NOT(ISNUMBER(C688)),C688&lt;1,C688&gt;MaxKisi,C688&lt;&gt;INT(C688)),"HATA: kişi sayısı geçersiz",IF(OR(NOT(ISNUMBER(G688)),G688&lt;0),"HATA: tutar geçersiz",IF(B688&lt;&gt;TRIM(B688),"HATA: isimde baştaki/sondaki boşluk",IF(COUNTIF(KaynakAralik,H688)=0,"HATA: kaynak listede yok",IF(AND(F688&lt;&gt;"Bekleniyor",F688&lt;&gt;"Geldi",F688&lt;&gt;"İptal"),"HATA: giriş durumu geçersiz",IF(AND(F688&lt;&gt;"İptal",COUNTIFS($A$6:$A$1005,A688,$D$6:$D$1005,"&lt;"&amp;E688,$E$6:$E$1005,"&gt;"&amp;D688,$F$6:$F$1005,"&lt;&gt;İptal")&gt;1),"HATA: oda bu tarihlerde çakışıyor",IF(AND(F688="Bekleniyor",D688&lt;RaporTarihi),"HATA: giriş günü geçti, Geldi veya İptal yapın","OK"))))))))))))</f>
        <v/>
      </c>
      <c r="L688" s="25">
        <f>IF(AND(ISNUMBER(A688),F688&lt;&gt;"İptal",ISNUMBER(D688),ISNUMBER(E688),D688&lt;=RaporTarihi,E688&gt;RaporTarihi),A688,"")</f>
        <v/>
      </c>
    </row>
    <row r="689">
      <c r="A689" s="22" t="n"/>
      <c r="B689" s="22" t="n"/>
      <c r="C689" s="22" t="n"/>
      <c r="D689" s="23" t="n"/>
      <c r="E689" s="23" t="n"/>
      <c r="F689" s="22" t="n"/>
      <c r="G689" s="24" t="n"/>
      <c r="H689" s="22" t="n"/>
      <c r="I689" s="25">
        <f>IF(AND(ISNUMBER(D689),ISNUMBER(E689)),E689-D689,"")</f>
        <v/>
      </c>
      <c r="J689" s="26">
        <f>IF(AND(ISNUMBER(I689),ISNUMBER(G689)),IF(I689&gt;0,G689/I689,""),"")</f>
        <v/>
      </c>
      <c r="K689" s="25">
        <f>IF(COUNTA(A689:H689)=0,"",IF(OR(A689="",B689="",C689="",D689="",E689="",F689="",G689="",H689=""),"HATA: eksik bilgi",IF(COUNTIF(OdaListesi,A689)=0,"HATA: geçersiz oda no",IF(OR(NOT(ISNUMBER(D689)),NOT(ISNUMBER(E689))),"HATA: tarih geçersiz",IF(E689&lt;=D689,"HATA: çıkış girişten sonra olmalı",IF(OR(NOT(ISNUMBER(C689)),C689&lt;1,C689&gt;MaxKisi,C689&lt;&gt;INT(C689)),"HATA: kişi sayısı geçersiz",IF(OR(NOT(ISNUMBER(G689)),G689&lt;0),"HATA: tutar geçersiz",IF(B689&lt;&gt;TRIM(B689),"HATA: isimde baştaki/sondaki boşluk",IF(COUNTIF(KaynakAralik,H689)=0,"HATA: kaynak listede yok",IF(AND(F689&lt;&gt;"Bekleniyor",F689&lt;&gt;"Geldi",F689&lt;&gt;"İptal"),"HATA: giriş durumu geçersiz",IF(AND(F689&lt;&gt;"İptal",COUNTIFS($A$6:$A$1005,A689,$D$6:$D$1005,"&lt;"&amp;E689,$E$6:$E$1005,"&gt;"&amp;D689,$F$6:$F$1005,"&lt;&gt;İptal")&gt;1),"HATA: oda bu tarihlerde çakışıyor",IF(AND(F689="Bekleniyor",D689&lt;RaporTarihi),"HATA: giriş günü geçti, Geldi veya İptal yapın","OK"))))))))))))</f>
        <v/>
      </c>
      <c r="L689" s="25">
        <f>IF(AND(ISNUMBER(A689),F689&lt;&gt;"İptal",ISNUMBER(D689),ISNUMBER(E689),D689&lt;=RaporTarihi,E689&gt;RaporTarihi),A689,"")</f>
        <v/>
      </c>
    </row>
    <row r="690">
      <c r="A690" s="22" t="n"/>
      <c r="B690" s="22" t="n"/>
      <c r="C690" s="22" t="n"/>
      <c r="D690" s="23" t="n"/>
      <c r="E690" s="23" t="n"/>
      <c r="F690" s="22" t="n"/>
      <c r="G690" s="24" t="n"/>
      <c r="H690" s="22" t="n"/>
      <c r="I690" s="25">
        <f>IF(AND(ISNUMBER(D690),ISNUMBER(E690)),E690-D690,"")</f>
        <v/>
      </c>
      <c r="J690" s="26">
        <f>IF(AND(ISNUMBER(I690),ISNUMBER(G690)),IF(I690&gt;0,G690/I690,""),"")</f>
        <v/>
      </c>
      <c r="K690" s="25">
        <f>IF(COUNTA(A690:H690)=0,"",IF(OR(A690="",B690="",C690="",D690="",E690="",F690="",G690="",H690=""),"HATA: eksik bilgi",IF(COUNTIF(OdaListesi,A690)=0,"HATA: geçersiz oda no",IF(OR(NOT(ISNUMBER(D690)),NOT(ISNUMBER(E690))),"HATA: tarih geçersiz",IF(E690&lt;=D690,"HATA: çıkış girişten sonra olmalı",IF(OR(NOT(ISNUMBER(C690)),C690&lt;1,C690&gt;MaxKisi,C690&lt;&gt;INT(C690)),"HATA: kişi sayısı geçersiz",IF(OR(NOT(ISNUMBER(G690)),G690&lt;0),"HATA: tutar geçersiz",IF(B690&lt;&gt;TRIM(B690),"HATA: isimde baştaki/sondaki boşluk",IF(COUNTIF(KaynakAralik,H690)=0,"HATA: kaynak listede yok",IF(AND(F690&lt;&gt;"Bekleniyor",F690&lt;&gt;"Geldi",F690&lt;&gt;"İptal"),"HATA: giriş durumu geçersiz",IF(AND(F690&lt;&gt;"İptal",COUNTIFS($A$6:$A$1005,A690,$D$6:$D$1005,"&lt;"&amp;E690,$E$6:$E$1005,"&gt;"&amp;D690,$F$6:$F$1005,"&lt;&gt;İptal")&gt;1),"HATA: oda bu tarihlerde çakışıyor",IF(AND(F690="Bekleniyor",D690&lt;RaporTarihi),"HATA: giriş günü geçti, Geldi veya İptal yapın","OK"))))))))))))</f>
        <v/>
      </c>
      <c r="L690" s="25">
        <f>IF(AND(ISNUMBER(A690),F690&lt;&gt;"İptal",ISNUMBER(D690),ISNUMBER(E690),D690&lt;=RaporTarihi,E690&gt;RaporTarihi),A690,"")</f>
        <v/>
      </c>
    </row>
    <row r="691">
      <c r="A691" s="22" t="n"/>
      <c r="B691" s="22" t="n"/>
      <c r="C691" s="22" t="n"/>
      <c r="D691" s="23" t="n"/>
      <c r="E691" s="23" t="n"/>
      <c r="F691" s="22" t="n"/>
      <c r="G691" s="24" t="n"/>
      <c r="H691" s="22" t="n"/>
      <c r="I691" s="25">
        <f>IF(AND(ISNUMBER(D691),ISNUMBER(E691)),E691-D691,"")</f>
        <v/>
      </c>
      <c r="J691" s="26">
        <f>IF(AND(ISNUMBER(I691),ISNUMBER(G691)),IF(I691&gt;0,G691/I691,""),"")</f>
        <v/>
      </c>
      <c r="K691" s="25">
        <f>IF(COUNTA(A691:H691)=0,"",IF(OR(A691="",B691="",C691="",D691="",E691="",F691="",G691="",H691=""),"HATA: eksik bilgi",IF(COUNTIF(OdaListesi,A691)=0,"HATA: geçersiz oda no",IF(OR(NOT(ISNUMBER(D691)),NOT(ISNUMBER(E691))),"HATA: tarih geçersiz",IF(E691&lt;=D691,"HATA: çıkış girişten sonra olmalı",IF(OR(NOT(ISNUMBER(C691)),C691&lt;1,C691&gt;MaxKisi,C691&lt;&gt;INT(C691)),"HATA: kişi sayısı geçersiz",IF(OR(NOT(ISNUMBER(G691)),G691&lt;0),"HATA: tutar geçersiz",IF(B691&lt;&gt;TRIM(B691),"HATA: isimde baştaki/sondaki boşluk",IF(COUNTIF(KaynakAralik,H691)=0,"HATA: kaynak listede yok",IF(AND(F691&lt;&gt;"Bekleniyor",F691&lt;&gt;"Geldi",F691&lt;&gt;"İptal"),"HATA: giriş durumu geçersiz",IF(AND(F691&lt;&gt;"İptal",COUNTIFS($A$6:$A$1005,A691,$D$6:$D$1005,"&lt;"&amp;E691,$E$6:$E$1005,"&gt;"&amp;D691,$F$6:$F$1005,"&lt;&gt;İptal")&gt;1),"HATA: oda bu tarihlerde çakışıyor",IF(AND(F691="Bekleniyor",D691&lt;RaporTarihi),"HATA: giriş günü geçti, Geldi veya İptal yapın","OK"))))))))))))</f>
        <v/>
      </c>
      <c r="L691" s="25">
        <f>IF(AND(ISNUMBER(A691),F691&lt;&gt;"İptal",ISNUMBER(D691),ISNUMBER(E691),D691&lt;=RaporTarihi,E691&gt;RaporTarihi),A691,"")</f>
        <v/>
      </c>
    </row>
    <row r="692">
      <c r="A692" s="22" t="n"/>
      <c r="B692" s="22" t="n"/>
      <c r="C692" s="22" t="n"/>
      <c r="D692" s="23" t="n"/>
      <c r="E692" s="23" t="n"/>
      <c r="F692" s="22" t="n"/>
      <c r="G692" s="24" t="n"/>
      <c r="H692" s="22" t="n"/>
      <c r="I692" s="25">
        <f>IF(AND(ISNUMBER(D692),ISNUMBER(E692)),E692-D692,"")</f>
        <v/>
      </c>
      <c r="J692" s="26">
        <f>IF(AND(ISNUMBER(I692),ISNUMBER(G692)),IF(I692&gt;0,G692/I692,""),"")</f>
        <v/>
      </c>
      <c r="K692" s="25">
        <f>IF(COUNTA(A692:H692)=0,"",IF(OR(A692="",B692="",C692="",D692="",E692="",F692="",G692="",H692=""),"HATA: eksik bilgi",IF(COUNTIF(OdaListesi,A692)=0,"HATA: geçersiz oda no",IF(OR(NOT(ISNUMBER(D692)),NOT(ISNUMBER(E692))),"HATA: tarih geçersiz",IF(E692&lt;=D692,"HATA: çıkış girişten sonra olmalı",IF(OR(NOT(ISNUMBER(C692)),C692&lt;1,C692&gt;MaxKisi,C692&lt;&gt;INT(C692)),"HATA: kişi sayısı geçersiz",IF(OR(NOT(ISNUMBER(G692)),G692&lt;0),"HATA: tutar geçersiz",IF(B692&lt;&gt;TRIM(B692),"HATA: isimde baştaki/sondaki boşluk",IF(COUNTIF(KaynakAralik,H692)=0,"HATA: kaynak listede yok",IF(AND(F692&lt;&gt;"Bekleniyor",F692&lt;&gt;"Geldi",F692&lt;&gt;"İptal"),"HATA: giriş durumu geçersiz",IF(AND(F692&lt;&gt;"İptal",COUNTIFS($A$6:$A$1005,A692,$D$6:$D$1005,"&lt;"&amp;E692,$E$6:$E$1005,"&gt;"&amp;D692,$F$6:$F$1005,"&lt;&gt;İptal")&gt;1),"HATA: oda bu tarihlerde çakışıyor",IF(AND(F692="Bekleniyor",D692&lt;RaporTarihi),"HATA: giriş günü geçti, Geldi veya İptal yapın","OK"))))))))))))</f>
        <v/>
      </c>
      <c r="L692" s="25">
        <f>IF(AND(ISNUMBER(A692),F692&lt;&gt;"İptal",ISNUMBER(D692),ISNUMBER(E692),D692&lt;=RaporTarihi,E692&gt;RaporTarihi),A692,"")</f>
        <v/>
      </c>
    </row>
    <row r="693">
      <c r="A693" s="22" t="n"/>
      <c r="B693" s="22" t="n"/>
      <c r="C693" s="22" t="n"/>
      <c r="D693" s="23" t="n"/>
      <c r="E693" s="23" t="n"/>
      <c r="F693" s="22" t="n"/>
      <c r="G693" s="24" t="n"/>
      <c r="H693" s="22" t="n"/>
      <c r="I693" s="25">
        <f>IF(AND(ISNUMBER(D693),ISNUMBER(E693)),E693-D693,"")</f>
        <v/>
      </c>
      <c r="J693" s="26">
        <f>IF(AND(ISNUMBER(I693),ISNUMBER(G693)),IF(I693&gt;0,G693/I693,""),"")</f>
        <v/>
      </c>
      <c r="K693" s="25">
        <f>IF(COUNTA(A693:H693)=0,"",IF(OR(A693="",B693="",C693="",D693="",E693="",F693="",G693="",H693=""),"HATA: eksik bilgi",IF(COUNTIF(OdaListesi,A693)=0,"HATA: geçersiz oda no",IF(OR(NOT(ISNUMBER(D693)),NOT(ISNUMBER(E693))),"HATA: tarih geçersiz",IF(E693&lt;=D693,"HATA: çıkış girişten sonra olmalı",IF(OR(NOT(ISNUMBER(C693)),C693&lt;1,C693&gt;MaxKisi,C693&lt;&gt;INT(C693)),"HATA: kişi sayısı geçersiz",IF(OR(NOT(ISNUMBER(G693)),G693&lt;0),"HATA: tutar geçersiz",IF(B693&lt;&gt;TRIM(B693),"HATA: isimde baştaki/sondaki boşluk",IF(COUNTIF(KaynakAralik,H693)=0,"HATA: kaynak listede yok",IF(AND(F693&lt;&gt;"Bekleniyor",F693&lt;&gt;"Geldi",F693&lt;&gt;"İptal"),"HATA: giriş durumu geçersiz",IF(AND(F693&lt;&gt;"İptal",COUNTIFS($A$6:$A$1005,A693,$D$6:$D$1005,"&lt;"&amp;E693,$E$6:$E$1005,"&gt;"&amp;D693,$F$6:$F$1005,"&lt;&gt;İptal")&gt;1),"HATA: oda bu tarihlerde çakışıyor",IF(AND(F693="Bekleniyor",D693&lt;RaporTarihi),"HATA: giriş günü geçti, Geldi veya İptal yapın","OK"))))))))))))</f>
        <v/>
      </c>
      <c r="L693" s="25">
        <f>IF(AND(ISNUMBER(A693),F693&lt;&gt;"İptal",ISNUMBER(D693),ISNUMBER(E693),D693&lt;=RaporTarihi,E693&gt;RaporTarihi),A693,"")</f>
        <v/>
      </c>
    </row>
    <row r="694">
      <c r="A694" s="22" t="n"/>
      <c r="B694" s="22" t="n"/>
      <c r="C694" s="22" t="n"/>
      <c r="D694" s="23" t="n"/>
      <c r="E694" s="23" t="n"/>
      <c r="F694" s="22" t="n"/>
      <c r="G694" s="24" t="n"/>
      <c r="H694" s="22" t="n"/>
      <c r="I694" s="25">
        <f>IF(AND(ISNUMBER(D694),ISNUMBER(E694)),E694-D694,"")</f>
        <v/>
      </c>
      <c r="J694" s="26">
        <f>IF(AND(ISNUMBER(I694),ISNUMBER(G694)),IF(I694&gt;0,G694/I694,""),"")</f>
        <v/>
      </c>
      <c r="K694" s="25">
        <f>IF(COUNTA(A694:H694)=0,"",IF(OR(A694="",B694="",C694="",D694="",E694="",F694="",G694="",H694=""),"HATA: eksik bilgi",IF(COUNTIF(OdaListesi,A694)=0,"HATA: geçersiz oda no",IF(OR(NOT(ISNUMBER(D694)),NOT(ISNUMBER(E694))),"HATA: tarih geçersiz",IF(E694&lt;=D694,"HATA: çıkış girişten sonra olmalı",IF(OR(NOT(ISNUMBER(C694)),C694&lt;1,C694&gt;MaxKisi,C694&lt;&gt;INT(C694)),"HATA: kişi sayısı geçersiz",IF(OR(NOT(ISNUMBER(G694)),G694&lt;0),"HATA: tutar geçersiz",IF(B694&lt;&gt;TRIM(B694),"HATA: isimde baştaki/sondaki boşluk",IF(COUNTIF(KaynakAralik,H694)=0,"HATA: kaynak listede yok",IF(AND(F694&lt;&gt;"Bekleniyor",F694&lt;&gt;"Geldi",F694&lt;&gt;"İptal"),"HATA: giriş durumu geçersiz",IF(AND(F694&lt;&gt;"İptal",COUNTIFS($A$6:$A$1005,A694,$D$6:$D$1005,"&lt;"&amp;E694,$E$6:$E$1005,"&gt;"&amp;D694,$F$6:$F$1005,"&lt;&gt;İptal")&gt;1),"HATA: oda bu tarihlerde çakışıyor",IF(AND(F694="Bekleniyor",D694&lt;RaporTarihi),"HATA: giriş günü geçti, Geldi veya İptal yapın","OK"))))))))))))</f>
        <v/>
      </c>
      <c r="L694" s="25">
        <f>IF(AND(ISNUMBER(A694),F694&lt;&gt;"İptal",ISNUMBER(D694),ISNUMBER(E694),D694&lt;=RaporTarihi,E694&gt;RaporTarihi),A694,"")</f>
        <v/>
      </c>
    </row>
    <row r="695">
      <c r="A695" s="22" t="n"/>
      <c r="B695" s="22" t="n"/>
      <c r="C695" s="22" t="n"/>
      <c r="D695" s="23" t="n"/>
      <c r="E695" s="23" t="n"/>
      <c r="F695" s="22" t="n"/>
      <c r="G695" s="24" t="n"/>
      <c r="H695" s="22" t="n"/>
      <c r="I695" s="25">
        <f>IF(AND(ISNUMBER(D695),ISNUMBER(E695)),E695-D695,"")</f>
        <v/>
      </c>
      <c r="J695" s="26">
        <f>IF(AND(ISNUMBER(I695),ISNUMBER(G695)),IF(I695&gt;0,G695/I695,""),"")</f>
        <v/>
      </c>
      <c r="K695" s="25">
        <f>IF(COUNTA(A695:H695)=0,"",IF(OR(A695="",B695="",C695="",D695="",E695="",F695="",G695="",H695=""),"HATA: eksik bilgi",IF(COUNTIF(OdaListesi,A695)=0,"HATA: geçersiz oda no",IF(OR(NOT(ISNUMBER(D695)),NOT(ISNUMBER(E695))),"HATA: tarih geçersiz",IF(E695&lt;=D695,"HATA: çıkış girişten sonra olmalı",IF(OR(NOT(ISNUMBER(C695)),C695&lt;1,C695&gt;MaxKisi,C695&lt;&gt;INT(C695)),"HATA: kişi sayısı geçersiz",IF(OR(NOT(ISNUMBER(G695)),G695&lt;0),"HATA: tutar geçersiz",IF(B695&lt;&gt;TRIM(B695),"HATA: isimde baştaki/sondaki boşluk",IF(COUNTIF(KaynakAralik,H695)=0,"HATA: kaynak listede yok",IF(AND(F695&lt;&gt;"Bekleniyor",F695&lt;&gt;"Geldi",F695&lt;&gt;"İptal"),"HATA: giriş durumu geçersiz",IF(AND(F695&lt;&gt;"İptal",COUNTIFS($A$6:$A$1005,A695,$D$6:$D$1005,"&lt;"&amp;E695,$E$6:$E$1005,"&gt;"&amp;D695,$F$6:$F$1005,"&lt;&gt;İptal")&gt;1),"HATA: oda bu tarihlerde çakışıyor",IF(AND(F695="Bekleniyor",D695&lt;RaporTarihi),"HATA: giriş günü geçti, Geldi veya İptal yapın","OK"))))))))))))</f>
        <v/>
      </c>
      <c r="L695" s="25">
        <f>IF(AND(ISNUMBER(A695),F695&lt;&gt;"İptal",ISNUMBER(D695),ISNUMBER(E695),D695&lt;=RaporTarihi,E695&gt;RaporTarihi),A695,"")</f>
        <v/>
      </c>
    </row>
    <row r="696">
      <c r="A696" s="22" t="n"/>
      <c r="B696" s="22" t="n"/>
      <c r="C696" s="22" t="n"/>
      <c r="D696" s="23" t="n"/>
      <c r="E696" s="23" t="n"/>
      <c r="F696" s="22" t="n"/>
      <c r="G696" s="24" t="n"/>
      <c r="H696" s="22" t="n"/>
      <c r="I696" s="25">
        <f>IF(AND(ISNUMBER(D696),ISNUMBER(E696)),E696-D696,"")</f>
        <v/>
      </c>
      <c r="J696" s="26">
        <f>IF(AND(ISNUMBER(I696),ISNUMBER(G696)),IF(I696&gt;0,G696/I696,""),"")</f>
        <v/>
      </c>
      <c r="K696" s="25">
        <f>IF(COUNTA(A696:H696)=0,"",IF(OR(A696="",B696="",C696="",D696="",E696="",F696="",G696="",H696=""),"HATA: eksik bilgi",IF(COUNTIF(OdaListesi,A696)=0,"HATA: geçersiz oda no",IF(OR(NOT(ISNUMBER(D696)),NOT(ISNUMBER(E696))),"HATA: tarih geçersiz",IF(E696&lt;=D696,"HATA: çıkış girişten sonra olmalı",IF(OR(NOT(ISNUMBER(C696)),C696&lt;1,C696&gt;MaxKisi,C696&lt;&gt;INT(C696)),"HATA: kişi sayısı geçersiz",IF(OR(NOT(ISNUMBER(G696)),G696&lt;0),"HATA: tutar geçersiz",IF(B696&lt;&gt;TRIM(B696),"HATA: isimde baştaki/sondaki boşluk",IF(COUNTIF(KaynakAralik,H696)=0,"HATA: kaynak listede yok",IF(AND(F696&lt;&gt;"Bekleniyor",F696&lt;&gt;"Geldi",F696&lt;&gt;"İptal"),"HATA: giriş durumu geçersiz",IF(AND(F696&lt;&gt;"İptal",COUNTIFS($A$6:$A$1005,A696,$D$6:$D$1005,"&lt;"&amp;E696,$E$6:$E$1005,"&gt;"&amp;D696,$F$6:$F$1005,"&lt;&gt;İptal")&gt;1),"HATA: oda bu tarihlerde çakışıyor",IF(AND(F696="Bekleniyor",D696&lt;RaporTarihi),"HATA: giriş günü geçti, Geldi veya İptal yapın","OK"))))))))))))</f>
        <v/>
      </c>
      <c r="L696" s="25">
        <f>IF(AND(ISNUMBER(A696),F696&lt;&gt;"İptal",ISNUMBER(D696),ISNUMBER(E696),D696&lt;=RaporTarihi,E696&gt;RaporTarihi),A696,"")</f>
        <v/>
      </c>
    </row>
    <row r="697">
      <c r="A697" s="22" t="n"/>
      <c r="B697" s="22" t="n"/>
      <c r="C697" s="22" t="n"/>
      <c r="D697" s="23" t="n"/>
      <c r="E697" s="23" t="n"/>
      <c r="F697" s="22" t="n"/>
      <c r="G697" s="24" t="n"/>
      <c r="H697" s="22" t="n"/>
      <c r="I697" s="25">
        <f>IF(AND(ISNUMBER(D697),ISNUMBER(E697)),E697-D697,"")</f>
        <v/>
      </c>
      <c r="J697" s="26">
        <f>IF(AND(ISNUMBER(I697),ISNUMBER(G697)),IF(I697&gt;0,G697/I697,""),"")</f>
        <v/>
      </c>
      <c r="K697" s="25">
        <f>IF(COUNTA(A697:H697)=0,"",IF(OR(A697="",B697="",C697="",D697="",E697="",F697="",G697="",H697=""),"HATA: eksik bilgi",IF(COUNTIF(OdaListesi,A697)=0,"HATA: geçersiz oda no",IF(OR(NOT(ISNUMBER(D697)),NOT(ISNUMBER(E697))),"HATA: tarih geçersiz",IF(E697&lt;=D697,"HATA: çıkış girişten sonra olmalı",IF(OR(NOT(ISNUMBER(C697)),C697&lt;1,C697&gt;MaxKisi,C697&lt;&gt;INT(C697)),"HATA: kişi sayısı geçersiz",IF(OR(NOT(ISNUMBER(G697)),G697&lt;0),"HATA: tutar geçersiz",IF(B697&lt;&gt;TRIM(B697),"HATA: isimde baştaki/sondaki boşluk",IF(COUNTIF(KaynakAralik,H697)=0,"HATA: kaynak listede yok",IF(AND(F697&lt;&gt;"Bekleniyor",F697&lt;&gt;"Geldi",F697&lt;&gt;"İptal"),"HATA: giriş durumu geçersiz",IF(AND(F697&lt;&gt;"İptal",COUNTIFS($A$6:$A$1005,A697,$D$6:$D$1005,"&lt;"&amp;E697,$E$6:$E$1005,"&gt;"&amp;D697,$F$6:$F$1005,"&lt;&gt;İptal")&gt;1),"HATA: oda bu tarihlerde çakışıyor",IF(AND(F697="Bekleniyor",D697&lt;RaporTarihi),"HATA: giriş günü geçti, Geldi veya İptal yapın","OK"))))))))))))</f>
        <v/>
      </c>
      <c r="L697" s="25">
        <f>IF(AND(ISNUMBER(A697),F697&lt;&gt;"İptal",ISNUMBER(D697),ISNUMBER(E697),D697&lt;=RaporTarihi,E697&gt;RaporTarihi),A697,"")</f>
        <v/>
      </c>
    </row>
    <row r="698">
      <c r="A698" s="22" t="n"/>
      <c r="B698" s="22" t="n"/>
      <c r="C698" s="22" t="n"/>
      <c r="D698" s="23" t="n"/>
      <c r="E698" s="23" t="n"/>
      <c r="F698" s="22" t="n"/>
      <c r="G698" s="24" t="n"/>
      <c r="H698" s="22" t="n"/>
      <c r="I698" s="25">
        <f>IF(AND(ISNUMBER(D698),ISNUMBER(E698)),E698-D698,"")</f>
        <v/>
      </c>
      <c r="J698" s="26">
        <f>IF(AND(ISNUMBER(I698),ISNUMBER(G698)),IF(I698&gt;0,G698/I698,""),"")</f>
        <v/>
      </c>
      <c r="K698" s="25">
        <f>IF(COUNTA(A698:H698)=0,"",IF(OR(A698="",B698="",C698="",D698="",E698="",F698="",G698="",H698=""),"HATA: eksik bilgi",IF(COUNTIF(OdaListesi,A698)=0,"HATA: geçersiz oda no",IF(OR(NOT(ISNUMBER(D698)),NOT(ISNUMBER(E698))),"HATA: tarih geçersiz",IF(E698&lt;=D698,"HATA: çıkış girişten sonra olmalı",IF(OR(NOT(ISNUMBER(C698)),C698&lt;1,C698&gt;MaxKisi,C698&lt;&gt;INT(C698)),"HATA: kişi sayısı geçersiz",IF(OR(NOT(ISNUMBER(G698)),G698&lt;0),"HATA: tutar geçersiz",IF(B698&lt;&gt;TRIM(B698),"HATA: isimde baştaki/sondaki boşluk",IF(COUNTIF(KaynakAralik,H698)=0,"HATA: kaynak listede yok",IF(AND(F698&lt;&gt;"Bekleniyor",F698&lt;&gt;"Geldi",F698&lt;&gt;"İptal"),"HATA: giriş durumu geçersiz",IF(AND(F698&lt;&gt;"İptal",COUNTIFS($A$6:$A$1005,A698,$D$6:$D$1005,"&lt;"&amp;E698,$E$6:$E$1005,"&gt;"&amp;D698,$F$6:$F$1005,"&lt;&gt;İptal")&gt;1),"HATA: oda bu tarihlerde çakışıyor",IF(AND(F698="Bekleniyor",D698&lt;RaporTarihi),"HATA: giriş günü geçti, Geldi veya İptal yapın","OK"))))))))))))</f>
        <v/>
      </c>
      <c r="L698" s="25">
        <f>IF(AND(ISNUMBER(A698),F698&lt;&gt;"İptal",ISNUMBER(D698),ISNUMBER(E698),D698&lt;=RaporTarihi,E698&gt;RaporTarihi),A698,"")</f>
        <v/>
      </c>
    </row>
    <row r="699">
      <c r="A699" s="22" t="n"/>
      <c r="B699" s="22" t="n"/>
      <c r="C699" s="22" t="n"/>
      <c r="D699" s="23" t="n"/>
      <c r="E699" s="23" t="n"/>
      <c r="F699" s="22" t="n"/>
      <c r="G699" s="24" t="n"/>
      <c r="H699" s="22" t="n"/>
      <c r="I699" s="25">
        <f>IF(AND(ISNUMBER(D699),ISNUMBER(E699)),E699-D699,"")</f>
        <v/>
      </c>
      <c r="J699" s="26">
        <f>IF(AND(ISNUMBER(I699),ISNUMBER(G699)),IF(I699&gt;0,G699/I699,""),"")</f>
        <v/>
      </c>
      <c r="K699" s="25">
        <f>IF(COUNTA(A699:H699)=0,"",IF(OR(A699="",B699="",C699="",D699="",E699="",F699="",G699="",H699=""),"HATA: eksik bilgi",IF(COUNTIF(OdaListesi,A699)=0,"HATA: geçersiz oda no",IF(OR(NOT(ISNUMBER(D699)),NOT(ISNUMBER(E699))),"HATA: tarih geçersiz",IF(E699&lt;=D699,"HATA: çıkış girişten sonra olmalı",IF(OR(NOT(ISNUMBER(C699)),C699&lt;1,C699&gt;MaxKisi,C699&lt;&gt;INT(C699)),"HATA: kişi sayısı geçersiz",IF(OR(NOT(ISNUMBER(G699)),G699&lt;0),"HATA: tutar geçersiz",IF(B699&lt;&gt;TRIM(B699),"HATA: isimde baştaki/sondaki boşluk",IF(COUNTIF(KaynakAralik,H699)=0,"HATA: kaynak listede yok",IF(AND(F699&lt;&gt;"Bekleniyor",F699&lt;&gt;"Geldi",F699&lt;&gt;"İptal"),"HATA: giriş durumu geçersiz",IF(AND(F699&lt;&gt;"İptal",COUNTIFS($A$6:$A$1005,A699,$D$6:$D$1005,"&lt;"&amp;E699,$E$6:$E$1005,"&gt;"&amp;D699,$F$6:$F$1005,"&lt;&gt;İptal")&gt;1),"HATA: oda bu tarihlerde çakışıyor",IF(AND(F699="Bekleniyor",D699&lt;RaporTarihi),"HATA: giriş günü geçti, Geldi veya İptal yapın","OK"))))))))))))</f>
        <v/>
      </c>
      <c r="L699" s="25">
        <f>IF(AND(ISNUMBER(A699),F699&lt;&gt;"İptal",ISNUMBER(D699),ISNUMBER(E699),D699&lt;=RaporTarihi,E699&gt;RaporTarihi),A699,"")</f>
        <v/>
      </c>
    </row>
    <row r="700">
      <c r="A700" s="22" t="n"/>
      <c r="B700" s="22" t="n"/>
      <c r="C700" s="22" t="n"/>
      <c r="D700" s="23" t="n"/>
      <c r="E700" s="23" t="n"/>
      <c r="F700" s="22" t="n"/>
      <c r="G700" s="24" t="n"/>
      <c r="H700" s="22" t="n"/>
      <c r="I700" s="25">
        <f>IF(AND(ISNUMBER(D700),ISNUMBER(E700)),E700-D700,"")</f>
        <v/>
      </c>
      <c r="J700" s="26">
        <f>IF(AND(ISNUMBER(I700),ISNUMBER(G700)),IF(I700&gt;0,G700/I700,""),"")</f>
        <v/>
      </c>
      <c r="K700" s="25">
        <f>IF(COUNTA(A700:H700)=0,"",IF(OR(A700="",B700="",C700="",D700="",E700="",F700="",G700="",H700=""),"HATA: eksik bilgi",IF(COUNTIF(OdaListesi,A700)=0,"HATA: geçersiz oda no",IF(OR(NOT(ISNUMBER(D700)),NOT(ISNUMBER(E700))),"HATA: tarih geçersiz",IF(E700&lt;=D700,"HATA: çıkış girişten sonra olmalı",IF(OR(NOT(ISNUMBER(C700)),C700&lt;1,C700&gt;MaxKisi,C700&lt;&gt;INT(C700)),"HATA: kişi sayısı geçersiz",IF(OR(NOT(ISNUMBER(G700)),G700&lt;0),"HATA: tutar geçersiz",IF(B700&lt;&gt;TRIM(B700),"HATA: isimde baştaki/sondaki boşluk",IF(COUNTIF(KaynakAralik,H700)=0,"HATA: kaynak listede yok",IF(AND(F700&lt;&gt;"Bekleniyor",F700&lt;&gt;"Geldi",F700&lt;&gt;"İptal"),"HATA: giriş durumu geçersiz",IF(AND(F700&lt;&gt;"İptal",COUNTIFS($A$6:$A$1005,A700,$D$6:$D$1005,"&lt;"&amp;E700,$E$6:$E$1005,"&gt;"&amp;D700,$F$6:$F$1005,"&lt;&gt;İptal")&gt;1),"HATA: oda bu tarihlerde çakışıyor",IF(AND(F700="Bekleniyor",D700&lt;RaporTarihi),"HATA: giriş günü geçti, Geldi veya İptal yapın","OK"))))))))))))</f>
        <v/>
      </c>
      <c r="L700" s="25">
        <f>IF(AND(ISNUMBER(A700),F700&lt;&gt;"İptal",ISNUMBER(D700),ISNUMBER(E700),D700&lt;=RaporTarihi,E700&gt;RaporTarihi),A700,"")</f>
        <v/>
      </c>
    </row>
    <row r="701">
      <c r="A701" s="22" t="n"/>
      <c r="B701" s="22" t="n"/>
      <c r="C701" s="22" t="n"/>
      <c r="D701" s="23" t="n"/>
      <c r="E701" s="23" t="n"/>
      <c r="F701" s="22" t="n"/>
      <c r="G701" s="24" t="n"/>
      <c r="H701" s="22" t="n"/>
      <c r="I701" s="25">
        <f>IF(AND(ISNUMBER(D701),ISNUMBER(E701)),E701-D701,"")</f>
        <v/>
      </c>
      <c r="J701" s="26">
        <f>IF(AND(ISNUMBER(I701),ISNUMBER(G701)),IF(I701&gt;0,G701/I701,""),"")</f>
        <v/>
      </c>
      <c r="K701" s="25">
        <f>IF(COUNTA(A701:H701)=0,"",IF(OR(A701="",B701="",C701="",D701="",E701="",F701="",G701="",H701=""),"HATA: eksik bilgi",IF(COUNTIF(OdaListesi,A701)=0,"HATA: geçersiz oda no",IF(OR(NOT(ISNUMBER(D701)),NOT(ISNUMBER(E701))),"HATA: tarih geçersiz",IF(E701&lt;=D701,"HATA: çıkış girişten sonra olmalı",IF(OR(NOT(ISNUMBER(C701)),C701&lt;1,C701&gt;MaxKisi,C701&lt;&gt;INT(C701)),"HATA: kişi sayısı geçersiz",IF(OR(NOT(ISNUMBER(G701)),G701&lt;0),"HATA: tutar geçersiz",IF(B701&lt;&gt;TRIM(B701),"HATA: isimde baştaki/sondaki boşluk",IF(COUNTIF(KaynakAralik,H701)=0,"HATA: kaynak listede yok",IF(AND(F701&lt;&gt;"Bekleniyor",F701&lt;&gt;"Geldi",F701&lt;&gt;"İptal"),"HATA: giriş durumu geçersiz",IF(AND(F701&lt;&gt;"İptal",COUNTIFS($A$6:$A$1005,A701,$D$6:$D$1005,"&lt;"&amp;E701,$E$6:$E$1005,"&gt;"&amp;D701,$F$6:$F$1005,"&lt;&gt;İptal")&gt;1),"HATA: oda bu tarihlerde çakışıyor",IF(AND(F701="Bekleniyor",D701&lt;RaporTarihi),"HATA: giriş günü geçti, Geldi veya İptal yapın","OK"))))))))))))</f>
        <v/>
      </c>
      <c r="L701" s="25">
        <f>IF(AND(ISNUMBER(A701),F701&lt;&gt;"İptal",ISNUMBER(D701),ISNUMBER(E701),D701&lt;=RaporTarihi,E701&gt;RaporTarihi),A701,"")</f>
        <v/>
      </c>
    </row>
    <row r="702">
      <c r="A702" s="22" t="n"/>
      <c r="B702" s="22" t="n"/>
      <c r="C702" s="22" t="n"/>
      <c r="D702" s="23" t="n"/>
      <c r="E702" s="23" t="n"/>
      <c r="F702" s="22" t="n"/>
      <c r="G702" s="24" t="n"/>
      <c r="H702" s="22" t="n"/>
      <c r="I702" s="25">
        <f>IF(AND(ISNUMBER(D702),ISNUMBER(E702)),E702-D702,"")</f>
        <v/>
      </c>
      <c r="J702" s="26">
        <f>IF(AND(ISNUMBER(I702),ISNUMBER(G702)),IF(I702&gt;0,G702/I702,""),"")</f>
        <v/>
      </c>
      <c r="K702" s="25">
        <f>IF(COUNTA(A702:H702)=0,"",IF(OR(A702="",B702="",C702="",D702="",E702="",F702="",G702="",H702=""),"HATA: eksik bilgi",IF(COUNTIF(OdaListesi,A702)=0,"HATA: geçersiz oda no",IF(OR(NOT(ISNUMBER(D702)),NOT(ISNUMBER(E702))),"HATA: tarih geçersiz",IF(E702&lt;=D702,"HATA: çıkış girişten sonra olmalı",IF(OR(NOT(ISNUMBER(C702)),C702&lt;1,C702&gt;MaxKisi,C702&lt;&gt;INT(C702)),"HATA: kişi sayısı geçersiz",IF(OR(NOT(ISNUMBER(G702)),G702&lt;0),"HATA: tutar geçersiz",IF(B702&lt;&gt;TRIM(B702),"HATA: isimde baştaki/sondaki boşluk",IF(COUNTIF(KaynakAralik,H702)=0,"HATA: kaynak listede yok",IF(AND(F702&lt;&gt;"Bekleniyor",F702&lt;&gt;"Geldi",F702&lt;&gt;"İptal"),"HATA: giriş durumu geçersiz",IF(AND(F702&lt;&gt;"İptal",COUNTIFS($A$6:$A$1005,A702,$D$6:$D$1005,"&lt;"&amp;E702,$E$6:$E$1005,"&gt;"&amp;D702,$F$6:$F$1005,"&lt;&gt;İptal")&gt;1),"HATA: oda bu tarihlerde çakışıyor",IF(AND(F702="Bekleniyor",D702&lt;RaporTarihi),"HATA: giriş günü geçti, Geldi veya İptal yapın","OK"))))))))))))</f>
        <v/>
      </c>
      <c r="L702" s="25">
        <f>IF(AND(ISNUMBER(A702),F702&lt;&gt;"İptal",ISNUMBER(D702),ISNUMBER(E702),D702&lt;=RaporTarihi,E702&gt;RaporTarihi),A702,"")</f>
        <v/>
      </c>
    </row>
    <row r="703">
      <c r="A703" s="22" t="n"/>
      <c r="B703" s="22" t="n"/>
      <c r="C703" s="22" t="n"/>
      <c r="D703" s="23" t="n"/>
      <c r="E703" s="23" t="n"/>
      <c r="F703" s="22" t="n"/>
      <c r="G703" s="24" t="n"/>
      <c r="H703" s="22" t="n"/>
      <c r="I703" s="25">
        <f>IF(AND(ISNUMBER(D703),ISNUMBER(E703)),E703-D703,"")</f>
        <v/>
      </c>
      <c r="J703" s="26">
        <f>IF(AND(ISNUMBER(I703),ISNUMBER(G703)),IF(I703&gt;0,G703/I703,""),"")</f>
        <v/>
      </c>
      <c r="K703" s="25">
        <f>IF(COUNTA(A703:H703)=0,"",IF(OR(A703="",B703="",C703="",D703="",E703="",F703="",G703="",H703=""),"HATA: eksik bilgi",IF(COUNTIF(OdaListesi,A703)=0,"HATA: geçersiz oda no",IF(OR(NOT(ISNUMBER(D703)),NOT(ISNUMBER(E703))),"HATA: tarih geçersiz",IF(E703&lt;=D703,"HATA: çıkış girişten sonra olmalı",IF(OR(NOT(ISNUMBER(C703)),C703&lt;1,C703&gt;MaxKisi,C703&lt;&gt;INT(C703)),"HATA: kişi sayısı geçersiz",IF(OR(NOT(ISNUMBER(G703)),G703&lt;0),"HATA: tutar geçersiz",IF(B703&lt;&gt;TRIM(B703),"HATA: isimde baştaki/sondaki boşluk",IF(COUNTIF(KaynakAralik,H703)=0,"HATA: kaynak listede yok",IF(AND(F703&lt;&gt;"Bekleniyor",F703&lt;&gt;"Geldi",F703&lt;&gt;"İptal"),"HATA: giriş durumu geçersiz",IF(AND(F703&lt;&gt;"İptal",COUNTIFS($A$6:$A$1005,A703,$D$6:$D$1005,"&lt;"&amp;E703,$E$6:$E$1005,"&gt;"&amp;D703,$F$6:$F$1005,"&lt;&gt;İptal")&gt;1),"HATA: oda bu tarihlerde çakışıyor",IF(AND(F703="Bekleniyor",D703&lt;RaporTarihi),"HATA: giriş günü geçti, Geldi veya İptal yapın","OK"))))))))))))</f>
        <v/>
      </c>
      <c r="L703" s="25">
        <f>IF(AND(ISNUMBER(A703),F703&lt;&gt;"İptal",ISNUMBER(D703),ISNUMBER(E703),D703&lt;=RaporTarihi,E703&gt;RaporTarihi),A703,"")</f>
        <v/>
      </c>
    </row>
    <row r="704">
      <c r="A704" s="22" t="n"/>
      <c r="B704" s="22" t="n"/>
      <c r="C704" s="22" t="n"/>
      <c r="D704" s="23" t="n"/>
      <c r="E704" s="23" t="n"/>
      <c r="F704" s="22" t="n"/>
      <c r="G704" s="24" t="n"/>
      <c r="H704" s="22" t="n"/>
      <c r="I704" s="25">
        <f>IF(AND(ISNUMBER(D704),ISNUMBER(E704)),E704-D704,"")</f>
        <v/>
      </c>
      <c r="J704" s="26">
        <f>IF(AND(ISNUMBER(I704),ISNUMBER(G704)),IF(I704&gt;0,G704/I704,""),"")</f>
        <v/>
      </c>
      <c r="K704" s="25">
        <f>IF(COUNTA(A704:H704)=0,"",IF(OR(A704="",B704="",C704="",D704="",E704="",F704="",G704="",H704=""),"HATA: eksik bilgi",IF(COUNTIF(OdaListesi,A704)=0,"HATA: geçersiz oda no",IF(OR(NOT(ISNUMBER(D704)),NOT(ISNUMBER(E704))),"HATA: tarih geçersiz",IF(E704&lt;=D704,"HATA: çıkış girişten sonra olmalı",IF(OR(NOT(ISNUMBER(C704)),C704&lt;1,C704&gt;MaxKisi,C704&lt;&gt;INT(C704)),"HATA: kişi sayısı geçersiz",IF(OR(NOT(ISNUMBER(G704)),G704&lt;0),"HATA: tutar geçersiz",IF(B704&lt;&gt;TRIM(B704),"HATA: isimde baştaki/sondaki boşluk",IF(COUNTIF(KaynakAralik,H704)=0,"HATA: kaynak listede yok",IF(AND(F704&lt;&gt;"Bekleniyor",F704&lt;&gt;"Geldi",F704&lt;&gt;"İptal"),"HATA: giriş durumu geçersiz",IF(AND(F704&lt;&gt;"İptal",COUNTIFS($A$6:$A$1005,A704,$D$6:$D$1005,"&lt;"&amp;E704,$E$6:$E$1005,"&gt;"&amp;D704,$F$6:$F$1005,"&lt;&gt;İptal")&gt;1),"HATA: oda bu tarihlerde çakışıyor",IF(AND(F704="Bekleniyor",D704&lt;RaporTarihi),"HATA: giriş günü geçti, Geldi veya İptal yapın","OK"))))))))))))</f>
        <v/>
      </c>
      <c r="L704" s="25">
        <f>IF(AND(ISNUMBER(A704),F704&lt;&gt;"İptal",ISNUMBER(D704),ISNUMBER(E704),D704&lt;=RaporTarihi,E704&gt;RaporTarihi),A704,"")</f>
        <v/>
      </c>
    </row>
    <row r="705">
      <c r="A705" s="22" t="n"/>
      <c r="B705" s="22" t="n"/>
      <c r="C705" s="22" t="n"/>
      <c r="D705" s="23" t="n"/>
      <c r="E705" s="23" t="n"/>
      <c r="F705" s="22" t="n"/>
      <c r="G705" s="24" t="n"/>
      <c r="H705" s="22" t="n"/>
      <c r="I705" s="25">
        <f>IF(AND(ISNUMBER(D705),ISNUMBER(E705)),E705-D705,"")</f>
        <v/>
      </c>
      <c r="J705" s="26">
        <f>IF(AND(ISNUMBER(I705),ISNUMBER(G705)),IF(I705&gt;0,G705/I705,""),"")</f>
        <v/>
      </c>
      <c r="K705" s="25">
        <f>IF(COUNTA(A705:H705)=0,"",IF(OR(A705="",B705="",C705="",D705="",E705="",F705="",G705="",H705=""),"HATA: eksik bilgi",IF(COUNTIF(OdaListesi,A705)=0,"HATA: geçersiz oda no",IF(OR(NOT(ISNUMBER(D705)),NOT(ISNUMBER(E705))),"HATA: tarih geçersiz",IF(E705&lt;=D705,"HATA: çıkış girişten sonra olmalı",IF(OR(NOT(ISNUMBER(C705)),C705&lt;1,C705&gt;MaxKisi,C705&lt;&gt;INT(C705)),"HATA: kişi sayısı geçersiz",IF(OR(NOT(ISNUMBER(G705)),G705&lt;0),"HATA: tutar geçersiz",IF(B705&lt;&gt;TRIM(B705),"HATA: isimde baştaki/sondaki boşluk",IF(COUNTIF(KaynakAralik,H705)=0,"HATA: kaynak listede yok",IF(AND(F705&lt;&gt;"Bekleniyor",F705&lt;&gt;"Geldi",F705&lt;&gt;"İptal"),"HATA: giriş durumu geçersiz",IF(AND(F705&lt;&gt;"İptal",COUNTIFS($A$6:$A$1005,A705,$D$6:$D$1005,"&lt;"&amp;E705,$E$6:$E$1005,"&gt;"&amp;D705,$F$6:$F$1005,"&lt;&gt;İptal")&gt;1),"HATA: oda bu tarihlerde çakışıyor",IF(AND(F705="Bekleniyor",D705&lt;RaporTarihi),"HATA: giriş günü geçti, Geldi veya İptal yapın","OK"))))))))))))</f>
        <v/>
      </c>
      <c r="L705" s="25">
        <f>IF(AND(ISNUMBER(A705),F705&lt;&gt;"İptal",ISNUMBER(D705),ISNUMBER(E705),D705&lt;=RaporTarihi,E705&gt;RaporTarihi),A705,"")</f>
        <v/>
      </c>
    </row>
    <row r="706">
      <c r="A706" s="22" t="n"/>
      <c r="B706" s="22" t="n"/>
      <c r="C706" s="22" t="n"/>
      <c r="D706" s="23" t="n"/>
      <c r="E706" s="23" t="n"/>
      <c r="F706" s="22" t="n"/>
      <c r="G706" s="24" t="n"/>
      <c r="H706" s="22" t="n"/>
      <c r="I706" s="25">
        <f>IF(AND(ISNUMBER(D706),ISNUMBER(E706)),E706-D706,"")</f>
        <v/>
      </c>
      <c r="J706" s="26">
        <f>IF(AND(ISNUMBER(I706),ISNUMBER(G706)),IF(I706&gt;0,G706/I706,""),"")</f>
        <v/>
      </c>
      <c r="K706" s="25">
        <f>IF(COUNTA(A706:H706)=0,"",IF(OR(A706="",B706="",C706="",D706="",E706="",F706="",G706="",H706=""),"HATA: eksik bilgi",IF(COUNTIF(OdaListesi,A706)=0,"HATA: geçersiz oda no",IF(OR(NOT(ISNUMBER(D706)),NOT(ISNUMBER(E706))),"HATA: tarih geçersiz",IF(E706&lt;=D706,"HATA: çıkış girişten sonra olmalı",IF(OR(NOT(ISNUMBER(C706)),C706&lt;1,C706&gt;MaxKisi,C706&lt;&gt;INT(C706)),"HATA: kişi sayısı geçersiz",IF(OR(NOT(ISNUMBER(G706)),G706&lt;0),"HATA: tutar geçersiz",IF(B706&lt;&gt;TRIM(B706),"HATA: isimde baştaki/sondaki boşluk",IF(COUNTIF(KaynakAralik,H706)=0,"HATA: kaynak listede yok",IF(AND(F706&lt;&gt;"Bekleniyor",F706&lt;&gt;"Geldi",F706&lt;&gt;"İptal"),"HATA: giriş durumu geçersiz",IF(AND(F706&lt;&gt;"İptal",COUNTIFS($A$6:$A$1005,A706,$D$6:$D$1005,"&lt;"&amp;E706,$E$6:$E$1005,"&gt;"&amp;D706,$F$6:$F$1005,"&lt;&gt;İptal")&gt;1),"HATA: oda bu tarihlerde çakışıyor",IF(AND(F706="Bekleniyor",D706&lt;RaporTarihi),"HATA: giriş günü geçti, Geldi veya İptal yapın","OK"))))))))))))</f>
        <v/>
      </c>
      <c r="L706" s="25">
        <f>IF(AND(ISNUMBER(A706),F706&lt;&gt;"İptal",ISNUMBER(D706),ISNUMBER(E706),D706&lt;=RaporTarihi,E706&gt;RaporTarihi),A706,"")</f>
        <v/>
      </c>
    </row>
    <row r="707">
      <c r="A707" s="22" t="n"/>
      <c r="B707" s="22" t="n"/>
      <c r="C707" s="22" t="n"/>
      <c r="D707" s="23" t="n"/>
      <c r="E707" s="23" t="n"/>
      <c r="F707" s="22" t="n"/>
      <c r="G707" s="24" t="n"/>
      <c r="H707" s="22" t="n"/>
      <c r="I707" s="25">
        <f>IF(AND(ISNUMBER(D707),ISNUMBER(E707)),E707-D707,"")</f>
        <v/>
      </c>
      <c r="J707" s="26">
        <f>IF(AND(ISNUMBER(I707),ISNUMBER(G707)),IF(I707&gt;0,G707/I707,""),"")</f>
        <v/>
      </c>
      <c r="K707" s="25">
        <f>IF(COUNTA(A707:H707)=0,"",IF(OR(A707="",B707="",C707="",D707="",E707="",F707="",G707="",H707=""),"HATA: eksik bilgi",IF(COUNTIF(OdaListesi,A707)=0,"HATA: geçersiz oda no",IF(OR(NOT(ISNUMBER(D707)),NOT(ISNUMBER(E707))),"HATA: tarih geçersiz",IF(E707&lt;=D707,"HATA: çıkış girişten sonra olmalı",IF(OR(NOT(ISNUMBER(C707)),C707&lt;1,C707&gt;MaxKisi,C707&lt;&gt;INT(C707)),"HATA: kişi sayısı geçersiz",IF(OR(NOT(ISNUMBER(G707)),G707&lt;0),"HATA: tutar geçersiz",IF(B707&lt;&gt;TRIM(B707),"HATA: isimde baştaki/sondaki boşluk",IF(COUNTIF(KaynakAralik,H707)=0,"HATA: kaynak listede yok",IF(AND(F707&lt;&gt;"Bekleniyor",F707&lt;&gt;"Geldi",F707&lt;&gt;"İptal"),"HATA: giriş durumu geçersiz",IF(AND(F707&lt;&gt;"İptal",COUNTIFS($A$6:$A$1005,A707,$D$6:$D$1005,"&lt;"&amp;E707,$E$6:$E$1005,"&gt;"&amp;D707,$F$6:$F$1005,"&lt;&gt;İptal")&gt;1),"HATA: oda bu tarihlerde çakışıyor",IF(AND(F707="Bekleniyor",D707&lt;RaporTarihi),"HATA: giriş günü geçti, Geldi veya İptal yapın","OK"))))))))))))</f>
        <v/>
      </c>
      <c r="L707" s="25">
        <f>IF(AND(ISNUMBER(A707),F707&lt;&gt;"İptal",ISNUMBER(D707),ISNUMBER(E707),D707&lt;=RaporTarihi,E707&gt;RaporTarihi),A707,"")</f>
        <v/>
      </c>
    </row>
    <row r="708">
      <c r="A708" s="22" t="n"/>
      <c r="B708" s="22" t="n"/>
      <c r="C708" s="22" t="n"/>
      <c r="D708" s="23" t="n"/>
      <c r="E708" s="23" t="n"/>
      <c r="F708" s="22" t="n"/>
      <c r="G708" s="24" t="n"/>
      <c r="H708" s="22" t="n"/>
      <c r="I708" s="25">
        <f>IF(AND(ISNUMBER(D708),ISNUMBER(E708)),E708-D708,"")</f>
        <v/>
      </c>
      <c r="J708" s="26">
        <f>IF(AND(ISNUMBER(I708),ISNUMBER(G708)),IF(I708&gt;0,G708/I708,""),"")</f>
        <v/>
      </c>
      <c r="K708" s="25">
        <f>IF(COUNTA(A708:H708)=0,"",IF(OR(A708="",B708="",C708="",D708="",E708="",F708="",G708="",H708=""),"HATA: eksik bilgi",IF(COUNTIF(OdaListesi,A708)=0,"HATA: geçersiz oda no",IF(OR(NOT(ISNUMBER(D708)),NOT(ISNUMBER(E708))),"HATA: tarih geçersiz",IF(E708&lt;=D708,"HATA: çıkış girişten sonra olmalı",IF(OR(NOT(ISNUMBER(C708)),C708&lt;1,C708&gt;MaxKisi,C708&lt;&gt;INT(C708)),"HATA: kişi sayısı geçersiz",IF(OR(NOT(ISNUMBER(G708)),G708&lt;0),"HATA: tutar geçersiz",IF(B708&lt;&gt;TRIM(B708),"HATA: isimde baştaki/sondaki boşluk",IF(COUNTIF(KaynakAralik,H708)=0,"HATA: kaynak listede yok",IF(AND(F708&lt;&gt;"Bekleniyor",F708&lt;&gt;"Geldi",F708&lt;&gt;"İptal"),"HATA: giriş durumu geçersiz",IF(AND(F708&lt;&gt;"İptal",COUNTIFS($A$6:$A$1005,A708,$D$6:$D$1005,"&lt;"&amp;E708,$E$6:$E$1005,"&gt;"&amp;D708,$F$6:$F$1005,"&lt;&gt;İptal")&gt;1),"HATA: oda bu tarihlerde çakışıyor",IF(AND(F708="Bekleniyor",D708&lt;RaporTarihi),"HATA: giriş günü geçti, Geldi veya İptal yapın","OK"))))))))))))</f>
        <v/>
      </c>
      <c r="L708" s="25">
        <f>IF(AND(ISNUMBER(A708),F708&lt;&gt;"İptal",ISNUMBER(D708),ISNUMBER(E708),D708&lt;=RaporTarihi,E708&gt;RaporTarihi),A708,"")</f>
        <v/>
      </c>
    </row>
    <row r="709">
      <c r="A709" s="22" t="n"/>
      <c r="B709" s="22" t="n"/>
      <c r="C709" s="22" t="n"/>
      <c r="D709" s="23" t="n"/>
      <c r="E709" s="23" t="n"/>
      <c r="F709" s="22" t="n"/>
      <c r="G709" s="24" t="n"/>
      <c r="H709" s="22" t="n"/>
      <c r="I709" s="25">
        <f>IF(AND(ISNUMBER(D709),ISNUMBER(E709)),E709-D709,"")</f>
        <v/>
      </c>
      <c r="J709" s="26">
        <f>IF(AND(ISNUMBER(I709),ISNUMBER(G709)),IF(I709&gt;0,G709/I709,""),"")</f>
        <v/>
      </c>
      <c r="K709" s="25">
        <f>IF(COUNTA(A709:H709)=0,"",IF(OR(A709="",B709="",C709="",D709="",E709="",F709="",G709="",H709=""),"HATA: eksik bilgi",IF(COUNTIF(OdaListesi,A709)=0,"HATA: geçersiz oda no",IF(OR(NOT(ISNUMBER(D709)),NOT(ISNUMBER(E709))),"HATA: tarih geçersiz",IF(E709&lt;=D709,"HATA: çıkış girişten sonra olmalı",IF(OR(NOT(ISNUMBER(C709)),C709&lt;1,C709&gt;MaxKisi,C709&lt;&gt;INT(C709)),"HATA: kişi sayısı geçersiz",IF(OR(NOT(ISNUMBER(G709)),G709&lt;0),"HATA: tutar geçersiz",IF(B709&lt;&gt;TRIM(B709),"HATA: isimde baştaki/sondaki boşluk",IF(COUNTIF(KaynakAralik,H709)=0,"HATA: kaynak listede yok",IF(AND(F709&lt;&gt;"Bekleniyor",F709&lt;&gt;"Geldi",F709&lt;&gt;"İptal"),"HATA: giriş durumu geçersiz",IF(AND(F709&lt;&gt;"İptal",COUNTIFS($A$6:$A$1005,A709,$D$6:$D$1005,"&lt;"&amp;E709,$E$6:$E$1005,"&gt;"&amp;D709,$F$6:$F$1005,"&lt;&gt;İptal")&gt;1),"HATA: oda bu tarihlerde çakışıyor",IF(AND(F709="Bekleniyor",D709&lt;RaporTarihi),"HATA: giriş günü geçti, Geldi veya İptal yapın","OK"))))))))))))</f>
        <v/>
      </c>
      <c r="L709" s="25">
        <f>IF(AND(ISNUMBER(A709),F709&lt;&gt;"İptal",ISNUMBER(D709),ISNUMBER(E709),D709&lt;=RaporTarihi,E709&gt;RaporTarihi),A709,"")</f>
        <v/>
      </c>
    </row>
    <row r="710">
      <c r="A710" s="22" t="n"/>
      <c r="B710" s="22" t="n"/>
      <c r="C710" s="22" t="n"/>
      <c r="D710" s="23" t="n"/>
      <c r="E710" s="23" t="n"/>
      <c r="F710" s="22" t="n"/>
      <c r="G710" s="24" t="n"/>
      <c r="H710" s="22" t="n"/>
      <c r="I710" s="25">
        <f>IF(AND(ISNUMBER(D710),ISNUMBER(E710)),E710-D710,"")</f>
        <v/>
      </c>
      <c r="J710" s="26">
        <f>IF(AND(ISNUMBER(I710),ISNUMBER(G710)),IF(I710&gt;0,G710/I710,""),"")</f>
        <v/>
      </c>
      <c r="K710" s="25">
        <f>IF(COUNTA(A710:H710)=0,"",IF(OR(A710="",B710="",C710="",D710="",E710="",F710="",G710="",H710=""),"HATA: eksik bilgi",IF(COUNTIF(OdaListesi,A710)=0,"HATA: geçersiz oda no",IF(OR(NOT(ISNUMBER(D710)),NOT(ISNUMBER(E710))),"HATA: tarih geçersiz",IF(E710&lt;=D710,"HATA: çıkış girişten sonra olmalı",IF(OR(NOT(ISNUMBER(C710)),C710&lt;1,C710&gt;MaxKisi,C710&lt;&gt;INT(C710)),"HATA: kişi sayısı geçersiz",IF(OR(NOT(ISNUMBER(G710)),G710&lt;0),"HATA: tutar geçersiz",IF(B710&lt;&gt;TRIM(B710),"HATA: isimde baştaki/sondaki boşluk",IF(COUNTIF(KaynakAralik,H710)=0,"HATA: kaynak listede yok",IF(AND(F710&lt;&gt;"Bekleniyor",F710&lt;&gt;"Geldi",F710&lt;&gt;"İptal"),"HATA: giriş durumu geçersiz",IF(AND(F710&lt;&gt;"İptal",COUNTIFS($A$6:$A$1005,A710,$D$6:$D$1005,"&lt;"&amp;E710,$E$6:$E$1005,"&gt;"&amp;D710,$F$6:$F$1005,"&lt;&gt;İptal")&gt;1),"HATA: oda bu tarihlerde çakışıyor",IF(AND(F710="Bekleniyor",D710&lt;RaporTarihi),"HATA: giriş günü geçti, Geldi veya İptal yapın","OK"))))))))))))</f>
        <v/>
      </c>
      <c r="L710" s="25">
        <f>IF(AND(ISNUMBER(A710),F710&lt;&gt;"İptal",ISNUMBER(D710),ISNUMBER(E710),D710&lt;=RaporTarihi,E710&gt;RaporTarihi),A710,"")</f>
        <v/>
      </c>
    </row>
    <row r="711">
      <c r="A711" s="22" t="n"/>
      <c r="B711" s="22" t="n"/>
      <c r="C711" s="22" t="n"/>
      <c r="D711" s="23" t="n"/>
      <c r="E711" s="23" t="n"/>
      <c r="F711" s="22" t="n"/>
      <c r="G711" s="24" t="n"/>
      <c r="H711" s="22" t="n"/>
      <c r="I711" s="25">
        <f>IF(AND(ISNUMBER(D711),ISNUMBER(E711)),E711-D711,"")</f>
        <v/>
      </c>
      <c r="J711" s="26">
        <f>IF(AND(ISNUMBER(I711),ISNUMBER(G711)),IF(I711&gt;0,G711/I711,""),"")</f>
        <v/>
      </c>
      <c r="K711" s="25">
        <f>IF(COUNTA(A711:H711)=0,"",IF(OR(A711="",B711="",C711="",D711="",E711="",F711="",G711="",H711=""),"HATA: eksik bilgi",IF(COUNTIF(OdaListesi,A711)=0,"HATA: geçersiz oda no",IF(OR(NOT(ISNUMBER(D711)),NOT(ISNUMBER(E711))),"HATA: tarih geçersiz",IF(E711&lt;=D711,"HATA: çıkış girişten sonra olmalı",IF(OR(NOT(ISNUMBER(C711)),C711&lt;1,C711&gt;MaxKisi,C711&lt;&gt;INT(C711)),"HATA: kişi sayısı geçersiz",IF(OR(NOT(ISNUMBER(G711)),G711&lt;0),"HATA: tutar geçersiz",IF(B711&lt;&gt;TRIM(B711),"HATA: isimde baştaki/sondaki boşluk",IF(COUNTIF(KaynakAralik,H711)=0,"HATA: kaynak listede yok",IF(AND(F711&lt;&gt;"Bekleniyor",F711&lt;&gt;"Geldi",F711&lt;&gt;"İptal"),"HATA: giriş durumu geçersiz",IF(AND(F711&lt;&gt;"İptal",COUNTIFS($A$6:$A$1005,A711,$D$6:$D$1005,"&lt;"&amp;E711,$E$6:$E$1005,"&gt;"&amp;D711,$F$6:$F$1005,"&lt;&gt;İptal")&gt;1),"HATA: oda bu tarihlerde çakışıyor",IF(AND(F711="Bekleniyor",D711&lt;RaporTarihi),"HATA: giriş günü geçti, Geldi veya İptal yapın","OK"))))))))))))</f>
        <v/>
      </c>
      <c r="L711" s="25">
        <f>IF(AND(ISNUMBER(A711),F711&lt;&gt;"İptal",ISNUMBER(D711),ISNUMBER(E711),D711&lt;=RaporTarihi,E711&gt;RaporTarihi),A711,"")</f>
        <v/>
      </c>
    </row>
    <row r="712">
      <c r="A712" s="22" t="n"/>
      <c r="B712" s="22" t="n"/>
      <c r="C712" s="22" t="n"/>
      <c r="D712" s="23" t="n"/>
      <c r="E712" s="23" t="n"/>
      <c r="F712" s="22" t="n"/>
      <c r="G712" s="24" t="n"/>
      <c r="H712" s="22" t="n"/>
      <c r="I712" s="25">
        <f>IF(AND(ISNUMBER(D712),ISNUMBER(E712)),E712-D712,"")</f>
        <v/>
      </c>
      <c r="J712" s="26">
        <f>IF(AND(ISNUMBER(I712),ISNUMBER(G712)),IF(I712&gt;0,G712/I712,""),"")</f>
        <v/>
      </c>
      <c r="K712" s="25">
        <f>IF(COUNTA(A712:H712)=0,"",IF(OR(A712="",B712="",C712="",D712="",E712="",F712="",G712="",H712=""),"HATA: eksik bilgi",IF(COUNTIF(OdaListesi,A712)=0,"HATA: geçersiz oda no",IF(OR(NOT(ISNUMBER(D712)),NOT(ISNUMBER(E712))),"HATA: tarih geçersiz",IF(E712&lt;=D712,"HATA: çıkış girişten sonra olmalı",IF(OR(NOT(ISNUMBER(C712)),C712&lt;1,C712&gt;MaxKisi,C712&lt;&gt;INT(C712)),"HATA: kişi sayısı geçersiz",IF(OR(NOT(ISNUMBER(G712)),G712&lt;0),"HATA: tutar geçersiz",IF(B712&lt;&gt;TRIM(B712),"HATA: isimde baştaki/sondaki boşluk",IF(COUNTIF(KaynakAralik,H712)=0,"HATA: kaynak listede yok",IF(AND(F712&lt;&gt;"Bekleniyor",F712&lt;&gt;"Geldi",F712&lt;&gt;"İptal"),"HATA: giriş durumu geçersiz",IF(AND(F712&lt;&gt;"İptal",COUNTIFS($A$6:$A$1005,A712,$D$6:$D$1005,"&lt;"&amp;E712,$E$6:$E$1005,"&gt;"&amp;D712,$F$6:$F$1005,"&lt;&gt;İptal")&gt;1),"HATA: oda bu tarihlerde çakışıyor",IF(AND(F712="Bekleniyor",D712&lt;RaporTarihi),"HATA: giriş günü geçti, Geldi veya İptal yapın","OK"))))))))))))</f>
        <v/>
      </c>
      <c r="L712" s="25">
        <f>IF(AND(ISNUMBER(A712),F712&lt;&gt;"İptal",ISNUMBER(D712),ISNUMBER(E712),D712&lt;=RaporTarihi,E712&gt;RaporTarihi),A712,"")</f>
        <v/>
      </c>
    </row>
    <row r="713">
      <c r="A713" s="22" t="n"/>
      <c r="B713" s="22" t="n"/>
      <c r="C713" s="22" t="n"/>
      <c r="D713" s="23" t="n"/>
      <c r="E713" s="23" t="n"/>
      <c r="F713" s="22" t="n"/>
      <c r="G713" s="24" t="n"/>
      <c r="H713" s="22" t="n"/>
      <c r="I713" s="25">
        <f>IF(AND(ISNUMBER(D713),ISNUMBER(E713)),E713-D713,"")</f>
        <v/>
      </c>
      <c r="J713" s="26">
        <f>IF(AND(ISNUMBER(I713),ISNUMBER(G713)),IF(I713&gt;0,G713/I713,""),"")</f>
        <v/>
      </c>
      <c r="K713" s="25">
        <f>IF(COUNTA(A713:H713)=0,"",IF(OR(A713="",B713="",C713="",D713="",E713="",F713="",G713="",H713=""),"HATA: eksik bilgi",IF(COUNTIF(OdaListesi,A713)=0,"HATA: geçersiz oda no",IF(OR(NOT(ISNUMBER(D713)),NOT(ISNUMBER(E713))),"HATA: tarih geçersiz",IF(E713&lt;=D713,"HATA: çıkış girişten sonra olmalı",IF(OR(NOT(ISNUMBER(C713)),C713&lt;1,C713&gt;MaxKisi,C713&lt;&gt;INT(C713)),"HATA: kişi sayısı geçersiz",IF(OR(NOT(ISNUMBER(G713)),G713&lt;0),"HATA: tutar geçersiz",IF(B713&lt;&gt;TRIM(B713),"HATA: isimde baştaki/sondaki boşluk",IF(COUNTIF(KaynakAralik,H713)=0,"HATA: kaynak listede yok",IF(AND(F713&lt;&gt;"Bekleniyor",F713&lt;&gt;"Geldi",F713&lt;&gt;"İptal"),"HATA: giriş durumu geçersiz",IF(AND(F713&lt;&gt;"İptal",COUNTIFS($A$6:$A$1005,A713,$D$6:$D$1005,"&lt;"&amp;E713,$E$6:$E$1005,"&gt;"&amp;D713,$F$6:$F$1005,"&lt;&gt;İptal")&gt;1),"HATA: oda bu tarihlerde çakışıyor",IF(AND(F713="Bekleniyor",D713&lt;RaporTarihi),"HATA: giriş günü geçti, Geldi veya İptal yapın","OK"))))))))))))</f>
        <v/>
      </c>
      <c r="L713" s="25">
        <f>IF(AND(ISNUMBER(A713),F713&lt;&gt;"İptal",ISNUMBER(D713),ISNUMBER(E713),D713&lt;=RaporTarihi,E713&gt;RaporTarihi),A713,"")</f>
        <v/>
      </c>
    </row>
    <row r="714">
      <c r="A714" s="22" t="n"/>
      <c r="B714" s="22" t="n"/>
      <c r="C714" s="22" t="n"/>
      <c r="D714" s="23" t="n"/>
      <c r="E714" s="23" t="n"/>
      <c r="F714" s="22" t="n"/>
      <c r="G714" s="24" t="n"/>
      <c r="H714" s="22" t="n"/>
      <c r="I714" s="25">
        <f>IF(AND(ISNUMBER(D714),ISNUMBER(E714)),E714-D714,"")</f>
        <v/>
      </c>
      <c r="J714" s="26">
        <f>IF(AND(ISNUMBER(I714),ISNUMBER(G714)),IF(I714&gt;0,G714/I714,""),"")</f>
        <v/>
      </c>
      <c r="K714" s="25">
        <f>IF(COUNTA(A714:H714)=0,"",IF(OR(A714="",B714="",C714="",D714="",E714="",F714="",G714="",H714=""),"HATA: eksik bilgi",IF(COUNTIF(OdaListesi,A714)=0,"HATA: geçersiz oda no",IF(OR(NOT(ISNUMBER(D714)),NOT(ISNUMBER(E714))),"HATA: tarih geçersiz",IF(E714&lt;=D714,"HATA: çıkış girişten sonra olmalı",IF(OR(NOT(ISNUMBER(C714)),C714&lt;1,C714&gt;MaxKisi,C714&lt;&gt;INT(C714)),"HATA: kişi sayısı geçersiz",IF(OR(NOT(ISNUMBER(G714)),G714&lt;0),"HATA: tutar geçersiz",IF(B714&lt;&gt;TRIM(B714),"HATA: isimde baştaki/sondaki boşluk",IF(COUNTIF(KaynakAralik,H714)=0,"HATA: kaynak listede yok",IF(AND(F714&lt;&gt;"Bekleniyor",F714&lt;&gt;"Geldi",F714&lt;&gt;"İptal"),"HATA: giriş durumu geçersiz",IF(AND(F714&lt;&gt;"İptal",COUNTIFS($A$6:$A$1005,A714,$D$6:$D$1005,"&lt;"&amp;E714,$E$6:$E$1005,"&gt;"&amp;D714,$F$6:$F$1005,"&lt;&gt;İptal")&gt;1),"HATA: oda bu tarihlerde çakışıyor",IF(AND(F714="Bekleniyor",D714&lt;RaporTarihi),"HATA: giriş günü geçti, Geldi veya İptal yapın","OK"))))))))))))</f>
        <v/>
      </c>
      <c r="L714" s="25">
        <f>IF(AND(ISNUMBER(A714),F714&lt;&gt;"İptal",ISNUMBER(D714),ISNUMBER(E714),D714&lt;=RaporTarihi,E714&gt;RaporTarihi),A714,"")</f>
        <v/>
      </c>
    </row>
    <row r="715">
      <c r="A715" s="22" t="n"/>
      <c r="B715" s="22" t="n"/>
      <c r="C715" s="22" t="n"/>
      <c r="D715" s="23" t="n"/>
      <c r="E715" s="23" t="n"/>
      <c r="F715" s="22" t="n"/>
      <c r="G715" s="24" t="n"/>
      <c r="H715" s="22" t="n"/>
      <c r="I715" s="25">
        <f>IF(AND(ISNUMBER(D715),ISNUMBER(E715)),E715-D715,"")</f>
        <v/>
      </c>
      <c r="J715" s="26">
        <f>IF(AND(ISNUMBER(I715),ISNUMBER(G715)),IF(I715&gt;0,G715/I715,""),"")</f>
        <v/>
      </c>
      <c r="K715" s="25">
        <f>IF(COUNTA(A715:H715)=0,"",IF(OR(A715="",B715="",C715="",D715="",E715="",F715="",G715="",H715=""),"HATA: eksik bilgi",IF(COUNTIF(OdaListesi,A715)=0,"HATA: geçersiz oda no",IF(OR(NOT(ISNUMBER(D715)),NOT(ISNUMBER(E715))),"HATA: tarih geçersiz",IF(E715&lt;=D715,"HATA: çıkış girişten sonra olmalı",IF(OR(NOT(ISNUMBER(C715)),C715&lt;1,C715&gt;MaxKisi,C715&lt;&gt;INT(C715)),"HATA: kişi sayısı geçersiz",IF(OR(NOT(ISNUMBER(G715)),G715&lt;0),"HATA: tutar geçersiz",IF(B715&lt;&gt;TRIM(B715),"HATA: isimde baştaki/sondaki boşluk",IF(COUNTIF(KaynakAralik,H715)=0,"HATA: kaynak listede yok",IF(AND(F715&lt;&gt;"Bekleniyor",F715&lt;&gt;"Geldi",F715&lt;&gt;"İptal"),"HATA: giriş durumu geçersiz",IF(AND(F715&lt;&gt;"İptal",COUNTIFS($A$6:$A$1005,A715,$D$6:$D$1005,"&lt;"&amp;E715,$E$6:$E$1005,"&gt;"&amp;D715,$F$6:$F$1005,"&lt;&gt;İptal")&gt;1),"HATA: oda bu tarihlerde çakışıyor",IF(AND(F715="Bekleniyor",D715&lt;RaporTarihi),"HATA: giriş günü geçti, Geldi veya İptal yapın","OK"))))))))))))</f>
        <v/>
      </c>
      <c r="L715" s="25">
        <f>IF(AND(ISNUMBER(A715),F715&lt;&gt;"İptal",ISNUMBER(D715),ISNUMBER(E715),D715&lt;=RaporTarihi,E715&gt;RaporTarihi),A715,"")</f>
        <v/>
      </c>
    </row>
    <row r="716">
      <c r="A716" s="22" t="n"/>
      <c r="B716" s="22" t="n"/>
      <c r="C716" s="22" t="n"/>
      <c r="D716" s="23" t="n"/>
      <c r="E716" s="23" t="n"/>
      <c r="F716" s="22" t="n"/>
      <c r="G716" s="24" t="n"/>
      <c r="H716" s="22" t="n"/>
      <c r="I716" s="25">
        <f>IF(AND(ISNUMBER(D716),ISNUMBER(E716)),E716-D716,"")</f>
        <v/>
      </c>
      <c r="J716" s="26">
        <f>IF(AND(ISNUMBER(I716),ISNUMBER(G716)),IF(I716&gt;0,G716/I716,""),"")</f>
        <v/>
      </c>
      <c r="K716" s="25">
        <f>IF(COUNTA(A716:H716)=0,"",IF(OR(A716="",B716="",C716="",D716="",E716="",F716="",G716="",H716=""),"HATA: eksik bilgi",IF(COUNTIF(OdaListesi,A716)=0,"HATA: geçersiz oda no",IF(OR(NOT(ISNUMBER(D716)),NOT(ISNUMBER(E716))),"HATA: tarih geçersiz",IF(E716&lt;=D716,"HATA: çıkış girişten sonra olmalı",IF(OR(NOT(ISNUMBER(C716)),C716&lt;1,C716&gt;MaxKisi,C716&lt;&gt;INT(C716)),"HATA: kişi sayısı geçersiz",IF(OR(NOT(ISNUMBER(G716)),G716&lt;0),"HATA: tutar geçersiz",IF(B716&lt;&gt;TRIM(B716),"HATA: isimde baştaki/sondaki boşluk",IF(COUNTIF(KaynakAralik,H716)=0,"HATA: kaynak listede yok",IF(AND(F716&lt;&gt;"Bekleniyor",F716&lt;&gt;"Geldi",F716&lt;&gt;"İptal"),"HATA: giriş durumu geçersiz",IF(AND(F716&lt;&gt;"İptal",COUNTIFS($A$6:$A$1005,A716,$D$6:$D$1005,"&lt;"&amp;E716,$E$6:$E$1005,"&gt;"&amp;D716,$F$6:$F$1005,"&lt;&gt;İptal")&gt;1),"HATA: oda bu tarihlerde çakışıyor",IF(AND(F716="Bekleniyor",D716&lt;RaporTarihi),"HATA: giriş günü geçti, Geldi veya İptal yapın","OK"))))))))))))</f>
        <v/>
      </c>
      <c r="L716" s="25">
        <f>IF(AND(ISNUMBER(A716),F716&lt;&gt;"İptal",ISNUMBER(D716),ISNUMBER(E716),D716&lt;=RaporTarihi,E716&gt;RaporTarihi),A716,"")</f>
        <v/>
      </c>
    </row>
    <row r="717">
      <c r="A717" s="22" t="n"/>
      <c r="B717" s="22" t="n"/>
      <c r="C717" s="22" t="n"/>
      <c r="D717" s="23" t="n"/>
      <c r="E717" s="23" t="n"/>
      <c r="F717" s="22" t="n"/>
      <c r="G717" s="24" t="n"/>
      <c r="H717" s="22" t="n"/>
      <c r="I717" s="25">
        <f>IF(AND(ISNUMBER(D717),ISNUMBER(E717)),E717-D717,"")</f>
        <v/>
      </c>
      <c r="J717" s="26">
        <f>IF(AND(ISNUMBER(I717),ISNUMBER(G717)),IF(I717&gt;0,G717/I717,""),"")</f>
        <v/>
      </c>
      <c r="K717" s="25">
        <f>IF(COUNTA(A717:H717)=0,"",IF(OR(A717="",B717="",C717="",D717="",E717="",F717="",G717="",H717=""),"HATA: eksik bilgi",IF(COUNTIF(OdaListesi,A717)=0,"HATA: geçersiz oda no",IF(OR(NOT(ISNUMBER(D717)),NOT(ISNUMBER(E717))),"HATA: tarih geçersiz",IF(E717&lt;=D717,"HATA: çıkış girişten sonra olmalı",IF(OR(NOT(ISNUMBER(C717)),C717&lt;1,C717&gt;MaxKisi,C717&lt;&gt;INT(C717)),"HATA: kişi sayısı geçersiz",IF(OR(NOT(ISNUMBER(G717)),G717&lt;0),"HATA: tutar geçersiz",IF(B717&lt;&gt;TRIM(B717),"HATA: isimde baştaki/sondaki boşluk",IF(COUNTIF(KaynakAralik,H717)=0,"HATA: kaynak listede yok",IF(AND(F717&lt;&gt;"Bekleniyor",F717&lt;&gt;"Geldi",F717&lt;&gt;"İptal"),"HATA: giriş durumu geçersiz",IF(AND(F717&lt;&gt;"İptal",COUNTIFS($A$6:$A$1005,A717,$D$6:$D$1005,"&lt;"&amp;E717,$E$6:$E$1005,"&gt;"&amp;D717,$F$6:$F$1005,"&lt;&gt;İptal")&gt;1),"HATA: oda bu tarihlerde çakışıyor",IF(AND(F717="Bekleniyor",D717&lt;RaporTarihi),"HATA: giriş günü geçti, Geldi veya İptal yapın","OK"))))))))))))</f>
        <v/>
      </c>
      <c r="L717" s="25">
        <f>IF(AND(ISNUMBER(A717),F717&lt;&gt;"İptal",ISNUMBER(D717),ISNUMBER(E717),D717&lt;=RaporTarihi,E717&gt;RaporTarihi),A717,"")</f>
        <v/>
      </c>
    </row>
    <row r="718">
      <c r="A718" s="22" t="n"/>
      <c r="B718" s="22" t="n"/>
      <c r="C718" s="22" t="n"/>
      <c r="D718" s="23" t="n"/>
      <c r="E718" s="23" t="n"/>
      <c r="F718" s="22" t="n"/>
      <c r="G718" s="24" t="n"/>
      <c r="H718" s="22" t="n"/>
      <c r="I718" s="25">
        <f>IF(AND(ISNUMBER(D718),ISNUMBER(E718)),E718-D718,"")</f>
        <v/>
      </c>
      <c r="J718" s="26">
        <f>IF(AND(ISNUMBER(I718),ISNUMBER(G718)),IF(I718&gt;0,G718/I718,""),"")</f>
        <v/>
      </c>
      <c r="K718" s="25">
        <f>IF(COUNTA(A718:H718)=0,"",IF(OR(A718="",B718="",C718="",D718="",E718="",F718="",G718="",H718=""),"HATA: eksik bilgi",IF(COUNTIF(OdaListesi,A718)=0,"HATA: geçersiz oda no",IF(OR(NOT(ISNUMBER(D718)),NOT(ISNUMBER(E718))),"HATA: tarih geçersiz",IF(E718&lt;=D718,"HATA: çıkış girişten sonra olmalı",IF(OR(NOT(ISNUMBER(C718)),C718&lt;1,C718&gt;MaxKisi,C718&lt;&gt;INT(C718)),"HATA: kişi sayısı geçersiz",IF(OR(NOT(ISNUMBER(G718)),G718&lt;0),"HATA: tutar geçersiz",IF(B718&lt;&gt;TRIM(B718),"HATA: isimde baştaki/sondaki boşluk",IF(COUNTIF(KaynakAralik,H718)=0,"HATA: kaynak listede yok",IF(AND(F718&lt;&gt;"Bekleniyor",F718&lt;&gt;"Geldi",F718&lt;&gt;"İptal"),"HATA: giriş durumu geçersiz",IF(AND(F718&lt;&gt;"İptal",COUNTIFS($A$6:$A$1005,A718,$D$6:$D$1005,"&lt;"&amp;E718,$E$6:$E$1005,"&gt;"&amp;D718,$F$6:$F$1005,"&lt;&gt;İptal")&gt;1),"HATA: oda bu tarihlerde çakışıyor",IF(AND(F718="Bekleniyor",D718&lt;RaporTarihi),"HATA: giriş günü geçti, Geldi veya İptal yapın","OK"))))))))))))</f>
        <v/>
      </c>
      <c r="L718" s="25">
        <f>IF(AND(ISNUMBER(A718),F718&lt;&gt;"İptal",ISNUMBER(D718),ISNUMBER(E718),D718&lt;=RaporTarihi,E718&gt;RaporTarihi),A718,"")</f>
        <v/>
      </c>
    </row>
    <row r="719">
      <c r="A719" s="22" t="n"/>
      <c r="B719" s="22" t="n"/>
      <c r="C719" s="22" t="n"/>
      <c r="D719" s="23" t="n"/>
      <c r="E719" s="23" t="n"/>
      <c r="F719" s="22" t="n"/>
      <c r="G719" s="24" t="n"/>
      <c r="H719" s="22" t="n"/>
      <c r="I719" s="25">
        <f>IF(AND(ISNUMBER(D719),ISNUMBER(E719)),E719-D719,"")</f>
        <v/>
      </c>
      <c r="J719" s="26">
        <f>IF(AND(ISNUMBER(I719),ISNUMBER(G719)),IF(I719&gt;0,G719/I719,""),"")</f>
        <v/>
      </c>
      <c r="K719" s="25">
        <f>IF(COUNTA(A719:H719)=0,"",IF(OR(A719="",B719="",C719="",D719="",E719="",F719="",G719="",H719=""),"HATA: eksik bilgi",IF(COUNTIF(OdaListesi,A719)=0,"HATA: geçersiz oda no",IF(OR(NOT(ISNUMBER(D719)),NOT(ISNUMBER(E719))),"HATA: tarih geçersiz",IF(E719&lt;=D719,"HATA: çıkış girişten sonra olmalı",IF(OR(NOT(ISNUMBER(C719)),C719&lt;1,C719&gt;MaxKisi,C719&lt;&gt;INT(C719)),"HATA: kişi sayısı geçersiz",IF(OR(NOT(ISNUMBER(G719)),G719&lt;0),"HATA: tutar geçersiz",IF(B719&lt;&gt;TRIM(B719),"HATA: isimde baştaki/sondaki boşluk",IF(COUNTIF(KaynakAralik,H719)=0,"HATA: kaynak listede yok",IF(AND(F719&lt;&gt;"Bekleniyor",F719&lt;&gt;"Geldi",F719&lt;&gt;"İptal"),"HATA: giriş durumu geçersiz",IF(AND(F719&lt;&gt;"İptal",COUNTIFS($A$6:$A$1005,A719,$D$6:$D$1005,"&lt;"&amp;E719,$E$6:$E$1005,"&gt;"&amp;D719,$F$6:$F$1005,"&lt;&gt;İptal")&gt;1),"HATA: oda bu tarihlerde çakışıyor",IF(AND(F719="Bekleniyor",D719&lt;RaporTarihi),"HATA: giriş günü geçti, Geldi veya İptal yapın","OK"))))))))))))</f>
        <v/>
      </c>
      <c r="L719" s="25">
        <f>IF(AND(ISNUMBER(A719),F719&lt;&gt;"İptal",ISNUMBER(D719),ISNUMBER(E719),D719&lt;=RaporTarihi,E719&gt;RaporTarihi),A719,"")</f>
        <v/>
      </c>
    </row>
    <row r="720">
      <c r="A720" s="22" t="n"/>
      <c r="B720" s="22" t="n"/>
      <c r="C720" s="22" t="n"/>
      <c r="D720" s="23" t="n"/>
      <c r="E720" s="23" t="n"/>
      <c r="F720" s="22" t="n"/>
      <c r="G720" s="24" t="n"/>
      <c r="H720" s="22" t="n"/>
      <c r="I720" s="25">
        <f>IF(AND(ISNUMBER(D720),ISNUMBER(E720)),E720-D720,"")</f>
        <v/>
      </c>
      <c r="J720" s="26">
        <f>IF(AND(ISNUMBER(I720),ISNUMBER(G720)),IF(I720&gt;0,G720/I720,""),"")</f>
        <v/>
      </c>
      <c r="K720" s="25">
        <f>IF(COUNTA(A720:H720)=0,"",IF(OR(A720="",B720="",C720="",D720="",E720="",F720="",G720="",H720=""),"HATA: eksik bilgi",IF(COUNTIF(OdaListesi,A720)=0,"HATA: geçersiz oda no",IF(OR(NOT(ISNUMBER(D720)),NOT(ISNUMBER(E720))),"HATA: tarih geçersiz",IF(E720&lt;=D720,"HATA: çıkış girişten sonra olmalı",IF(OR(NOT(ISNUMBER(C720)),C720&lt;1,C720&gt;MaxKisi,C720&lt;&gt;INT(C720)),"HATA: kişi sayısı geçersiz",IF(OR(NOT(ISNUMBER(G720)),G720&lt;0),"HATA: tutar geçersiz",IF(B720&lt;&gt;TRIM(B720),"HATA: isimde baştaki/sondaki boşluk",IF(COUNTIF(KaynakAralik,H720)=0,"HATA: kaynak listede yok",IF(AND(F720&lt;&gt;"Bekleniyor",F720&lt;&gt;"Geldi",F720&lt;&gt;"İptal"),"HATA: giriş durumu geçersiz",IF(AND(F720&lt;&gt;"İptal",COUNTIFS($A$6:$A$1005,A720,$D$6:$D$1005,"&lt;"&amp;E720,$E$6:$E$1005,"&gt;"&amp;D720,$F$6:$F$1005,"&lt;&gt;İptal")&gt;1),"HATA: oda bu tarihlerde çakışıyor",IF(AND(F720="Bekleniyor",D720&lt;RaporTarihi),"HATA: giriş günü geçti, Geldi veya İptal yapın","OK"))))))))))))</f>
        <v/>
      </c>
      <c r="L720" s="25">
        <f>IF(AND(ISNUMBER(A720),F720&lt;&gt;"İptal",ISNUMBER(D720),ISNUMBER(E720),D720&lt;=RaporTarihi,E720&gt;RaporTarihi),A720,"")</f>
        <v/>
      </c>
    </row>
    <row r="721">
      <c r="A721" s="22" t="n"/>
      <c r="B721" s="22" t="n"/>
      <c r="C721" s="22" t="n"/>
      <c r="D721" s="23" t="n"/>
      <c r="E721" s="23" t="n"/>
      <c r="F721" s="22" t="n"/>
      <c r="G721" s="24" t="n"/>
      <c r="H721" s="22" t="n"/>
      <c r="I721" s="25">
        <f>IF(AND(ISNUMBER(D721),ISNUMBER(E721)),E721-D721,"")</f>
        <v/>
      </c>
      <c r="J721" s="26">
        <f>IF(AND(ISNUMBER(I721),ISNUMBER(G721)),IF(I721&gt;0,G721/I721,""),"")</f>
        <v/>
      </c>
      <c r="K721" s="25">
        <f>IF(COUNTA(A721:H721)=0,"",IF(OR(A721="",B721="",C721="",D721="",E721="",F721="",G721="",H721=""),"HATA: eksik bilgi",IF(COUNTIF(OdaListesi,A721)=0,"HATA: geçersiz oda no",IF(OR(NOT(ISNUMBER(D721)),NOT(ISNUMBER(E721))),"HATA: tarih geçersiz",IF(E721&lt;=D721,"HATA: çıkış girişten sonra olmalı",IF(OR(NOT(ISNUMBER(C721)),C721&lt;1,C721&gt;MaxKisi,C721&lt;&gt;INT(C721)),"HATA: kişi sayısı geçersiz",IF(OR(NOT(ISNUMBER(G721)),G721&lt;0),"HATA: tutar geçersiz",IF(B721&lt;&gt;TRIM(B721),"HATA: isimde baştaki/sondaki boşluk",IF(COUNTIF(KaynakAralik,H721)=0,"HATA: kaynak listede yok",IF(AND(F721&lt;&gt;"Bekleniyor",F721&lt;&gt;"Geldi",F721&lt;&gt;"İptal"),"HATA: giriş durumu geçersiz",IF(AND(F721&lt;&gt;"İptal",COUNTIFS($A$6:$A$1005,A721,$D$6:$D$1005,"&lt;"&amp;E721,$E$6:$E$1005,"&gt;"&amp;D721,$F$6:$F$1005,"&lt;&gt;İptal")&gt;1),"HATA: oda bu tarihlerde çakışıyor",IF(AND(F721="Bekleniyor",D721&lt;RaporTarihi),"HATA: giriş günü geçti, Geldi veya İptal yapın","OK"))))))))))))</f>
        <v/>
      </c>
      <c r="L721" s="25">
        <f>IF(AND(ISNUMBER(A721),F721&lt;&gt;"İptal",ISNUMBER(D721),ISNUMBER(E721),D721&lt;=RaporTarihi,E721&gt;RaporTarihi),A721,"")</f>
        <v/>
      </c>
    </row>
    <row r="722">
      <c r="A722" s="22" t="n"/>
      <c r="B722" s="22" t="n"/>
      <c r="C722" s="22" t="n"/>
      <c r="D722" s="23" t="n"/>
      <c r="E722" s="23" t="n"/>
      <c r="F722" s="22" t="n"/>
      <c r="G722" s="24" t="n"/>
      <c r="H722" s="22" t="n"/>
      <c r="I722" s="25">
        <f>IF(AND(ISNUMBER(D722),ISNUMBER(E722)),E722-D722,"")</f>
        <v/>
      </c>
      <c r="J722" s="26">
        <f>IF(AND(ISNUMBER(I722),ISNUMBER(G722)),IF(I722&gt;0,G722/I722,""),"")</f>
        <v/>
      </c>
      <c r="K722" s="25">
        <f>IF(COUNTA(A722:H722)=0,"",IF(OR(A722="",B722="",C722="",D722="",E722="",F722="",G722="",H722=""),"HATA: eksik bilgi",IF(COUNTIF(OdaListesi,A722)=0,"HATA: geçersiz oda no",IF(OR(NOT(ISNUMBER(D722)),NOT(ISNUMBER(E722))),"HATA: tarih geçersiz",IF(E722&lt;=D722,"HATA: çıkış girişten sonra olmalı",IF(OR(NOT(ISNUMBER(C722)),C722&lt;1,C722&gt;MaxKisi,C722&lt;&gt;INT(C722)),"HATA: kişi sayısı geçersiz",IF(OR(NOT(ISNUMBER(G722)),G722&lt;0),"HATA: tutar geçersiz",IF(B722&lt;&gt;TRIM(B722),"HATA: isimde baştaki/sondaki boşluk",IF(COUNTIF(KaynakAralik,H722)=0,"HATA: kaynak listede yok",IF(AND(F722&lt;&gt;"Bekleniyor",F722&lt;&gt;"Geldi",F722&lt;&gt;"İptal"),"HATA: giriş durumu geçersiz",IF(AND(F722&lt;&gt;"İptal",COUNTIFS($A$6:$A$1005,A722,$D$6:$D$1005,"&lt;"&amp;E722,$E$6:$E$1005,"&gt;"&amp;D722,$F$6:$F$1005,"&lt;&gt;İptal")&gt;1),"HATA: oda bu tarihlerde çakışıyor",IF(AND(F722="Bekleniyor",D722&lt;RaporTarihi),"HATA: giriş günü geçti, Geldi veya İptal yapın","OK"))))))))))))</f>
        <v/>
      </c>
      <c r="L722" s="25">
        <f>IF(AND(ISNUMBER(A722),F722&lt;&gt;"İptal",ISNUMBER(D722),ISNUMBER(E722),D722&lt;=RaporTarihi,E722&gt;RaporTarihi),A722,"")</f>
        <v/>
      </c>
    </row>
    <row r="723">
      <c r="A723" s="22" t="n"/>
      <c r="B723" s="22" t="n"/>
      <c r="C723" s="22" t="n"/>
      <c r="D723" s="23" t="n"/>
      <c r="E723" s="23" t="n"/>
      <c r="F723" s="22" t="n"/>
      <c r="G723" s="24" t="n"/>
      <c r="H723" s="22" t="n"/>
      <c r="I723" s="25">
        <f>IF(AND(ISNUMBER(D723),ISNUMBER(E723)),E723-D723,"")</f>
        <v/>
      </c>
      <c r="J723" s="26">
        <f>IF(AND(ISNUMBER(I723),ISNUMBER(G723)),IF(I723&gt;0,G723/I723,""),"")</f>
        <v/>
      </c>
      <c r="K723" s="25">
        <f>IF(COUNTA(A723:H723)=0,"",IF(OR(A723="",B723="",C723="",D723="",E723="",F723="",G723="",H723=""),"HATA: eksik bilgi",IF(COUNTIF(OdaListesi,A723)=0,"HATA: geçersiz oda no",IF(OR(NOT(ISNUMBER(D723)),NOT(ISNUMBER(E723))),"HATA: tarih geçersiz",IF(E723&lt;=D723,"HATA: çıkış girişten sonra olmalı",IF(OR(NOT(ISNUMBER(C723)),C723&lt;1,C723&gt;MaxKisi,C723&lt;&gt;INT(C723)),"HATA: kişi sayısı geçersiz",IF(OR(NOT(ISNUMBER(G723)),G723&lt;0),"HATA: tutar geçersiz",IF(B723&lt;&gt;TRIM(B723),"HATA: isimde baştaki/sondaki boşluk",IF(COUNTIF(KaynakAralik,H723)=0,"HATA: kaynak listede yok",IF(AND(F723&lt;&gt;"Bekleniyor",F723&lt;&gt;"Geldi",F723&lt;&gt;"İptal"),"HATA: giriş durumu geçersiz",IF(AND(F723&lt;&gt;"İptal",COUNTIFS($A$6:$A$1005,A723,$D$6:$D$1005,"&lt;"&amp;E723,$E$6:$E$1005,"&gt;"&amp;D723,$F$6:$F$1005,"&lt;&gt;İptal")&gt;1),"HATA: oda bu tarihlerde çakışıyor",IF(AND(F723="Bekleniyor",D723&lt;RaporTarihi),"HATA: giriş günü geçti, Geldi veya İptal yapın","OK"))))))))))))</f>
        <v/>
      </c>
      <c r="L723" s="25">
        <f>IF(AND(ISNUMBER(A723),F723&lt;&gt;"İptal",ISNUMBER(D723),ISNUMBER(E723),D723&lt;=RaporTarihi,E723&gt;RaporTarihi),A723,"")</f>
        <v/>
      </c>
    </row>
    <row r="724">
      <c r="A724" s="22" t="n"/>
      <c r="B724" s="22" t="n"/>
      <c r="C724" s="22" t="n"/>
      <c r="D724" s="23" t="n"/>
      <c r="E724" s="23" t="n"/>
      <c r="F724" s="22" t="n"/>
      <c r="G724" s="24" t="n"/>
      <c r="H724" s="22" t="n"/>
      <c r="I724" s="25">
        <f>IF(AND(ISNUMBER(D724),ISNUMBER(E724)),E724-D724,"")</f>
        <v/>
      </c>
      <c r="J724" s="26">
        <f>IF(AND(ISNUMBER(I724),ISNUMBER(G724)),IF(I724&gt;0,G724/I724,""),"")</f>
        <v/>
      </c>
      <c r="K724" s="25">
        <f>IF(COUNTA(A724:H724)=0,"",IF(OR(A724="",B724="",C724="",D724="",E724="",F724="",G724="",H724=""),"HATA: eksik bilgi",IF(COUNTIF(OdaListesi,A724)=0,"HATA: geçersiz oda no",IF(OR(NOT(ISNUMBER(D724)),NOT(ISNUMBER(E724))),"HATA: tarih geçersiz",IF(E724&lt;=D724,"HATA: çıkış girişten sonra olmalı",IF(OR(NOT(ISNUMBER(C724)),C724&lt;1,C724&gt;MaxKisi,C724&lt;&gt;INT(C724)),"HATA: kişi sayısı geçersiz",IF(OR(NOT(ISNUMBER(G724)),G724&lt;0),"HATA: tutar geçersiz",IF(B724&lt;&gt;TRIM(B724),"HATA: isimde baştaki/sondaki boşluk",IF(COUNTIF(KaynakAralik,H724)=0,"HATA: kaynak listede yok",IF(AND(F724&lt;&gt;"Bekleniyor",F724&lt;&gt;"Geldi",F724&lt;&gt;"İptal"),"HATA: giriş durumu geçersiz",IF(AND(F724&lt;&gt;"İptal",COUNTIFS($A$6:$A$1005,A724,$D$6:$D$1005,"&lt;"&amp;E724,$E$6:$E$1005,"&gt;"&amp;D724,$F$6:$F$1005,"&lt;&gt;İptal")&gt;1),"HATA: oda bu tarihlerde çakışıyor",IF(AND(F724="Bekleniyor",D724&lt;RaporTarihi),"HATA: giriş günü geçti, Geldi veya İptal yapın","OK"))))))))))))</f>
        <v/>
      </c>
      <c r="L724" s="25">
        <f>IF(AND(ISNUMBER(A724),F724&lt;&gt;"İptal",ISNUMBER(D724),ISNUMBER(E724),D724&lt;=RaporTarihi,E724&gt;RaporTarihi),A724,"")</f>
        <v/>
      </c>
    </row>
    <row r="725">
      <c r="A725" s="22" t="n"/>
      <c r="B725" s="22" t="n"/>
      <c r="C725" s="22" t="n"/>
      <c r="D725" s="23" t="n"/>
      <c r="E725" s="23" t="n"/>
      <c r="F725" s="22" t="n"/>
      <c r="G725" s="24" t="n"/>
      <c r="H725" s="22" t="n"/>
      <c r="I725" s="25">
        <f>IF(AND(ISNUMBER(D725),ISNUMBER(E725)),E725-D725,"")</f>
        <v/>
      </c>
      <c r="J725" s="26">
        <f>IF(AND(ISNUMBER(I725),ISNUMBER(G725)),IF(I725&gt;0,G725/I725,""),"")</f>
        <v/>
      </c>
      <c r="K725" s="25">
        <f>IF(COUNTA(A725:H725)=0,"",IF(OR(A725="",B725="",C725="",D725="",E725="",F725="",G725="",H725=""),"HATA: eksik bilgi",IF(COUNTIF(OdaListesi,A725)=0,"HATA: geçersiz oda no",IF(OR(NOT(ISNUMBER(D725)),NOT(ISNUMBER(E725))),"HATA: tarih geçersiz",IF(E725&lt;=D725,"HATA: çıkış girişten sonra olmalı",IF(OR(NOT(ISNUMBER(C725)),C725&lt;1,C725&gt;MaxKisi,C725&lt;&gt;INT(C725)),"HATA: kişi sayısı geçersiz",IF(OR(NOT(ISNUMBER(G725)),G725&lt;0),"HATA: tutar geçersiz",IF(B725&lt;&gt;TRIM(B725),"HATA: isimde baştaki/sondaki boşluk",IF(COUNTIF(KaynakAralik,H725)=0,"HATA: kaynak listede yok",IF(AND(F725&lt;&gt;"Bekleniyor",F725&lt;&gt;"Geldi",F725&lt;&gt;"İptal"),"HATA: giriş durumu geçersiz",IF(AND(F725&lt;&gt;"İptal",COUNTIFS($A$6:$A$1005,A725,$D$6:$D$1005,"&lt;"&amp;E725,$E$6:$E$1005,"&gt;"&amp;D725,$F$6:$F$1005,"&lt;&gt;İptal")&gt;1),"HATA: oda bu tarihlerde çakışıyor",IF(AND(F725="Bekleniyor",D725&lt;RaporTarihi),"HATA: giriş günü geçti, Geldi veya İptal yapın","OK"))))))))))))</f>
        <v/>
      </c>
      <c r="L725" s="25">
        <f>IF(AND(ISNUMBER(A725),F725&lt;&gt;"İptal",ISNUMBER(D725),ISNUMBER(E725),D725&lt;=RaporTarihi,E725&gt;RaporTarihi),A725,"")</f>
        <v/>
      </c>
    </row>
    <row r="726">
      <c r="A726" s="22" t="n"/>
      <c r="B726" s="22" t="n"/>
      <c r="C726" s="22" t="n"/>
      <c r="D726" s="23" t="n"/>
      <c r="E726" s="23" t="n"/>
      <c r="F726" s="22" t="n"/>
      <c r="G726" s="24" t="n"/>
      <c r="H726" s="22" t="n"/>
      <c r="I726" s="25">
        <f>IF(AND(ISNUMBER(D726),ISNUMBER(E726)),E726-D726,"")</f>
        <v/>
      </c>
      <c r="J726" s="26">
        <f>IF(AND(ISNUMBER(I726),ISNUMBER(G726)),IF(I726&gt;0,G726/I726,""),"")</f>
        <v/>
      </c>
      <c r="K726" s="25">
        <f>IF(COUNTA(A726:H726)=0,"",IF(OR(A726="",B726="",C726="",D726="",E726="",F726="",G726="",H726=""),"HATA: eksik bilgi",IF(COUNTIF(OdaListesi,A726)=0,"HATA: geçersiz oda no",IF(OR(NOT(ISNUMBER(D726)),NOT(ISNUMBER(E726))),"HATA: tarih geçersiz",IF(E726&lt;=D726,"HATA: çıkış girişten sonra olmalı",IF(OR(NOT(ISNUMBER(C726)),C726&lt;1,C726&gt;MaxKisi,C726&lt;&gt;INT(C726)),"HATA: kişi sayısı geçersiz",IF(OR(NOT(ISNUMBER(G726)),G726&lt;0),"HATA: tutar geçersiz",IF(B726&lt;&gt;TRIM(B726),"HATA: isimde baştaki/sondaki boşluk",IF(COUNTIF(KaynakAralik,H726)=0,"HATA: kaynak listede yok",IF(AND(F726&lt;&gt;"Bekleniyor",F726&lt;&gt;"Geldi",F726&lt;&gt;"İptal"),"HATA: giriş durumu geçersiz",IF(AND(F726&lt;&gt;"İptal",COUNTIFS($A$6:$A$1005,A726,$D$6:$D$1005,"&lt;"&amp;E726,$E$6:$E$1005,"&gt;"&amp;D726,$F$6:$F$1005,"&lt;&gt;İptal")&gt;1),"HATA: oda bu tarihlerde çakışıyor",IF(AND(F726="Bekleniyor",D726&lt;RaporTarihi),"HATA: giriş günü geçti, Geldi veya İptal yapın","OK"))))))))))))</f>
        <v/>
      </c>
      <c r="L726" s="25">
        <f>IF(AND(ISNUMBER(A726),F726&lt;&gt;"İptal",ISNUMBER(D726),ISNUMBER(E726),D726&lt;=RaporTarihi,E726&gt;RaporTarihi),A726,"")</f>
        <v/>
      </c>
    </row>
    <row r="727">
      <c r="A727" s="22" t="n"/>
      <c r="B727" s="22" t="n"/>
      <c r="C727" s="22" t="n"/>
      <c r="D727" s="23" t="n"/>
      <c r="E727" s="23" t="n"/>
      <c r="F727" s="22" t="n"/>
      <c r="G727" s="24" t="n"/>
      <c r="H727" s="22" t="n"/>
      <c r="I727" s="25">
        <f>IF(AND(ISNUMBER(D727),ISNUMBER(E727)),E727-D727,"")</f>
        <v/>
      </c>
      <c r="J727" s="26">
        <f>IF(AND(ISNUMBER(I727),ISNUMBER(G727)),IF(I727&gt;0,G727/I727,""),"")</f>
        <v/>
      </c>
      <c r="K727" s="25">
        <f>IF(COUNTA(A727:H727)=0,"",IF(OR(A727="",B727="",C727="",D727="",E727="",F727="",G727="",H727=""),"HATA: eksik bilgi",IF(COUNTIF(OdaListesi,A727)=0,"HATA: geçersiz oda no",IF(OR(NOT(ISNUMBER(D727)),NOT(ISNUMBER(E727))),"HATA: tarih geçersiz",IF(E727&lt;=D727,"HATA: çıkış girişten sonra olmalı",IF(OR(NOT(ISNUMBER(C727)),C727&lt;1,C727&gt;MaxKisi,C727&lt;&gt;INT(C727)),"HATA: kişi sayısı geçersiz",IF(OR(NOT(ISNUMBER(G727)),G727&lt;0),"HATA: tutar geçersiz",IF(B727&lt;&gt;TRIM(B727),"HATA: isimde baştaki/sondaki boşluk",IF(COUNTIF(KaynakAralik,H727)=0,"HATA: kaynak listede yok",IF(AND(F727&lt;&gt;"Bekleniyor",F727&lt;&gt;"Geldi",F727&lt;&gt;"İptal"),"HATA: giriş durumu geçersiz",IF(AND(F727&lt;&gt;"İptal",COUNTIFS($A$6:$A$1005,A727,$D$6:$D$1005,"&lt;"&amp;E727,$E$6:$E$1005,"&gt;"&amp;D727,$F$6:$F$1005,"&lt;&gt;İptal")&gt;1),"HATA: oda bu tarihlerde çakışıyor",IF(AND(F727="Bekleniyor",D727&lt;RaporTarihi),"HATA: giriş günü geçti, Geldi veya İptal yapın","OK"))))))))))))</f>
        <v/>
      </c>
      <c r="L727" s="25">
        <f>IF(AND(ISNUMBER(A727),F727&lt;&gt;"İptal",ISNUMBER(D727),ISNUMBER(E727),D727&lt;=RaporTarihi,E727&gt;RaporTarihi),A727,"")</f>
        <v/>
      </c>
    </row>
    <row r="728">
      <c r="A728" s="22" t="n"/>
      <c r="B728" s="22" t="n"/>
      <c r="C728" s="22" t="n"/>
      <c r="D728" s="23" t="n"/>
      <c r="E728" s="23" t="n"/>
      <c r="F728" s="22" t="n"/>
      <c r="G728" s="24" t="n"/>
      <c r="H728" s="22" t="n"/>
      <c r="I728" s="25">
        <f>IF(AND(ISNUMBER(D728),ISNUMBER(E728)),E728-D728,"")</f>
        <v/>
      </c>
      <c r="J728" s="26">
        <f>IF(AND(ISNUMBER(I728),ISNUMBER(G728)),IF(I728&gt;0,G728/I728,""),"")</f>
        <v/>
      </c>
      <c r="K728" s="25">
        <f>IF(COUNTA(A728:H728)=0,"",IF(OR(A728="",B728="",C728="",D728="",E728="",F728="",G728="",H728=""),"HATA: eksik bilgi",IF(COUNTIF(OdaListesi,A728)=0,"HATA: geçersiz oda no",IF(OR(NOT(ISNUMBER(D728)),NOT(ISNUMBER(E728))),"HATA: tarih geçersiz",IF(E728&lt;=D728,"HATA: çıkış girişten sonra olmalı",IF(OR(NOT(ISNUMBER(C728)),C728&lt;1,C728&gt;MaxKisi,C728&lt;&gt;INT(C728)),"HATA: kişi sayısı geçersiz",IF(OR(NOT(ISNUMBER(G728)),G728&lt;0),"HATA: tutar geçersiz",IF(B728&lt;&gt;TRIM(B728),"HATA: isimde baştaki/sondaki boşluk",IF(COUNTIF(KaynakAralik,H728)=0,"HATA: kaynak listede yok",IF(AND(F728&lt;&gt;"Bekleniyor",F728&lt;&gt;"Geldi",F728&lt;&gt;"İptal"),"HATA: giriş durumu geçersiz",IF(AND(F728&lt;&gt;"İptal",COUNTIFS($A$6:$A$1005,A728,$D$6:$D$1005,"&lt;"&amp;E728,$E$6:$E$1005,"&gt;"&amp;D728,$F$6:$F$1005,"&lt;&gt;İptal")&gt;1),"HATA: oda bu tarihlerde çakışıyor",IF(AND(F728="Bekleniyor",D728&lt;RaporTarihi),"HATA: giriş günü geçti, Geldi veya İptal yapın","OK"))))))))))))</f>
        <v/>
      </c>
      <c r="L728" s="25">
        <f>IF(AND(ISNUMBER(A728),F728&lt;&gt;"İptal",ISNUMBER(D728),ISNUMBER(E728),D728&lt;=RaporTarihi,E728&gt;RaporTarihi),A728,"")</f>
        <v/>
      </c>
    </row>
    <row r="729">
      <c r="A729" s="22" t="n"/>
      <c r="B729" s="22" t="n"/>
      <c r="C729" s="22" t="n"/>
      <c r="D729" s="23" t="n"/>
      <c r="E729" s="23" t="n"/>
      <c r="F729" s="22" t="n"/>
      <c r="G729" s="24" t="n"/>
      <c r="H729" s="22" t="n"/>
      <c r="I729" s="25">
        <f>IF(AND(ISNUMBER(D729),ISNUMBER(E729)),E729-D729,"")</f>
        <v/>
      </c>
      <c r="J729" s="26">
        <f>IF(AND(ISNUMBER(I729),ISNUMBER(G729)),IF(I729&gt;0,G729/I729,""),"")</f>
        <v/>
      </c>
      <c r="K729" s="25">
        <f>IF(COUNTA(A729:H729)=0,"",IF(OR(A729="",B729="",C729="",D729="",E729="",F729="",G729="",H729=""),"HATA: eksik bilgi",IF(COUNTIF(OdaListesi,A729)=0,"HATA: geçersiz oda no",IF(OR(NOT(ISNUMBER(D729)),NOT(ISNUMBER(E729))),"HATA: tarih geçersiz",IF(E729&lt;=D729,"HATA: çıkış girişten sonra olmalı",IF(OR(NOT(ISNUMBER(C729)),C729&lt;1,C729&gt;MaxKisi,C729&lt;&gt;INT(C729)),"HATA: kişi sayısı geçersiz",IF(OR(NOT(ISNUMBER(G729)),G729&lt;0),"HATA: tutar geçersiz",IF(B729&lt;&gt;TRIM(B729),"HATA: isimde baştaki/sondaki boşluk",IF(COUNTIF(KaynakAralik,H729)=0,"HATA: kaynak listede yok",IF(AND(F729&lt;&gt;"Bekleniyor",F729&lt;&gt;"Geldi",F729&lt;&gt;"İptal"),"HATA: giriş durumu geçersiz",IF(AND(F729&lt;&gt;"İptal",COUNTIFS($A$6:$A$1005,A729,$D$6:$D$1005,"&lt;"&amp;E729,$E$6:$E$1005,"&gt;"&amp;D729,$F$6:$F$1005,"&lt;&gt;İptal")&gt;1),"HATA: oda bu tarihlerde çakışıyor",IF(AND(F729="Bekleniyor",D729&lt;RaporTarihi),"HATA: giriş günü geçti, Geldi veya İptal yapın","OK"))))))))))))</f>
        <v/>
      </c>
      <c r="L729" s="25">
        <f>IF(AND(ISNUMBER(A729),F729&lt;&gt;"İptal",ISNUMBER(D729),ISNUMBER(E729),D729&lt;=RaporTarihi,E729&gt;RaporTarihi),A729,"")</f>
        <v/>
      </c>
    </row>
    <row r="730">
      <c r="A730" s="22" t="n"/>
      <c r="B730" s="22" t="n"/>
      <c r="C730" s="22" t="n"/>
      <c r="D730" s="23" t="n"/>
      <c r="E730" s="23" t="n"/>
      <c r="F730" s="22" t="n"/>
      <c r="G730" s="24" t="n"/>
      <c r="H730" s="22" t="n"/>
      <c r="I730" s="25">
        <f>IF(AND(ISNUMBER(D730),ISNUMBER(E730)),E730-D730,"")</f>
        <v/>
      </c>
      <c r="J730" s="26">
        <f>IF(AND(ISNUMBER(I730),ISNUMBER(G730)),IF(I730&gt;0,G730/I730,""),"")</f>
        <v/>
      </c>
      <c r="K730" s="25">
        <f>IF(COUNTA(A730:H730)=0,"",IF(OR(A730="",B730="",C730="",D730="",E730="",F730="",G730="",H730=""),"HATA: eksik bilgi",IF(COUNTIF(OdaListesi,A730)=0,"HATA: geçersiz oda no",IF(OR(NOT(ISNUMBER(D730)),NOT(ISNUMBER(E730))),"HATA: tarih geçersiz",IF(E730&lt;=D730,"HATA: çıkış girişten sonra olmalı",IF(OR(NOT(ISNUMBER(C730)),C730&lt;1,C730&gt;MaxKisi,C730&lt;&gt;INT(C730)),"HATA: kişi sayısı geçersiz",IF(OR(NOT(ISNUMBER(G730)),G730&lt;0),"HATA: tutar geçersiz",IF(B730&lt;&gt;TRIM(B730),"HATA: isimde baştaki/sondaki boşluk",IF(COUNTIF(KaynakAralik,H730)=0,"HATA: kaynak listede yok",IF(AND(F730&lt;&gt;"Bekleniyor",F730&lt;&gt;"Geldi",F730&lt;&gt;"İptal"),"HATA: giriş durumu geçersiz",IF(AND(F730&lt;&gt;"İptal",COUNTIFS($A$6:$A$1005,A730,$D$6:$D$1005,"&lt;"&amp;E730,$E$6:$E$1005,"&gt;"&amp;D730,$F$6:$F$1005,"&lt;&gt;İptal")&gt;1),"HATA: oda bu tarihlerde çakışıyor",IF(AND(F730="Bekleniyor",D730&lt;RaporTarihi),"HATA: giriş günü geçti, Geldi veya İptal yapın","OK"))))))))))))</f>
        <v/>
      </c>
      <c r="L730" s="25">
        <f>IF(AND(ISNUMBER(A730),F730&lt;&gt;"İptal",ISNUMBER(D730),ISNUMBER(E730),D730&lt;=RaporTarihi,E730&gt;RaporTarihi),A730,"")</f>
        <v/>
      </c>
    </row>
    <row r="731">
      <c r="A731" s="22" t="n"/>
      <c r="B731" s="22" t="n"/>
      <c r="C731" s="22" t="n"/>
      <c r="D731" s="23" t="n"/>
      <c r="E731" s="23" t="n"/>
      <c r="F731" s="22" t="n"/>
      <c r="G731" s="24" t="n"/>
      <c r="H731" s="22" t="n"/>
      <c r="I731" s="25">
        <f>IF(AND(ISNUMBER(D731),ISNUMBER(E731)),E731-D731,"")</f>
        <v/>
      </c>
      <c r="J731" s="26">
        <f>IF(AND(ISNUMBER(I731),ISNUMBER(G731)),IF(I731&gt;0,G731/I731,""),"")</f>
        <v/>
      </c>
      <c r="K731" s="25">
        <f>IF(COUNTA(A731:H731)=0,"",IF(OR(A731="",B731="",C731="",D731="",E731="",F731="",G731="",H731=""),"HATA: eksik bilgi",IF(COUNTIF(OdaListesi,A731)=0,"HATA: geçersiz oda no",IF(OR(NOT(ISNUMBER(D731)),NOT(ISNUMBER(E731))),"HATA: tarih geçersiz",IF(E731&lt;=D731,"HATA: çıkış girişten sonra olmalı",IF(OR(NOT(ISNUMBER(C731)),C731&lt;1,C731&gt;MaxKisi,C731&lt;&gt;INT(C731)),"HATA: kişi sayısı geçersiz",IF(OR(NOT(ISNUMBER(G731)),G731&lt;0),"HATA: tutar geçersiz",IF(B731&lt;&gt;TRIM(B731),"HATA: isimde baştaki/sondaki boşluk",IF(COUNTIF(KaynakAralik,H731)=0,"HATA: kaynak listede yok",IF(AND(F731&lt;&gt;"Bekleniyor",F731&lt;&gt;"Geldi",F731&lt;&gt;"İptal"),"HATA: giriş durumu geçersiz",IF(AND(F731&lt;&gt;"İptal",COUNTIFS($A$6:$A$1005,A731,$D$6:$D$1005,"&lt;"&amp;E731,$E$6:$E$1005,"&gt;"&amp;D731,$F$6:$F$1005,"&lt;&gt;İptal")&gt;1),"HATA: oda bu tarihlerde çakışıyor",IF(AND(F731="Bekleniyor",D731&lt;RaporTarihi),"HATA: giriş günü geçti, Geldi veya İptal yapın","OK"))))))))))))</f>
        <v/>
      </c>
      <c r="L731" s="25">
        <f>IF(AND(ISNUMBER(A731),F731&lt;&gt;"İptal",ISNUMBER(D731),ISNUMBER(E731),D731&lt;=RaporTarihi,E731&gt;RaporTarihi),A731,"")</f>
        <v/>
      </c>
    </row>
    <row r="732">
      <c r="A732" s="22" t="n"/>
      <c r="B732" s="22" t="n"/>
      <c r="C732" s="22" t="n"/>
      <c r="D732" s="23" t="n"/>
      <c r="E732" s="23" t="n"/>
      <c r="F732" s="22" t="n"/>
      <c r="G732" s="24" t="n"/>
      <c r="H732" s="22" t="n"/>
      <c r="I732" s="25">
        <f>IF(AND(ISNUMBER(D732),ISNUMBER(E732)),E732-D732,"")</f>
        <v/>
      </c>
      <c r="J732" s="26">
        <f>IF(AND(ISNUMBER(I732),ISNUMBER(G732)),IF(I732&gt;0,G732/I732,""),"")</f>
        <v/>
      </c>
      <c r="K732" s="25">
        <f>IF(COUNTA(A732:H732)=0,"",IF(OR(A732="",B732="",C732="",D732="",E732="",F732="",G732="",H732=""),"HATA: eksik bilgi",IF(COUNTIF(OdaListesi,A732)=0,"HATA: geçersiz oda no",IF(OR(NOT(ISNUMBER(D732)),NOT(ISNUMBER(E732))),"HATA: tarih geçersiz",IF(E732&lt;=D732,"HATA: çıkış girişten sonra olmalı",IF(OR(NOT(ISNUMBER(C732)),C732&lt;1,C732&gt;MaxKisi,C732&lt;&gt;INT(C732)),"HATA: kişi sayısı geçersiz",IF(OR(NOT(ISNUMBER(G732)),G732&lt;0),"HATA: tutar geçersiz",IF(B732&lt;&gt;TRIM(B732),"HATA: isimde baştaki/sondaki boşluk",IF(COUNTIF(KaynakAralik,H732)=0,"HATA: kaynak listede yok",IF(AND(F732&lt;&gt;"Bekleniyor",F732&lt;&gt;"Geldi",F732&lt;&gt;"İptal"),"HATA: giriş durumu geçersiz",IF(AND(F732&lt;&gt;"İptal",COUNTIFS($A$6:$A$1005,A732,$D$6:$D$1005,"&lt;"&amp;E732,$E$6:$E$1005,"&gt;"&amp;D732,$F$6:$F$1005,"&lt;&gt;İptal")&gt;1),"HATA: oda bu tarihlerde çakışıyor",IF(AND(F732="Bekleniyor",D732&lt;RaporTarihi),"HATA: giriş günü geçti, Geldi veya İptal yapın","OK"))))))))))))</f>
        <v/>
      </c>
      <c r="L732" s="25">
        <f>IF(AND(ISNUMBER(A732),F732&lt;&gt;"İptal",ISNUMBER(D732),ISNUMBER(E732),D732&lt;=RaporTarihi,E732&gt;RaporTarihi),A732,"")</f>
        <v/>
      </c>
    </row>
    <row r="733">
      <c r="A733" s="22" t="n"/>
      <c r="B733" s="22" t="n"/>
      <c r="C733" s="22" t="n"/>
      <c r="D733" s="23" t="n"/>
      <c r="E733" s="23" t="n"/>
      <c r="F733" s="22" t="n"/>
      <c r="G733" s="24" t="n"/>
      <c r="H733" s="22" t="n"/>
      <c r="I733" s="25">
        <f>IF(AND(ISNUMBER(D733),ISNUMBER(E733)),E733-D733,"")</f>
        <v/>
      </c>
      <c r="J733" s="26">
        <f>IF(AND(ISNUMBER(I733),ISNUMBER(G733)),IF(I733&gt;0,G733/I733,""),"")</f>
        <v/>
      </c>
      <c r="K733" s="25">
        <f>IF(COUNTA(A733:H733)=0,"",IF(OR(A733="",B733="",C733="",D733="",E733="",F733="",G733="",H733=""),"HATA: eksik bilgi",IF(COUNTIF(OdaListesi,A733)=0,"HATA: geçersiz oda no",IF(OR(NOT(ISNUMBER(D733)),NOT(ISNUMBER(E733))),"HATA: tarih geçersiz",IF(E733&lt;=D733,"HATA: çıkış girişten sonra olmalı",IF(OR(NOT(ISNUMBER(C733)),C733&lt;1,C733&gt;MaxKisi,C733&lt;&gt;INT(C733)),"HATA: kişi sayısı geçersiz",IF(OR(NOT(ISNUMBER(G733)),G733&lt;0),"HATA: tutar geçersiz",IF(B733&lt;&gt;TRIM(B733),"HATA: isimde baştaki/sondaki boşluk",IF(COUNTIF(KaynakAralik,H733)=0,"HATA: kaynak listede yok",IF(AND(F733&lt;&gt;"Bekleniyor",F733&lt;&gt;"Geldi",F733&lt;&gt;"İptal"),"HATA: giriş durumu geçersiz",IF(AND(F733&lt;&gt;"İptal",COUNTIFS($A$6:$A$1005,A733,$D$6:$D$1005,"&lt;"&amp;E733,$E$6:$E$1005,"&gt;"&amp;D733,$F$6:$F$1005,"&lt;&gt;İptal")&gt;1),"HATA: oda bu tarihlerde çakışıyor",IF(AND(F733="Bekleniyor",D733&lt;RaporTarihi),"HATA: giriş günü geçti, Geldi veya İptal yapın","OK"))))))))))))</f>
        <v/>
      </c>
      <c r="L733" s="25">
        <f>IF(AND(ISNUMBER(A733),F733&lt;&gt;"İptal",ISNUMBER(D733),ISNUMBER(E733),D733&lt;=RaporTarihi,E733&gt;RaporTarihi),A733,"")</f>
        <v/>
      </c>
    </row>
    <row r="734">
      <c r="A734" s="22" t="n"/>
      <c r="B734" s="22" t="n"/>
      <c r="C734" s="22" t="n"/>
      <c r="D734" s="23" t="n"/>
      <c r="E734" s="23" t="n"/>
      <c r="F734" s="22" t="n"/>
      <c r="G734" s="24" t="n"/>
      <c r="H734" s="22" t="n"/>
      <c r="I734" s="25">
        <f>IF(AND(ISNUMBER(D734),ISNUMBER(E734)),E734-D734,"")</f>
        <v/>
      </c>
      <c r="J734" s="26">
        <f>IF(AND(ISNUMBER(I734),ISNUMBER(G734)),IF(I734&gt;0,G734/I734,""),"")</f>
        <v/>
      </c>
      <c r="K734" s="25">
        <f>IF(COUNTA(A734:H734)=0,"",IF(OR(A734="",B734="",C734="",D734="",E734="",F734="",G734="",H734=""),"HATA: eksik bilgi",IF(COUNTIF(OdaListesi,A734)=0,"HATA: geçersiz oda no",IF(OR(NOT(ISNUMBER(D734)),NOT(ISNUMBER(E734))),"HATA: tarih geçersiz",IF(E734&lt;=D734,"HATA: çıkış girişten sonra olmalı",IF(OR(NOT(ISNUMBER(C734)),C734&lt;1,C734&gt;MaxKisi,C734&lt;&gt;INT(C734)),"HATA: kişi sayısı geçersiz",IF(OR(NOT(ISNUMBER(G734)),G734&lt;0),"HATA: tutar geçersiz",IF(B734&lt;&gt;TRIM(B734),"HATA: isimde baştaki/sondaki boşluk",IF(COUNTIF(KaynakAralik,H734)=0,"HATA: kaynak listede yok",IF(AND(F734&lt;&gt;"Bekleniyor",F734&lt;&gt;"Geldi",F734&lt;&gt;"İptal"),"HATA: giriş durumu geçersiz",IF(AND(F734&lt;&gt;"İptal",COUNTIFS($A$6:$A$1005,A734,$D$6:$D$1005,"&lt;"&amp;E734,$E$6:$E$1005,"&gt;"&amp;D734,$F$6:$F$1005,"&lt;&gt;İptal")&gt;1),"HATA: oda bu tarihlerde çakışıyor",IF(AND(F734="Bekleniyor",D734&lt;RaporTarihi),"HATA: giriş günü geçti, Geldi veya İptal yapın","OK"))))))))))))</f>
        <v/>
      </c>
      <c r="L734" s="25">
        <f>IF(AND(ISNUMBER(A734),F734&lt;&gt;"İptal",ISNUMBER(D734),ISNUMBER(E734),D734&lt;=RaporTarihi,E734&gt;RaporTarihi),A734,"")</f>
        <v/>
      </c>
    </row>
    <row r="735">
      <c r="A735" s="22" t="n"/>
      <c r="B735" s="22" t="n"/>
      <c r="C735" s="22" t="n"/>
      <c r="D735" s="23" t="n"/>
      <c r="E735" s="23" t="n"/>
      <c r="F735" s="22" t="n"/>
      <c r="G735" s="24" t="n"/>
      <c r="H735" s="22" t="n"/>
      <c r="I735" s="25">
        <f>IF(AND(ISNUMBER(D735),ISNUMBER(E735)),E735-D735,"")</f>
        <v/>
      </c>
      <c r="J735" s="26">
        <f>IF(AND(ISNUMBER(I735),ISNUMBER(G735)),IF(I735&gt;0,G735/I735,""),"")</f>
        <v/>
      </c>
      <c r="K735" s="25">
        <f>IF(COUNTA(A735:H735)=0,"",IF(OR(A735="",B735="",C735="",D735="",E735="",F735="",G735="",H735=""),"HATA: eksik bilgi",IF(COUNTIF(OdaListesi,A735)=0,"HATA: geçersiz oda no",IF(OR(NOT(ISNUMBER(D735)),NOT(ISNUMBER(E735))),"HATA: tarih geçersiz",IF(E735&lt;=D735,"HATA: çıkış girişten sonra olmalı",IF(OR(NOT(ISNUMBER(C735)),C735&lt;1,C735&gt;MaxKisi,C735&lt;&gt;INT(C735)),"HATA: kişi sayısı geçersiz",IF(OR(NOT(ISNUMBER(G735)),G735&lt;0),"HATA: tutar geçersiz",IF(B735&lt;&gt;TRIM(B735),"HATA: isimde baştaki/sondaki boşluk",IF(COUNTIF(KaynakAralik,H735)=0,"HATA: kaynak listede yok",IF(AND(F735&lt;&gt;"Bekleniyor",F735&lt;&gt;"Geldi",F735&lt;&gt;"İptal"),"HATA: giriş durumu geçersiz",IF(AND(F735&lt;&gt;"İptal",COUNTIFS($A$6:$A$1005,A735,$D$6:$D$1005,"&lt;"&amp;E735,$E$6:$E$1005,"&gt;"&amp;D735,$F$6:$F$1005,"&lt;&gt;İptal")&gt;1),"HATA: oda bu tarihlerde çakışıyor",IF(AND(F735="Bekleniyor",D735&lt;RaporTarihi),"HATA: giriş günü geçti, Geldi veya İptal yapın","OK"))))))))))))</f>
        <v/>
      </c>
      <c r="L735" s="25">
        <f>IF(AND(ISNUMBER(A735),F735&lt;&gt;"İptal",ISNUMBER(D735),ISNUMBER(E735),D735&lt;=RaporTarihi,E735&gt;RaporTarihi),A735,"")</f>
        <v/>
      </c>
    </row>
    <row r="736">
      <c r="A736" s="22" t="n"/>
      <c r="B736" s="22" t="n"/>
      <c r="C736" s="22" t="n"/>
      <c r="D736" s="23" t="n"/>
      <c r="E736" s="23" t="n"/>
      <c r="F736" s="22" t="n"/>
      <c r="G736" s="24" t="n"/>
      <c r="H736" s="22" t="n"/>
      <c r="I736" s="25">
        <f>IF(AND(ISNUMBER(D736),ISNUMBER(E736)),E736-D736,"")</f>
        <v/>
      </c>
      <c r="J736" s="26">
        <f>IF(AND(ISNUMBER(I736),ISNUMBER(G736)),IF(I736&gt;0,G736/I736,""),"")</f>
        <v/>
      </c>
      <c r="K736" s="25">
        <f>IF(COUNTA(A736:H736)=0,"",IF(OR(A736="",B736="",C736="",D736="",E736="",F736="",G736="",H736=""),"HATA: eksik bilgi",IF(COUNTIF(OdaListesi,A736)=0,"HATA: geçersiz oda no",IF(OR(NOT(ISNUMBER(D736)),NOT(ISNUMBER(E736))),"HATA: tarih geçersiz",IF(E736&lt;=D736,"HATA: çıkış girişten sonra olmalı",IF(OR(NOT(ISNUMBER(C736)),C736&lt;1,C736&gt;MaxKisi,C736&lt;&gt;INT(C736)),"HATA: kişi sayısı geçersiz",IF(OR(NOT(ISNUMBER(G736)),G736&lt;0),"HATA: tutar geçersiz",IF(B736&lt;&gt;TRIM(B736),"HATA: isimde baştaki/sondaki boşluk",IF(COUNTIF(KaynakAralik,H736)=0,"HATA: kaynak listede yok",IF(AND(F736&lt;&gt;"Bekleniyor",F736&lt;&gt;"Geldi",F736&lt;&gt;"İptal"),"HATA: giriş durumu geçersiz",IF(AND(F736&lt;&gt;"İptal",COUNTIFS($A$6:$A$1005,A736,$D$6:$D$1005,"&lt;"&amp;E736,$E$6:$E$1005,"&gt;"&amp;D736,$F$6:$F$1005,"&lt;&gt;İptal")&gt;1),"HATA: oda bu tarihlerde çakışıyor",IF(AND(F736="Bekleniyor",D736&lt;RaporTarihi),"HATA: giriş günü geçti, Geldi veya İptal yapın","OK"))))))))))))</f>
        <v/>
      </c>
      <c r="L736" s="25">
        <f>IF(AND(ISNUMBER(A736),F736&lt;&gt;"İptal",ISNUMBER(D736),ISNUMBER(E736),D736&lt;=RaporTarihi,E736&gt;RaporTarihi),A736,"")</f>
        <v/>
      </c>
    </row>
    <row r="737">
      <c r="A737" s="22" t="n"/>
      <c r="B737" s="22" t="n"/>
      <c r="C737" s="22" t="n"/>
      <c r="D737" s="23" t="n"/>
      <c r="E737" s="23" t="n"/>
      <c r="F737" s="22" t="n"/>
      <c r="G737" s="24" t="n"/>
      <c r="H737" s="22" t="n"/>
      <c r="I737" s="25">
        <f>IF(AND(ISNUMBER(D737),ISNUMBER(E737)),E737-D737,"")</f>
        <v/>
      </c>
      <c r="J737" s="26">
        <f>IF(AND(ISNUMBER(I737),ISNUMBER(G737)),IF(I737&gt;0,G737/I737,""),"")</f>
        <v/>
      </c>
      <c r="K737" s="25">
        <f>IF(COUNTA(A737:H737)=0,"",IF(OR(A737="",B737="",C737="",D737="",E737="",F737="",G737="",H737=""),"HATA: eksik bilgi",IF(COUNTIF(OdaListesi,A737)=0,"HATA: geçersiz oda no",IF(OR(NOT(ISNUMBER(D737)),NOT(ISNUMBER(E737))),"HATA: tarih geçersiz",IF(E737&lt;=D737,"HATA: çıkış girişten sonra olmalı",IF(OR(NOT(ISNUMBER(C737)),C737&lt;1,C737&gt;MaxKisi,C737&lt;&gt;INT(C737)),"HATA: kişi sayısı geçersiz",IF(OR(NOT(ISNUMBER(G737)),G737&lt;0),"HATA: tutar geçersiz",IF(B737&lt;&gt;TRIM(B737),"HATA: isimde baştaki/sondaki boşluk",IF(COUNTIF(KaynakAralik,H737)=0,"HATA: kaynak listede yok",IF(AND(F737&lt;&gt;"Bekleniyor",F737&lt;&gt;"Geldi",F737&lt;&gt;"İptal"),"HATA: giriş durumu geçersiz",IF(AND(F737&lt;&gt;"İptal",COUNTIFS($A$6:$A$1005,A737,$D$6:$D$1005,"&lt;"&amp;E737,$E$6:$E$1005,"&gt;"&amp;D737,$F$6:$F$1005,"&lt;&gt;İptal")&gt;1),"HATA: oda bu tarihlerde çakışıyor",IF(AND(F737="Bekleniyor",D737&lt;RaporTarihi),"HATA: giriş günü geçti, Geldi veya İptal yapın","OK"))))))))))))</f>
        <v/>
      </c>
      <c r="L737" s="25">
        <f>IF(AND(ISNUMBER(A737),F737&lt;&gt;"İptal",ISNUMBER(D737),ISNUMBER(E737),D737&lt;=RaporTarihi,E737&gt;RaporTarihi),A737,"")</f>
        <v/>
      </c>
    </row>
    <row r="738">
      <c r="A738" s="22" t="n"/>
      <c r="B738" s="22" t="n"/>
      <c r="C738" s="22" t="n"/>
      <c r="D738" s="23" t="n"/>
      <c r="E738" s="23" t="n"/>
      <c r="F738" s="22" t="n"/>
      <c r="G738" s="24" t="n"/>
      <c r="H738" s="22" t="n"/>
      <c r="I738" s="25">
        <f>IF(AND(ISNUMBER(D738),ISNUMBER(E738)),E738-D738,"")</f>
        <v/>
      </c>
      <c r="J738" s="26">
        <f>IF(AND(ISNUMBER(I738),ISNUMBER(G738)),IF(I738&gt;0,G738/I738,""),"")</f>
        <v/>
      </c>
      <c r="K738" s="25">
        <f>IF(COUNTA(A738:H738)=0,"",IF(OR(A738="",B738="",C738="",D738="",E738="",F738="",G738="",H738=""),"HATA: eksik bilgi",IF(COUNTIF(OdaListesi,A738)=0,"HATA: geçersiz oda no",IF(OR(NOT(ISNUMBER(D738)),NOT(ISNUMBER(E738))),"HATA: tarih geçersiz",IF(E738&lt;=D738,"HATA: çıkış girişten sonra olmalı",IF(OR(NOT(ISNUMBER(C738)),C738&lt;1,C738&gt;MaxKisi,C738&lt;&gt;INT(C738)),"HATA: kişi sayısı geçersiz",IF(OR(NOT(ISNUMBER(G738)),G738&lt;0),"HATA: tutar geçersiz",IF(B738&lt;&gt;TRIM(B738),"HATA: isimde baştaki/sondaki boşluk",IF(COUNTIF(KaynakAralik,H738)=0,"HATA: kaynak listede yok",IF(AND(F738&lt;&gt;"Bekleniyor",F738&lt;&gt;"Geldi",F738&lt;&gt;"İptal"),"HATA: giriş durumu geçersiz",IF(AND(F738&lt;&gt;"İptal",COUNTIFS($A$6:$A$1005,A738,$D$6:$D$1005,"&lt;"&amp;E738,$E$6:$E$1005,"&gt;"&amp;D738,$F$6:$F$1005,"&lt;&gt;İptal")&gt;1),"HATA: oda bu tarihlerde çakışıyor",IF(AND(F738="Bekleniyor",D738&lt;RaporTarihi),"HATA: giriş günü geçti, Geldi veya İptal yapın","OK"))))))))))))</f>
        <v/>
      </c>
      <c r="L738" s="25">
        <f>IF(AND(ISNUMBER(A738),F738&lt;&gt;"İptal",ISNUMBER(D738),ISNUMBER(E738),D738&lt;=RaporTarihi,E738&gt;RaporTarihi),A738,"")</f>
        <v/>
      </c>
    </row>
    <row r="739">
      <c r="A739" s="22" t="n"/>
      <c r="B739" s="22" t="n"/>
      <c r="C739" s="22" t="n"/>
      <c r="D739" s="23" t="n"/>
      <c r="E739" s="23" t="n"/>
      <c r="F739" s="22" t="n"/>
      <c r="G739" s="24" t="n"/>
      <c r="H739" s="22" t="n"/>
      <c r="I739" s="25">
        <f>IF(AND(ISNUMBER(D739),ISNUMBER(E739)),E739-D739,"")</f>
        <v/>
      </c>
      <c r="J739" s="26">
        <f>IF(AND(ISNUMBER(I739),ISNUMBER(G739)),IF(I739&gt;0,G739/I739,""),"")</f>
        <v/>
      </c>
      <c r="K739" s="25">
        <f>IF(COUNTA(A739:H739)=0,"",IF(OR(A739="",B739="",C739="",D739="",E739="",F739="",G739="",H739=""),"HATA: eksik bilgi",IF(COUNTIF(OdaListesi,A739)=0,"HATA: geçersiz oda no",IF(OR(NOT(ISNUMBER(D739)),NOT(ISNUMBER(E739))),"HATA: tarih geçersiz",IF(E739&lt;=D739,"HATA: çıkış girişten sonra olmalı",IF(OR(NOT(ISNUMBER(C739)),C739&lt;1,C739&gt;MaxKisi,C739&lt;&gt;INT(C739)),"HATA: kişi sayısı geçersiz",IF(OR(NOT(ISNUMBER(G739)),G739&lt;0),"HATA: tutar geçersiz",IF(B739&lt;&gt;TRIM(B739),"HATA: isimde baştaki/sondaki boşluk",IF(COUNTIF(KaynakAralik,H739)=0,"HATA: kaynak listede yok",IF(AND(F739&lt;&gt;"Bekleniyor",F739&lt;&gt;"Geldi",F739&lt;&gt;"İptal"),"HATA: giriş durumu geçersiz",IF(AND(F739&lt;&gt;"İptal",COUNTIFS($A$6:$A$1005,A739,$D$6:$D$1005,"&lt;"&amp;E739,$E$6:$E$1005,"&gt;"&amp;D739,$F$6:$F$1005,"&lt;&gt;İptal")&gt;1),"HATA: oda bu tarihlerde çakışıyor",IF(AND(F739="Bekleniyor",D739&lt;RaporTarihi),"HATA: giriş günü geçti, Geldi veya İptal yapın","OK"))))))))))))</f>
        <v/>
      </c>
      <c r="L739" s="25">
        <f>IF(AND(ISNUMBER(A739),F739&lt;&gt;"İptal",ISNUMBER(D739),ISNUMBER(E739),D739&lt;=RaporTarihi,E739&gt;RaporTarihi),A739,"")</f>
        <v/>
      </c>
    </row>
    <row r="740">
      <c r="A740" s="22" t="n"/>
      <c r="B740" s="22" t="n"/>
      <c r="C740" s="22" t="n"/>
      <c r="D740" s="23" t="n"/>
      <c r="E740" s="23" t="n"/>
      <c r="F740" s="22" t="n"/>
      <c r="G740" s="24" t="n"/>
      <c r="H740" s="22" t="n"/>
      <c r="I740" s="25">
        <f>IF(AND(ISNUMBER(D740),ISNUMBER(E740)),E740-D740,"")</f>
        <v/>
      </c>
      <c r="J740" s="26">
        <f>IF(AND(ISNUMBER(I740),ISNUMBER(G740)),IF(I740&gt;0,G740/I740,""),"")</f>
        <v/>
      </c>
      <c r="K740" s="25">
        <f>IF(COUNTA(A740:H740)=0,"",IF(OR(A740="",B740="",C740="",D740="",E740="",F740="",G740="",H740=""),"HATA: eksik bilgi",IF(COUNTIF(OdaListesi,A740)=0,"HATA: geçersiz oda no",IF(OR(NOT(ISNUMBER(D740)),NOT(ISNUMBER(E740))),"HATA: tarih geçersiz",IF(E740&lt;=D740,"HATA: çıkış girişten sonra olmalı",IF(OR(NOT(ISNUMBER(C740)),C740&lt;1,C740&gt;MaxKisi,C740&lt;&gt;INT(C740)),"HATA: kişi sayısı geçersiz",IF(OR(NOT(ISNUMBER(G740)),G740&lt;0),"HATA: tutar geçersiz",IF(B740&lt;&gt;TRIM(B740),"HATA: isimde baştaki/sondaki boşluk",IF(COUNTIF(KaynakAralik,H740)=0,"HATA: kaynak listede yok",IF(AND(F740&lt;&gt;"Bekleniyor",F740&lt;&gt;"Geldi",F740&lt;&gt;"İptal"),"HATA: giriş durumu geçersiz",IF(AND(F740&lt;&gt;"İptal",COUNTIFS($A$6:$A$1005,A740,$D$6:$D$1005,"&lt;"&amp;E740,$E$6:$E$1005,"&gt;"&amp;D740,$F$6:$F$1005,"&lt;&gt;İptal")&gt;1),"HATA: oda bu tarihlerde çakışıyor",IF(AND(F740="Bekleniyor",D740&lt;RaporTarihi),"HATA: giriş günü geçti, Geldi veya İptal yapın","OK"))))))))))))</f>
        <v/>
      </c>
      <c r="L740" s="25">
        <f>IF(AND(ISNUMBER(A740),F740&lt;&gt;"İptal",ISNUMBER(D740),ISNUMBER(E740),D740&lt;=RaporTarihi,E740&gt;RaporTarihi),A740,"")</f>
        <v/>
      </c>
    </row>
    <row r="741">
      <c r="A741" s="22" t="n"/>
      <c r="B741" s="22" t="n"/>
      <c r="C741" s="22" t="n"/>
      <c r="D741" s="23" t="n"/>
      <c r="E741" s="23" t="n"/>
      <c r="F741" s="22" t="n"/>
      <c r="G741" s="24" t="n"/>
      <c r="H741" s="22" t="n"/>
      <c r="I741" s="25">
        <f>IF(AND(ISNUMBER(D741),ISNUMBER(E741)),E741-D741,"")</f>
        <v/>
      </c>
      <c r="J741" s="26">
        <f>IF(AND(ISNUMBER(I741),ISNUMBER(G741)),IF(I741&gt;0,G741/I741,""),"")</f>
        <v/>
      </c>
      <c r="K741" s="25">
        <f>IF(COUNTA(A741:H741)=0,"",IF(OR(A741="",B741="",C741="",D741="",E741="",F741="",G741="",H741=""),"HATA: eksik bilgi",IF(COUNTIF(OdaListesi,A741)=0,"HATA: geçersiz oda no",IF(OR(NOT(ISNUMBER(D741)),NOT(ISNUMBER(E741))),"HATA: tarih geçersiz",IF(E741&lt;=D741,"HATA: çıkış girişten sonra olmalı",IF(OR(NOT(ISNUMBER(C741)),C741&lt;1,C741&gt;MaxKisi,C741&lt;&gt;INT(C741)),"HATA: kişi sayısı geçersiz",IF(OR(NOT(ISNUMBER(G741)),G741&lt;0),"HATA: tutar geçersiz",IF(B741&lt;&gt;TRIM(B741),"HATA: isimde baştaki/sondaki boşluk",IF(COUNTIF(KaynakAralik,H741)=0,"HATA: kaynak listede yok",IF(AND(F741&lt;&gt;"Bekleniyor",F741&lt;&gt;"Geldi",F741&lt;&gt;"İptal"),"HATA: giriş durumu geçersiz",IF(AND(F741&lt;&gt;"İptal",COUNTIFS($A$6:$A$1005,A741,$D$6:$D$1005,"&lt;"&amp;E741,$E$6:$E$1005,"&gt;"&amp;D741,$F$6:$F$1005,"&lt;&gt;İptal")&gt;1),"HATA: oda bu tarihlerde çakışıyor",IF(AND(F741="Bekleniyor",D741&lt;RaporTarihi),"HATA: giriş günü geçti, Geldi veya İptal yapın","OK"))))))))))))</f>
        <v/>
      </c>
      <c r="L741" s="25">
        <f>IF(AND(ISNUMBER(A741),F741&lt;&gt;"İptal",ISNUMBER(D741),ISNUMBER(E741),D741&lt;=RaporTarihi,E741&gt;RaporTarihi),A741,"")</f>
        <v/>
      </c>
    </row>
    <row r="742">
      <c r="A742" s="22" t="n"/>
      <c r="B742" s="22" t="n"/>
      <c r="C742" s="22" t="n"/>
      <c r="D742" s="23" t="n"/>
      <c r="E742" s="23" t="n"/>
      <c r="F742" s="22" t="n"/>
      <c r="G742" s="24" t="n"/>
      <c r="H742" s="22" t="n"/>
      <c r="I742" s="25">
        <f>IF(AND(ISNUMBER(D742),ISNUMBER(E742)),E742-D742,"")</f>
        <v/>
      </c>
      <c r="J742" s="26">
        <f>IF(AND(ISNUMBER(I742),ISNUMBER(G742)),IF(I742&gt;0,G742/I742,""),"")</f>
        <v/>
      </c>
      <c r="K742" s="25">
        <f>IF(COUNTA(A742:H742)=0,"",IF(OR(A742="",B742="",C742="",D742="",E742="",F742="",G742="",H742=""),"HATA: eksik bilgi",IF(COUNTIF(OdaListesi,A742)=0,"HATA: geçersiz oda no",IF(OR(NOT(ISNUMBER(D742)),NOT(ISNUMBER(E742))),"HATA: tarih geçersiz",IF(E742&lt;=D742,"HATA: çıkış girişten sonra olmalı",IF(OR(NOT(ISNUMBER(C742)),C742&lt;1,C742&gt;MaxKisi,C742&lt;&gt;INT(C742)),"HATA: kişi sayısı geçersiz",IF(OR(NOT(ISNUMBER(G742)),G742&lt;0),"HATA: tutar geçersiz",IF(B742&lt;&gt;TRIM(B742),"HATA: isimde baştaki/sondaki boşluk",IF(COUNTIF(KaynakAralik,H742)=0,"HATA: kaynak listede yok",IF(AND(F742&lt;&gt;"Bekleniyor",F742&lt;&gt;"Geldi",F742&lt;&gt;"İptal"),"HATA: giriş durumu geçersiz",IF(AND(F742&lt;&gt;"İptal",COUNTIFS($A$6:$A$1005,A742,$D$6:$D$1005,"&lt;"&amp;E742,$E$6:$E$1005,"&gt;"&amp;D742,$F$6:$F$1005,"&lt;&gt;İptal")&gt;1),"HATA: oda bu tarihlerde çakışıyor",IF(AND(F742="Bekleniyor",D742&lt;RaporTarihi),"HATA: giriş günü geçti, Geldi veya İptal yapın","OK"))))))))))))</f>
        <v/>
      </c>
      <c r="L742" s="25">
        <f>IF(AND(ISNUMBER(A742),F742&lt;&gt;"İptal",ISNUMBER(D742),ISNUMBER(E742),D742&lt;=RaporTarihi,E742&gt;RaporTarihi),A742,"")</f>
        <v/>
      </c>
    </row>
    <row r="743">
      <c r="A743" s="22" t="n"/>
      <c r="B743" s="22" t="n"/>
      <c r="C743" s="22" t="n"/>
      <c r="D743" s="23" t="n"/>
      <c r="E743" s="23" t="n"/>
      <c r="F743" s="22" t="n"/>
      <c r="G743" s="24" t="n"/>
      <c r="H743" s="22" t="n"/>
      <c r="I743" s="25">
        <f>IF(AND(ISNUMBER(D743),ISNUMBER(E743)),E743-D743,"")</f>
        <v/>
      </c>
      <c r="J743" s="26">
        <f>IF(AND(ISNUMBER(I743),ISNUMBER(G743)),IF(I743&gt;0,G743/I743,""),"")</f>
        <v/>
      </c>
      <c r="K743" s="25">
        <f>IF(COUNTA(A743:H743)=0,"",IF(OR(A743="",B743="",C743="",D743="",E743="",F743="",G743="",H743=""),"HATA: eksik bilgi",IF(COUNTIF(OdaListesi,A743)=0,"HATA: geçersiz oda no",IF(OR(NOT(ISNUMBER(D743)),NOT(ISNUMBER(E743))),"HATA: tarih geçersiz",IF(E743&lt;=D743,"HATA: çıkış girişten sonra olmalı",IF(OR(NOT(ISNUMBER(C743)),C743&lt;1,C743&gt;MaxKisi,C743&lt;&gt;INT(C743)),"HATA: kişi sayısı geçersiz",IF(OR(NOT(ISNUMBER(G743)),G743&lt;0),"HATA: tutar geçersiz",IF(B743&lt;&gt;TRIM(B743),"HATA: isimde baştaki/sondaki boşluk",IF(COUNTIF(KaynakAralik,H743)=0,"HATA: kaynak listede yok",IF(AND(F743&lt;&gt;"Bekleniyor",F743&lt;&gt;"Geldi",F743&lt;&gt;"İptal"),"HATA: giriş durumu geçersiz",IF(AND(F743&lt;&gt;"İptal",COUNTIFS($A$6:$A$1005,A743,$D$6:$D$1005,"&lt;"&amp;E743,$E$6:$E$1005,"&gt;"&amp;D743,$F$6:$F$1005,"&lt;&gt;İptal")&gt;1),"HATA: oda bu tarihlerde çakışıyor",IF(AND(F743="Bekleniyor",D743&lt;RaporTarihi),"HATA: giriş günü geçti, Geldi veya İptal yapın","OK"))))))))))))</f>
        <v/>
      </c>
      <c r="L743" s="25">
        <f>IF(AND(ISNUMBER(A743),F743&lt;&gt;"İptal",ISNUMBER(D743),ISNUMBER(E743),D743&lt;=RaporTarihi,E743&gt;RaporTarihi),A743,"")</f>
        <v/>
      </c>
    </row>
    <row r="744">
      <c r="A744" s="22" t="n"/>
      <c r="B744" s="22" t="n"/>
      <c r="C744" s="22" t="n"/>
      <c r="D744" s="23" t="n"/>
      <c r="E744" s="23" t="n"/>
      <c r="F744" s="22" t="n"/>
      <c r="G744" s="24" t="n"/>
      <c r="H744" s="22" t="n"/>
      <c r="I744" s="25">
        <f>IF(AND(ISNUMBER(D744),ISNUMBER(E744)),E744-D744,"")</f>
        <v/>
      </c>
      <c r="J744" s="26">
        <f>IF(AND(ISNUMBER(I744),ISNUMBER(G744)),IF(I744&gt;0,G744/I744,""),"")</f>
        <v/>
      </c>
      <c r="K744" s="25">
        <f>IF(COUNTA(A744:H744)=0,"",IF(OR(A744="",B744="",C744="",D744="",E744="",F744="",G744="",H744=""),"HATA: eksik bilgi",IF(COUNTIF(OdaListesi,A744)=0,"HATA: geçersiz oda no",IF(OR(NOT(ISNUMBER(D744)),NOT(ISNUMBER(E744))),"HATA: tarih geçersiz",IF(E744&lt;=D744,"HATA: çıkış girişten sonra olmalı",IF(OR(NOT(ISNUMBER(C744)),C744&lt;1,C744&gt;MaxKisi,C744&lt;&gt;INT(C744)),"HATA: kişi sayısı geçersiz",IF(OR(NOT(ISNUMBER(G744)),G744&lt;0),"HATA: tutar geçersiz",IF(B744&lt;&gt;TRIM(B744),"HATA: isimde baştaki/sondaki boşluk",IF(COUNTIF(KaynakAralik,H744)=0,"HATA: kaynak listede yok",IF(AND(F744&lt;&gt;"Bekleniyor",F744&lt;&gt;"Geldi",F744&lt;&gt;"İptal"),"HATA: giriş durumu geçersiz",IF(AND(F744&lt;&gt;"İptal",COUNTIFS($A$6:$A$1005,A744,$D$6:$D$1005,"&lt;"&amp;E744,$E$6:$E$1005,"&gt;"&amp;D744,$F$6:$F$1005,"&lt;&gt;İptal")&gt;1),"HATA: oda bu tarihlerde çakışıyor",IF(AND(F744="Bekleniyor",D744&lt;RaporTarihi),"HATA: giriş günü geçti, Geldi veya İptal yapın","OK"))))))))))))</f>
        <v/>
      </c>
      <c r="L744" s="25">
        <f>IF(AND(ISNUMBER(A744),F744&lt;&gt;"İptal",ISNUMBER(D744),ISNUMBER(E744),D744&lt;=RaporTarihi,E744&gt;RaporTarihi),A744,"")</f>
        <v/>
      </c>
    </row>
    <row r="745">
      <c r="A745" s="22" t="n"/>
      <c r="B745" s="22" t="n"/>
      <c r="C745" s="22" t="n"/>
      <c r="D745" s="23" t="n"/>
      <c r="E745" s="23" t="n"/>
      <c r="F745" s="22" t="n"/>
      <c r="G745" s="24" t="n"/>
      <c r="H745" s="22" t="n"/>
      <c r="I745" s="25">
        <f>IF(AND(ISNUMBER(D745),ISNUMBER(E745)),E745-D745,"")</f>
        <v/>
      </c>
      <c r="J745" s="26">
        <f>IF(AND(ISNUMBER(I745),ISNUMBER(G745)),IF(I745&gt;0,G745/I745,""),"")</f>
        <v/>
      </c>
      <c r="K745" s="25">
        <f>IF(COUNTA(A745:H745)=0,"",IF(OR(A745="",B745="",C745="",D745="",E745="",F745="",G745="",H745=""),"HATA: eksik bilgi",IF(COUNTIF(OdaListesi,A745)=0,"HATA: geçersiz oda no",IF(OR(NOT(ISNUMBER(D745)),NOT(ISNUMBER(E745))),"HATA: tarih geçersiz",IF(E745&lt;=D745,"HATA: çıkış girişten sonra olmalı",IF(OR(NOT(ISNUMBER(C745)),C745&lt;1,C745&gt;MaxKisi,C745&lt;&gt;INT(C745)),"HATA: kişi sayısı geçersiz",IF(OR(NOT(ISNUMBER(G745)),G745&lt;0),"HATA: tutar geçersiz",IF(B745&lt;&gt;TRIM(B745),"HATA: isimde baştaki/sondaki boşluk",IF(COUNTIF(KaynakAralik,H745)=0,"HATA: kaynak listede yok",IF(AND(F745&lt;&gt;"Bekleniyor",F745&lt;&gt;"Geldi",F745&lt;&gt;"İptal"),"HATA: giriş durumu geçersiz",IF(AND(F745&lt;&gt;"İptal",COUNTIFS($A$6:$A$1005,A745,$D$6:$D$1005,"&lt;"&amp;E745,$E$6:$E$1005,"&gt;"&amp;D745,$F$6:$F$1005,"&lt;&gt;İptal")&gt;1),"HATA: oda bu tarihlerde çakışıyor",IF(AND(F745="Bekleniyor",D745&lt;RaporTarihi),"HATA: giriş günü geçti, Geldi veya İptal yapın","OK"))))))))))))</f>
        <v/>
      </c>
      <c r="L745" s="25">
        <f>IF(AND(ISNUMBER(A745),F745&lt;&gt;"İptal",ISNUMBER(D745),ISNUMBER(E745),D745&lt;=RaporTarihi,E745&gt;RaporTarihi),A745,"")</f>
        <v/>
      </c>
    </row>
    <row r="746">
      <c r="A746" s="22" t="n"/>
      <c r="B746" s="22" t="n"/>
      <c r="C746" s="22" t="n"/>
      <c r="D746" s="23" t="n"/>
      <c r="E746" s="23" t="n"/>
      <c r="F746" s="22" t="n"/>
      <c r="G746" s="24" t="n"/>
      <c r="H746" s="22" t="n"/>
      <c r="I746" s="25">
        <f>IF(AND(ISNUMBER(D746),ISNUMBER(E746)),E746-D746,"")</f>
        <v/>
      </c>
      <c r="J746" s="26">
        <f>IF(AND(ISNUMBER(I746),ISNUMBER(G746)),IF(I746&gt;0,G746/I746,""),"")</f>
        <v/>
      </c>
      <c r="K746" s="25">
        <f>IF(COUNTA(A746:H746)=0,"",IF(OR(A746="",B746="",C746="",D746="",E746="",F746="",G746="",H746=""),"HATA: eksik bilgi",IF(COUNTIF(OdaListesi,A746)=0,"HATA: geçersiz oda no",IF(OR(NOT(ISNUMBER(D746)),NOT(ISNUMBER(E746))),"HATA: tarih geçersiz",IF(E746&lt;=D746,"HATA: çıkış girişten sonra olmalı",IF(OR(NOT(ISNUMBER(C746)),C746&lt;1,C746&gt;MaxKisi,C746&lt;&gt;INT(C746)),"HATA: kişi sayısı geçersiz",IF(OR(NOT(ISNUMBER(G746)),G746&lt;0),"HATA: tutar geçersiz",IF(B746&lt;&gt;TRIM(B746),"HATA: isimde baştaki/sondaki boşluk",IF(COUNTIF(KaynakAralik,H746)=0,"HATA: kaynak listede yok",IF(AND(F746&lt;&gt;"Bekleniyor",F746&lt;&gt;"Geldi",F746&lt;&gt;"İptal"),"HATA: giriş durumu geçersiz",IF(AND(F746&lt;&gt;"İptal",COUNTIFS($A$6:$A$1005,A746,$D$6:$D$1005,"&lt;"&amp;E746,$E$6:$E$1005,"&gt;"&amp;D746,$F$6:$F$1005,"&lt;&gt;İptal")&gt;1),"HATA: oda bu tarihlerde çakışıyor",IF(AND(F746="Bekleniyor",D746&lt;RaporTarihi),"HATA: giriş günü geçti, Geldi veya İptal yapın","OK"))))))))))))</f>
        <v/>
      </c>
      <c r="L746" s="25">
        <f>IF(AND(ISNUMBER(A746),F746&lt;&gt;"İptal",ISNUMBER(D746),ISNUMBER(E746),D746&lt;=RaporTarihi,E746&gt;RaporTarihi),A746,"")</f>
        <v/>
      </c>
    </row>
    <row r="747">
      <c r="A747" s="22" t="n"/>
      <c r="B747" s="22" t="n"/>
      <c r="C747" s="22" t="n"/>
      <c r="D747" s="23" t="n"/>
      <c r="E747" s="23" t="n"/>
      <c r="F747" s="22" t="n"/>
      <c r="G747" s="24" t="n"/>
      <c r="H747" s="22" t="n"/>
      <c r="I747" s="25">
        <f>IF(AND(ISNUMBER(D747),ISNUMBER(E747)),E747-D747,"")</f>
        <v/>
      </c>
      <c r="J747" s="26">
        <f>IF(AND(ISNUMBER(I747),ISNUMBER(G747)),IF(I747&gt;0,G747/I747,""),"")</f>
        <v/>
      </c>
      <c r="K747" s="25">
        <f>IF(COUNTA(A747:H747)=0,"",IF(OR(A747="",B747="",C747="",D747="",E747="",F747="",G747="",H747=""),"HATA: eksik bilgi",IF(COUNTIF(OdaListesi,A747)=0,"HATA: geçersiz oda no",IF(OR(NOT(ISNUMBER(D747)),NOT(ISNUMBER(E747))),"HATA: tarih geçersiz",IF(E747&lt;=D747,"HATA: çıkış girişten sonra olmalı",IF(OR(NOT(ISNUMBER(C747)),C747&lt;1,C747&gt;MaxKisi,C747&lt;&gt;INT(C747)),"HATA: kişi sayısı geçersiz",IF(OR(NOT(ISNUMBER(G747)),G747&lt;0),"HATA: tutar geçersiz",IF(B747&lt;&gt;TRIM(B747),"HATA: isimde baştaki/sondaki boşluk",IF(COUNTIF(KaynakAralik,H747)=0,"HATA: kaynak listede yok",IF(AND(F747&lt;&gt;"Bekleniyor",F747&lt;&gt;"Geldi",F747&lt;&gt;"İptal"),"HATA: giriş durumu geçersiz",IF(AND(F747&lt;&gt;"İptal",COUNTIFS($A$6:$A$1005,A747,$D$6:$D$1005,"&lt;"&amp;E747,$E$6:$E$1005,"&gt;"&amp;D747,$F$6:$F$1005,"&lt;&gt;İptal")&gt;1),"HATA: oda bu tarihlerde çakışıyor",IF(AND(F747="Bekleniyor",D747&lt;RaporTarihi),"HATA: giriş günü geçti, Geldi veya İptal yapın","OK"))))))))))))</f>
        <v/>
      </c>
      <c r="L747" s="25">
        <f>IF(AND(ISNUMBER(A747),F747&lt;&gt;"İptal",ISNUMBER(D747),ISNUMBER(E747),D747&lt;=RaporTarihi,E747&gt;RaporTarihi),A747,"")</f>
        <v/>
      </c>
    </row>
    <row r="748">
      <c r="A748" s="22" t="n"/>
      <c r="B748" s="22" t="n"/>
      <c r="C748" s="22" t="n"/>
      <c r="D748" s="23" t="n"/>
      <c r="E748" s="23" t="n"/>
      <c r="F748" s="22" t="n"/>
      <c r="G748" s="24" t="n"/>
      <c r="H748" s="22" t="n"/>
      <c r="I748" s="25">
        <f>IF(AND(ISNUMBER(D748),ISNUMBER(E748)),E748-D748,"")</f>
        <v/>
      </c>
      <c r="J748" s="26">
        <f>IF(AND(ISNUMBER(I748),ISNUMBER(G748)),IF(I748&gt;0,G748/I748,""),"")</f>
        <v/>
      </c>
      <c r="K748" s="25">
        <f>IF(COUNTA(A748:H748)=0,"",IF(OR(A748="",B748="",C748="",D748="",E748="",F748="",G748="",H748=""),"HATA: eksik bilgi",IF(COUNTIF(OdaListesi,A748)=0,"HATA: geçersiz oda no",IF(OR(NOT(ISNUMBER(D748)),NOT(ISNUMBER(E748))),"HATA: tarih geçersiz",IF(E748&lt;=D748,"HATA: çıkış girişten sonra olmalı",IF(OR(NOT(ISNUMBER(C748)),C748&lt;1,C748&gt;MaxKisi,C748&lt;&gt;INT(C748)),"HATA: kişi sayısı geçersiz",IF(OR(NOT(ISNUMBER(G748)),G748&lt;0),"HATA: tutar geçersiz",IF(B748&lt;&gt;TRIM(B748),"HATA: isimde baştaki/sondaki boşluk",IF(COUNTIF(KaynakAralik,H748)=0,"HATA: kaynak listede yok",IF(AND(F748&lt;&gt;"Bekleniyor",F748&lt;&gt;"Geldi",F748&lt;&gt;"İptal"),"HATA: giriş durumu geçersiz",IF(AND(F748&lt;&gt;"İptal",COUNTIFS($A$6:$A$1005,A748,$D$6:$D$1005,"&lt;"&amp;E748,$E$6:$E$1005,"&gt;"&amp;D748,$F$6:$F$1005,"&lt;&gt;İptal")&gt;1),"HATA: oda bu tarihlerde çakışıyor",IF(AND(F748="Bekleniyor",D748&lt;RaporTarihi),"HATA: giriş günü geçti, Geldi veya İptal yapın","OK"))))))))))))</f>
        <v/>
      </c>
      <c r="L748" s="25">
        <f>IF(AND(ISNUMBER(A748),F748&lt;&gt;"İptal",ISNUMBER(D748),ISNUMBER(E748),D748&lt;=RaporTarihi,E748&gt;RaporTarihi),A748,"")</f>
        <v/>
      </c>
    </row>
    <row r="749">
      <c r="A749" s="22" t="n"/>
      <c r="B749" s="22" t="n"/>
      <c r="C749" s="22" t="n"/>
      <c r="D749" s="23" t="n"/>
      <c r="E749" s="23" t="n"/>
      <c r="F749" s="22" t="n"/>
      <c r="G749" s="24" t="n"/>
      <c r="H749" s="22" t="n"/>
      <c r="I749" s="25">
        <f>IF(AND(ISNUMBER(D749),ISNUMBER(E749)),E749-D749,"")</f>
        <v/>
      </c>
      <c r="J749" s="26">
        <f>IF(AND(ISNUMBER(I749),ISNUMBER(G749)),IF(I749&gt;0,G749/I749,""),"")</f>
        <v/>
      </c>
      <c r="K749" s="25">
        <f>IF(COUNTA(A749:H749)=0,"",IF(OR(A749="",B749="",C749="",D749="",E749="",F749="",G749="",H749=""),"HATA: eksik bilgi",IF(COUNTIF(OdaListesi,A749)=0,"HATA: geçersiz oda no",IF(OR(NOT(ISNUMBER(D749)),NOT(ISNUMBER(E749))),"HATA: tarih geçersiz",IF(E749&lt;=D749,"HATA: çıkış girişten sonra olmalı",IF(OR(NOT(ISNUMBER(C749)),C749&lt;1,C749&gt;MaxKisi,C749&lt;&gt;INT(C749)),"HATA: kişi sayısı geçersiz",IF(OR(NOT(ISNUMBER(G749)),G749&lt;0),"HATA: tutar geçersiz",IF(B749&lt;&gt;TRIM(B749),"HATA: isimde baştaki/sondaki boşluk",IF(COUNTIF(KaynakAralik,H749)=0,"HATA: kaynak listede yok",IF(AND(F749&lt;&gt;"Bekleniyor",F749&lt;&gt;"Geldi",F749&lt;&gt;"İptal"),"HATA: giriş durumu geçersiz",IF(AND(F749&lt;&gt;"İptal",COUNTIFS($A$6:$A$1005,A749,$D$6:$D$1005,"&lt;"&amp;E749,$E$6:$E$1005,"&gt;"&amp;D749,$F$6:$F$1005,"&lt;&gt;İptal")&gt;1),"HATA: oda bu tarihlerde çakışıyor",IF(AND(F749="Bekleniyor",D749&lt;RaporTarihi),"HATA: giriş günü geçti, Geldi veya İptal yapın","OK"))))))))))))</f>
        <v/>
      </c>
      <c r="L749" s="25">
        <f>IF(AND(ISNUMBER(A749),F749&lt;&gt;"İptal",ISNUMBER(D749),ISNUMBER(E749),D749&lt;=RaporTarihi,E749&gt;RaporTarihi),A749,"")</f>
        <v/>
      </c>
    </row>
    <row r="750">
      <c r="A750" s="22" t="n"/>
      <c r="B750" s="22" t="n"/>
      <c r="C750" s="22" t="n"/>
      <c r="D750" s="23" t="n"/>
      <c r="E750" s="23" t="n"/>
      <c r="F750" s="22" t="n"/>
      <c r="G750" s="24" t="n"/>
      <c r="H750" s="22" t="n"/>
      <c r="I750" s="25">
        <f>IF(AND(ISNUMBER(D750),ISNUMBER(E750)),E750-D750,"")</f>
        <v/>
      </c>
      <c r="J750" s="26">
        <f>IF(AND(ISNUMBER(I750),ISNUMBER(G750)),IF(I750&gt;0,G750/I750,""),"")</f>
        <v/>
      </c>
      <c r="K750" s="25">
        <f>IF(COUNTA(A750:H750)=0,"",IF(OR(A750="",B750="",C750="",D750="",E750="",F750="",G750="",H750=""),"HATA: eksik bilgi",IF(COUNTIF(OdaListesi,A750)=0,"HATA: geçersiz oda no",IF(OR(NOT(ISNUMBER(D750)),NOT(ISNUMBER(E750))),"HATA: tarih geçersiz",IF(E750&lt;=D750,"HATA: çıkış girişten sonra olmalı",IF(OR(NOT(ISNUMBER(C750)),C750&lt;1,C750&gt;MaxKisi,C750&lt;&gt;INT(C750)),"HATA: kişi sayısı geçersiz",IF(OR(NOT(ISNUMBER(G750)),G750&lt;0),"HATA: tutar geçersiz",IF(B750&lt;&gt;TRIM(B750),"HATA: isimde baştaki/sondaki boşluk",IF(COUNTIF(KaynakAralik,H750)=0,"HATA: kaynak listede yok",IF(AND(F750&lt;&gt;"Bekleniyor",F750&lt;&gt;"Geldi",F750&lt;&gt;"İptal"),"HATA: giriş durumu geçersiz",IF(AND(F750&lt;&gt;"İptal",COUNTIFS($A$6:$A$1005,A750,$D$6:$D$1005,"&lt;"&amp;E750,$E$6:$E$1005,"&gt;"&amp;D750,$F$6:$F$1005,"&lt;&gt;İptal")&gt;1),"HATA: oda bu tarihlerde çakışıyor",IF(AND(F750="Bekleniyor",D750&lt;RaporTarihi),"HATA: giriş günü geçti, Geldi veya İptal yapın","OK"))))))))))))</f>
        <v/>
      </c>
      <c r="L750" s="25">
        <f>IF(AND(ISNUMBER(A750),F750&lt;&gt;"İptal",ISNUMBER(D750),ISNUMBER(E750),D750&lt;=RaporTarihi,E750&gt;RaporTarihi),A750,"")</f>
        <v/>
      </c>
    </row>
    <row r="751">
      <c r="A751" s="22" t="n"/>
      <c r="B751" s="22" t="n"/>
      <c r="C751" s="22" t="n"/>
      <c r="D751" s="23" t="n"/>
      <c r="E751" s="23" t="n"/>
      <c r="F751" s="22" t="n"/>
      <c r="G751" s="24" t="n"/>
      <c r="H751" s="22" t="n"/>
      <c r="I751" s="25">
        <f>IF(AND(ISNUMBER(D751),ISNUMBER(E751)),E751-D751,"")</f>
        <v/>
      </c>
      <c r="J751" s="26">
        <f>IF(AND(ISNUMBER(I751),ISNUMBER(G751)),IF(I751&gt;0,G751/I751,""),"")</f>
        <v/>
      </c>
      <c r="K751" s="25">
        <f>IF(COUNTA(A751:H751)=0,"",IF(OR(A751="",B751="",C751="",D751="",E751="",F751="",G751="",H751=""),"HATA: eksik bilgi",IF(COUNTIF(OdaListesi,A751)=0,"HATA: geçersiz oda no",IF(OR(NOT(ISNUMBER(D751)),NOT(ISNUMBER(E751))),"HATA: tarih geçersiz",IF(E751&lt;=D751,"HATA: çıkış girişten sonra olmalı",IF(OR(NOT(ISNUMBER(C751)),C751&lt;1,C751&gt;MaxKisi,C751&lt;&gt;INT(C751)),"HATA: kişi sayısı geçersiz",IF(OR(NOT(ISNUMBER(G751)),G751&lt;0),"HATA: tutar geçersiz",IF(B751&lt;&gt;TRIM(B751),"HATA: isimde baştaki/sondaki boşluk",IF(COUNTIF(KaynakAralik,H751)=0,"HATA: kaynak listede yok",IF(AND(F751&lt;&gt;"Bekleniyor",F751&lt;&gt;"Geldi",F751&lt;&gt;"İptal"),"HATA: giriş durumu geçersiz",IF(AND(F751&lt;&gt;"İptal",COUNTIFS($A$6:$A$1005,A751,$D$6:$D$1005,"&lt;"&amp;E751,$E$6:$E$1005,"&gt;"&amp;D751,$F$6:$F$1005,"&lt;&gt;İptal")&gt;1),"HATA: oda bu tarihlerde çakışıyor",IF(AND(F751="Bekleniyor",D751&lt;RaporTarihi),"HATA: giriş günü geçti, Geldi veya İptal yapın","OK"))))))))))))</f>
        <v/>
      </c>
      <c r="L751" s="25">
        <f>IF(AND(ISNUMBER(A751),F751&lt;&gt;"İptal",ISNUMBER(D751),ISNUMBER(E751),D751&lt;=RaporTarihi,E751&gt;RaporTarihi),A751,"")</f>
        <v/>
      </c>
    </row>
    <row r="752">
      <c r="A752" s="22" t="n"/>
      <c r="B752" s="22" t="n"/>
      <c r="C752" s="22" t="n"/>
      <c r="D752" s="23" t="n"/>
      <c r="E752" s="23" t="n"/>
      <c r="F752" s="22" t="n"/>
      <c r="G752" s="24" t="n"/>
      <c r="H752" s="22" t="n"/>
      <c r="I752" s="25">
        <f>IF(AND(ISNUMBER(D752),ISNUMBER(E752)),E752-D752,"")</f>
        <v/>
      </c>
      <c r="J752" s="26">
        <f>IF(AND(ISNUMBER(I752),ISNUMBER(G752)),IF(I752&gt;0,G752/I752,""),"")</f>
        <v/>
      </c>
      <c r="K752" s="25">
        <f>IF(COUNTA(A752:H752)=0,"",IF(OR(A752="",B752="",C752="",D752="",E752="",F752="",G752="",H752=""),"HATA: eksik bilgi",IF(COUNTIF(OdaListesi,A752)=0,"HATA: geçersiz oda no",IF(OR(NOT(ISNUMBER(D752)),NOT(ISNUMBER(E752))),"HATA: tarih geçersiz",IF(E752&lt;=D752,"HATA: çıkış girişten sonra olmalı",IF(OR(NOT(ISNUMBER(C752)),C752&lt;1,C752&gt;MaxKisi,C752&lt;&gt;INT(C752)),"HATA: kişi sayısı geçersiz",IF(OR(NOT(ISNUMBER(G752)),G752&lt;0),"HATA: tutar geçersiz",IF(B752&lt;&gt;TRIM(B752),"HATA: isimde baştaki/sondaki boşluk",IF(COUNTIF(KaynakAralik,H752)=0,"HATA: kaynak listede yok",IF(AND(F752&lt;&gt;"Bekleniyor",F752&lt;&gt;"Geldi",F752&lt;&gt;"İptal"),"HATA: giriş durumu geçersiz",IF(AND(F752&lt;&gt;"İptal",COUNTIFS($A$6:$A$1005,A752,$D$6:$D$1005,"&lt;"&amp;E752,$E$6:$E$1005,"&gt;"&amp;D752,$F$6:$F$1005,"&lt;&gt;İptal")&gt;1),"HATA: oda bu tarihlerde çakışıyor",IF(AND(F752="Bekleniyor",D752&lt;RaporTarihi),"HATA: giriş günü geçti, Geldi veya İptal yapın","OK"))))))))))))</f>
        <v/>
      </c>
      <c r="L752" s="25">
        <f>IF(AND(ISNUMBER(A752),F752&lt;&gt;"İptal",ISNUMBER(D752),ISNUMBER(E752),D752&lt;=RaporTarihi,E752&gt;RaporTarihi),A752,"")</f>
        <v/>
      </c>
    </row>
    <row r="753">
      <c r="A753" s="22" t="n"/>
      <c r="B753" s="22" t="n"/>
      <c r="C753" s="22" t="n"/>
      <c r="D753" s="23" t="n"/>
      <c r="E753" s="23" t="n"/>
      <c r="F753" s="22" t="n"/>
      <c r="G753" s="24" t="n"/>
      <c r="H753" s="22" t="n"/>
      <c r="I753" s="25">
        <f>IF(AND(ISNUMBER(D753),ISNUMBER(E753)),E753-D753,"")</f>
        <v/>
      </c>
      <c r="J753" s="26">
        <f>IF(AND(ISNUMBER(I753),ISNUMBER(G753)),IF(I753&gt;0,G753/I753,""),"")</f>
        <v/>
      </c>
      <c r="K753" s="25">
        <f>IF(COUNTA(A753:H753)=0,"",IF(OR(A753="",B753="",C753="",D753="",E753="",F753="",G753="",H753=""),"HATA: eksik bilgi",IF(COUNTIF(OdaListesi,A753)=0,"HATA: geçersiz oda no",IF(OR(NOT(ISNUMBER(D753)),NOT(ISNUMBER(E753))),"HATA: tarih geçersiz",IF(E753&lt;=D753,"HATA: çıkış girişten sonra olmalı",IF(OR(NOT(ISNUMBER(C753)),C753&lt;1,C753&gt;MaxKisi,C753&lt;&gt;INT(C753)),"HATA: kişi sayısı geçersiz",IF(OR(NOT(ISNUMBER(G753)),G753&lt;0),"HATA: tutar geçersiz",IF(B753&lt;&gt;TRIM(B753),"HATA: isimde baştaki/sondaki boşluk",IF(COUNTIF(KaynakAralik,H753)=0,"HATA: kaynak listede yok",IF(AND(F753&lt;&gt;"Bekleniyor",F753&lt;&gt;"Geldi",F753&lt;&gt;"İptal"),"HATA: giriş durumu geçersiz",IF(AND(F753&lt;&gt;"İptal",COUNTIFS($A$6:$A$1005,A753,$D$6:$D$1005,"&lt;"&amp;E753,$E$6:$E$1005,"&gt;"&amp;D753,$F$6:$F$1005,"&lt;&gt;İptal")&gt;1),"HATA: oda bu tarihlerde çakışıyor",IF(AND(F753="Bekleniyor",D753&lt;RaporTarihi),"HATA: giriş günü geçti, Geldi veya İptal yapın","OK"))))))))))))</f>
        <v/>
      </c>
      <c r="L753" s="25">
        <f>IF(AND(ISNUMBER(A753),F753&lt;&gt;"İptal",ISNUMBER(D753),ISNUMBER(E753),D753&lt;=RaporTarihi,E753&gt;RaporTarihi),A753,"")</f>
        <v/>
      </c>
    </row>
    <row r="754">
      <c r="A754" s="22" t="n"/>
      <c r="B754" s="22" t="n"/>
      <c r="C754" s="22" t="n"/>
      <c r="D754" s="23" t="n"/>
      <c r="E754" s="23" t="n"/>
      <c r="F754" s="22" t="n"/>
      <c r="G754" s="24" t="n"/>
      <c r="H754" s="22" t="n"/>
      <c r="I754" s="25">
        <f>IF(AND(ISNUMBER(D754),ISNUMBER(E754)),E754-D754,"")</f>
        <v/>
      </c>
      <c r="J754" s="26">
        <f>IF(AND(ISNUMBER(I754),ISNUMBER(G754)),IF(I754&gt;0,G754/I754,""),"")</f>
        <v/>
      </c>
      <c r="K754" s="25">
        <f>IF(COUNTA(A754:H754)=0,"",IF(OR(A754="",B754="",C754="",D754="",E754="",F754="",G754="",H754=""),"HATA: eksik bilgi",IF(COUNTIF(OdaListesi,A754)=0,"HATA: geçersiz oda no",IF(OR(NOT(ISNUMBER(D754)),NOT(ISNUMBER(E754))),"HATA: tarih geçersiz",IF(E754&lt;=D754,"HATA: çıkış girişten sonra olmalı",IF(OR(NOT(ISNUMBER(C754)),C754&lt;1,C754&gt;MaxKisi,C754&lt;&gt;INT(C754)),"HATA: kişi sayısı geçersiz",IF(OR(NOT(ISNUMBER(G754)),G754&lt;0),"HATA: tutar geçersiz",IF(B754&lt;&gt;TRIM(B754),"HATA: isimde baştaki/sondaki boşluk",IF(COUNTIF(KaynakAralik,H754)=0,"HATA: kaynak listede yok",IF(AND(F754&lt;&gt;"Bekleniyor",F754&lt;&gt;"Geldi",F754&lt;&gt;"İptal"),"HATA: giriş durumu geçersiz",IF(AND(F754&lt;&gt;"İptal",COUNTIFS($A$6:$A$1005,A754,$D$6:$D$1005,"&lt;"&amp;E754,$E$6:$E$1005,"&gt;"&amp;D754,$F$6:$F$1005,"&lt;&gt;İptal")&gt;1),"HATA: oda bu tarihlerde çakışıyor",IF(AND(F754="Bekleniyor",D754&lt;RaporTarihi),"HATA: giriş günü geçti, Geldi veya İptal yapın","OK"))))))))))))</f>
        <v/>
      </c>
      <c r="L754" s="25">
        <f>IF(AND(ISNUMBER(A754),F754&lt;&gt;"İptal",ISNUMBER(D754),ISNUMBER(E754),D754&lt;=RaporTarihi,E754&gt;RaporTarihi),A754,"")</f>
        <v/>
      </c>
    </row>
    <row r="755">
      <c r="A755" s="22" t="n"/>
      <c r="B755" s="22" t="n"/>
      <c r="C755" s="22" t="n"/>
      <c r="D755" s="23" t="n"/>
      <c r="E755" s="23" t="n"/>
      <c r="F755" s="22" t="n"/>
      <c r="G755" s="24" t="n"/>
      <c r="H755" s="22" t="n"/>
      <c r="I755" s="25">
        <f>IF(AND(ISNUMBER(D755),ISNUMBER(E755)),E755-D755,"")</f>
        <v/>
      </c>
      <c r="J755" s="26">
        <f>IF(AND(ISNUMBER(I755),ISNUMBER(G755)),IF(I755&gt;0,G755/I755,""),"")</f>
        <v/>
      </c>
      <c r="K755" s="25">
        <f>IF(COUNTA(A755:H755)=0,"",IF(OR(A755="",B755="",C755="",D755="",E755="",F755="",G755="",H755=""),"HATA: eksik bilgi",IF(COUNTIF(OdaListesi,A755)=0,"HATA: geçersiz oda no",IF(OR(NOT(ISNUMBER(D755)),NOT(ISNUMBER(E755))),"HATA: tarih geçersiz",IF(E755&lt;=D755,"HATA: çıkış girişten sonra olmalı",IF(OR(NOT(ISNUMBER(C755)),C755&lt;1,C755&gt;MaxKisi,C755&lt;&gt;INT(C755)),"HATA: kişi sayısı geçersiz",IF(OR(NOT(ISNUMBER(G755)),G755&lt;0),"HATA: tutar geçersiz",IF(B755&lt;&gt;TRIM(B755),"HATA: isimde baştaki/sondaki boşluk",IF(COUNTIF(KaynakAralik,H755)=0,"HATA: kaynak listede yok",IF(AND(F755&lt;&gt;"Bekleniyor",F755&lt;&gt;"Geldi",F755&lt;&gt;"İptal"),"HATA: giriş durumu geçersiz",IF(AND(F755&lt;&gt;"İptal",COUNTIFS($A$6:$A$1005,A755,$D$6:$D$1005,"&lt;"&amp;E755,$E$6:$E$1005,"&gt;"&amp;D755,$F$6:$F$1005,"&lt;&gt;İptal")&gt;1),"HATA: oda bu tarihlerde çakışıyor",IF(AND(F755="Bekleniyor",D755&lt;RaporTarihi),"HATA: giriş günü geçti, Geldi veya İptal yapın","OK"))))))))))))</f>
        <v/>
      </c>
      <c r="L755" s="25">
        <f>IF(AND(ISNUMBER(A755),F755&lt;&gt;"İptal",ISNUMBER(D755),ISNUMBER(E755),D755&lt;=RaporTarihi,E755&gt;RaporTarihi),A755,"")</f>
        <v/>
      </c>
    </row>
    <row r="756">
      <c r="A756" s="22" t="n"/>
      <c r="B756" s="22" t="n"/>
      <c r="C756" s="22" t="n"/>
      <c r="D756" s="23" t="n"/>
      <c r="E756" s="23" t="n"/>
      <c r="F756" s="22" t="n"/>
      <c r="G756" s="24" t="n"/>
      <c r="H756" s="22" t="n"/>
      <c r="I756" s="25">
        <f>IF(AND(ISNUMBER(D756),ISNUMBER(E756)),E756-D756,"")</f>
        <v/>
      </c>
      <c r="J756" s="26">
        <f>IF(AND(ISNUMBER(I756),ISNUMBER(G756)),IF(I756&gt;0,G756/I756,""),"")</f>
        <v/>
      </c>
      <c r="K756" s="25">
        <f>IF(COUNTA(A756:H756)=0,"",IF(OR(A756="",B756="",C756="",D756="",E756="",F756="",G756="",H756=""),"HATA: eksik bilgi",IF(COUNTIF(OdaListesi,A756)=0,"HATA: geçersiz oda no",IF(OR(NOT(ISNUMBER(D756)),NOT(ISNUMBER(E756))),"HATA: tarih geçersiz",IF(E756&lt;=D756,"HATA: çıkış girişten sonra olmalı",IF(OR(NOT(ISNUMBER(C756)),C756&lt;1,C756&gt;MaxKisi,C756&lt;&gt;INT(C756)),"HATA: kişi sayısı geçersiz",IF(OR(NOT(ISNUMBER(G756)),G756&lt;0),"HATA: tutar geçersiz",IF(B756&lt;&gt;TRIM(B756),"HATA: isimde baştaki/sondaki boşluk",IF(COUNTIF(KaynakAralik,H756)=0,"HATA: kaynak listede yok",IF(AND(F756&lt;&gt;"Bekleniyor",F756&lt;&gt;"Geldi",F756&lt;&gt;"İptal"),"HATA: giriş durumu geçersiz",IF(AND(F756&lt;&gt;"İptal",COUNTIFS($A$6:$A$1005,A756,$D$6:$D$1005,"&lt;"&amp;E756,$E$6:$E$1005,"&gt;"&amp;D756,$F$6:$F$1005,"&lt;&gt;İptal")&gt;1),"HATA: oda bu tarihlerde çakışıyor",IF(AND(F756="Bekleniyor",D756&lt;RaporTarihi),"HATA: giriş günü geçti, Geldi veya İptal yapın","OK"))))))))))))</f>
        <v/>
      </c>
      <c r="L756" s="25">
        <f>IF(AND(ISNUMBER(A756),F756&lt;&gt;"İptal",ISNUMBER(D756),ISNUMBER(E756),D756&lt;=RaporTarihi,E756&gt;RaporTarihi),A756,"")</f>
        <v/>
      </c>
    </row>
    <row r="757">
      <c r="A757" s="22" t="n"/>
      <c r="B757" s="22" t="n"/>
      <c r="C757" s="22" t="n"/>
      <c r="D757" s="23" t="n"/>
      <c r="E757" s="23" t="n"/>
      <c r="F757" s="22" t="n"/>
      <c r="G757" s="24" t="n"/>
      <c r="H757" s="22" t="n"/>
      <c r="I757" s="25">
        <f>IF(AND(ISNUMBER(D757),ISNUMBER(E757)),E757-D757,"")</f>
        <v/>
      </c>
      <c r="J757" s="26">
        <f>IF(AND(ISNUMBER(I757),ISNUMBER(G757)),IF(I757&gt;0,G757/I757,""),"")</f>
        <v/>
      </c>
      <c r="K757" s="25">
        <f>IF(COUNTA(A757:H757)=0,"",IF(OR(A757="",B757="",C757="",D757="",E757="",F757="",G757="",H757=""),"HATA: eksik bilgi",IF(COUNTIF(OdaListesi,A757)=0,"HATA: geçersiz oda no",IF(OR(NOT(ISNUMBER(D757)),NOT(ISNUMBER(E757))),"HATA: tarih geçersiz",IF(E757&lt;=D757,"HATA: çıkış girişten sonra olmalı",IF(OR(NOT(ISNUMBER(C757)),C757&lt;1,C757&gt;MaxKisi,C757&lt;&gt;INT(C757)),"HATA: kişi sayısı geçersiz",IF(OR(NOT(ISNUMBER(G757)),G757&lt;0),"HATA: tutar geçersiz",IF(B757&lt;&gt;TRIM(B757),"HATA: isimde baştaki/sondaki boşluk",IF(COUNTIF(KaynakAralik,H757)=0,"HATA: kaynak listede yok",IF(AND(F757&lt;&gt;"Bekleniyor",F757&lt;&gt;"Geldi",F757&lt;&gt;"İptal"),"HATA: giriş durumu geçersiz",IF(AND(F757&lt;&gt;"İptal",COUNTIFS($A$6:$A$1005,A757,$D$6:$D$1005,"&lt;"&amp;E757,$E$6:$E$1005,"&gt;"&amp;D757,$F$6:$F$1005,"&lt;&gt;İptal")&gt;1),"HATA: oda bu tarihlerde çakışıyor",IF(AND(F757="Bekleniyor",D757&lt;RaporTarihi),"HATA: giriş günü geçti, Geldi veya İptal yapın","OK"))))))))))))</f>
        <v/>
      </c>
      <c r="L757" s="25">
        <f>IF(AND(ISNUMBER(A757),F757&lt;&gt;"İptal",ISNUMBER(D757),ISNUMBER(E757),D757&lt;=RaporTarihi,E757&gt;RaporTarihi),A757,"")</f>
        <v/>
      </c>
    </row>
    <row r="758">
      <c r="A758" s="22" t="n"/>
      <c r="B758" s="22" t="n"/>
      <c r="C758" s="22" t="n"/>
      <c r="D758" s="23" t="n"/>
      <c r="E758" s="23" t="n"/>
      <c r="F758" s="22" t="n"/>
      <c r="G758" s="24" t="n"/>
      <c r="H758" s="22" t="n"/>
      <c r="I758" s="25">
        <f>IF(AND(ISNUMBER(D758),ISNUMBER(E758)),E758-D758,"")</f>
        <v/>
      </c>
      <c r="J758" s="26">
        <f>IF(AND(ISNUMBER(I758),ISNUMBER(G758)),IF(I758&gt;0,G758/I758,""),"")</f>
        <v/>
      </c>
      <c r="K758" s="25">
        <f>IF(COUNTA(A758:H758)=0,"",IF(OR(A758="",B758="",C758="",D758="",E758="",F758="",G758="",H758=""),"HATA: eksik bilgi",IF(COUNTIF(OdaListesi,A758)=0,"HATA: geçersiz oda no",IF(OR(NOT(ISNUMBER(D758)),NOT(ISNUMBER(E758))),"HATA: tarih geçersiz",IF(E758&lt;=D758,"HATA: çıkış girişten sonra olmalı",IF(OR(NOT(ISNUMBER(C758)),C758&lt;1,C758&gt;MaxKisi,C758&lt;&gt;INT(C758)),"HATA: kişi sayısı geçersiz",IF(OR(NOT(ISNUMBER(G758)),G758&lt;0),"HATA: tutar geçersiz",IF(B758&lt;&gt;TRIM(B758),"HATA: isimde baştaki/sondaki boşluk",IF(COUNTIF(KaynakAralik,H758)=0,"HATA: kaynak listede yok",IF(AND(F758&lt;&gt;"Bekleniyor",F758&lt;&gt;"Geldi",F758&lt;&gt;"İptal"),"HATA: giriş durumu geçersiz",IF(AND(F758&lt;&gt;"İptal",COUNTIFS($A$6:$A$1005,A758,$D$6:$D$1005,"&lt;"&amp;E758,$E$6:$E$1005,"&gt;"&amp;D758,$F$6:$F$1005,"&lt;&gt;İptal")&gt;1),"HATA: oda bu tarihlerde çakışıyor",IF(AND(F758="Bekleniyor",D758&lt;RaporTarihi),"HATA: giriş günü geçti, Geldi veya İptal yapın","OK"))))))))))))</f>
        <v/>
      </c>
      <c r="L758" s="25">
        <f>IF(AND(ISNUMBER(A758),F758&lt;&gt;"İptal",ISNUMBER(D758),ISNUMBER(E758),D758&lt;=RaporTarihi,E758&gt;RaporTarihi),A758,"")</f>
        <v/>
      </c>
    </row>
    <row r="759">
      <c r="A759" s="22" t="n"/>
      <c r="B759" s="22" t="n"/>
      <c r="C759" s="22" t="n"/>
      <c r="D759" s="23" t="n"/>
      <c r="E759" s="23" t="n"/>
      <c r="F759" s="22" t="n"/>
      <c r="G759" s="24" t="n"/>
      <c r="H759" s="22" t="n"/>
      <c r="I759" s="25">
        <f>IF(AND(ISNUMBER(D759),ISNUMBER(E759)),E759-D759,"")</f>
        <v/>
      </c>
      <c r="J759" s="26">
        <f>IF(AND(ISNUMBER(I759),ISNUMBER(G759)),IF(I759&gt;0,G759/I759,""),"")</f>
        <v/>
      </c>
      <c r="K759" s="25">
        <f>IF(COUNTA(A759:H759)=0,"",IF(OR(A759="",B759="",C759="",D759="",E759="",F759="",G759="",H759=""),"HATA: eksik bilgi",IF(COUNTIF(OdaListesi,A759)=0,"HATA: geçersiz oda no",IF(OR(NOT(ISNUMBER(D759)),NOT(ISNUMBER(E759))),"HATA: tarih geçersiz",IF(E759&lt;=D759,"HATA: çıkış girişten sonra olmalı",IF(OR(NOT(ISNUMBER(C759)),C759&lt;1,C759&gt;MaxKisi,C759&lt;&gt;INT(C759)),"HATA: kişi sayısı geçersiz",IF(OR(NOT(ISNUMBER(G759)),G759&lt;0),"HATA: tutar geçersiz",IF(B759&lt;&gt;TRIM(B759),"HATA: isimde baştaki/sondaki boşluk",IF(COUNTIF(KaynakAralik,H759)=0,"HATA: kaynak listede yok",IF(AND(F759&lt;&gt;"Bekleniyor",F759&lt;&gt;"Geldi",F759&lt;&gt;"İptal"),"HATA: giriş durumu geçersiz",IF(AND(F759&lt;&gt;"İptal",COUNTIFS($A$6:$A$1005,A759,$D$6:$D$1005,"&lt;"&amp;E759,$E$6:$E$1005,"&gt;"&amp;D759,$F$6:$F$1005,"&lt;&gt;İptal")&gt;1),"HATA: oda bu tarihlerde çakışıyor",IF(AND(F759="Bekleniyor",D759&lt;RaporTarihi),"HATA: giriş günü geçti, Geldi veya İptal yapın","OK"))))))))))))</f>
        <v/>
      </c>
      <c r="L759" s="25">
        <f>IF(AND(ISNUMBER(A759),F759&lt;&gt;"İptal",ISNUMBER(D759),ISNUMBER(E759),D759&lt;=RaporTarihi,E759&gt;RaporTarihi),A759,"")</f>
        <v/>
      </c>
    </row>
    <row r="760">
      <c r="A760" s="22" t="n"/>
      <c r="B760" s="22" t="n"/>
      <c r="C760" s="22" t="n"/>
      <c r="D760" s="23" t="n"/>
      <c r="E760" s="23" t="n"/>
      <c r="F760" s="22" t="n"/>
      <c r="G760" s="24" t="n"/>
      <c r="H760" s="22" t="n"/>
      <c r="I760" s="25">
        <f>IF(AND(ISNUMBER(D760),ISNUMBER(E760)),E760-D760,"")</f>
        <v/>
      </c>
      <c r="J760" s="26">
        <f>IF(AND(ISNUMBER(I760),ISNUMBER(G760)),IF(I760&gt;0,G760/I760,""),"")</f>
        <v/>
      </c>
      <c r="K760" s="25">
        <f>IF(COUNTA(A760:H760)=0,"",IF(OR(A760="",B760="",C760="",D760="",E760="",F760="",G760="",H760=""),"HATA: eksik bilgi",IF(COUNTIF(OdaListesi,A760)=0,"HATA: geçersiz oda no",IF(OR(NOT(ISNUMBER(D760)),NOT(ISNUMBER(E760))),"HATA: tarih geçersiz",IF(E760&lt;=D760,"HATA: çıkış girişten sonra olmalı",IF(OR(NOT(ISNUMBER(C760)),C760&lt;1,C760&gt;MaxKisi,C760&lt;&gt;INT(C760)),"HATA: kişi sayısı geçersiz",IF(OR(NOT(ISNUMBER(G760)),G760&lt;0),"HATA: tutar geçersiz",IF(B760&lt;&gt;TRIM(B760),"HATA: isimde baştaki/sondaki boşluk",IF(COUNTIF(KaynakAralik,H760)=0,"HATA: kaynak listede yok",IF(AND(F760&lt;&gt;"Bekleniyor",F760&lt;&gt;"Geldi",F760&lt;&gt;"İptal"),"HATA: giriş durumu geçersiz",IF(AND(F760&lt;&gt;"İptal",COUNTIFS($A$6:$A$1005,A760,$D$6:$D$1005,"&lt;"&amp;E760,$E$6:$E$1005,"&gt;"&amp;D760,$F$6:$F$1005,"&lt;&gt;İptal")&gt;1),"HATA: oda bu tarihlerde çakışıyor",IF(AND(F760="Bekleniyor",D760&lt;RaporTarihi),"HATA: giriş günü geçti, Geldi veya İptal yapın","OK"))))))))))))</f>
        <v/>
      </c>
      <c r="L760" s="25">
        <f>IF(AND(ISNUMBER(A760),F760&lt;&gt;"İptal",ISNUMBER(D760),ISNUMBER(E760),D760&lt;=RaporTarihi,E760&gt;RaporTarihi),A760,"")</f>
        <v/>
      </c>
    </row>
    <row r="761">
      <c r="A761" s="22" t="n"/>
      <c r="B761" s="22" t="n"/>
      <c r="C761" s="22" t="n"/>
      <c r="D761" s="23" t="n"/>
      <c r="E761" s="23" t="n"/>
      <c r="F761" s="22" t="n"/>
      <c r="G761" s="24" t="n"/>
      <c r="H761" s="22" t="n"/>
      <c r="I761" s="25">
        <f>IF(AND(ISNUMBER(D761),ISNUMBER(E761)),E761-D761,"")</f>
        <v/>
      </c>
      <c r="J761" s="26">
        <f>IF(AND(ISNUMBER(I761),ISNUMBER(G761)),IF(I761&gt;0,G761/I761,""),"")</f>
        <v/>
      </c>
      <c r="K761" s="25">
        <f>IF(COUNTA(A761:H761)=0,"",IF(OR(A761="",B761="",C761="",D761="",E761="",F761="",G761="",H761=""),"HATA: eksik bilgi",IF(COUNTIF(OdaListesi,A761)=0,"HATA: geçersiz oda no",IF(OR(NOT(ISNUMBER(D761)),NOT(ISNUMBER(E761))),"HATA: tarih geçersiz",IF(E761&lt;=D761,"HATA: çıkış girişten sonra olmalı",IF(OR(NOT(ISNUMBER(C761)),C761&lt;1,C761&gt;MaxKisi,C761&lt;&gt;INT(C761)),"HATA: kişi sayısı geçersiz",IF(OR(NOT(ISNUMBER(G761)),G761&lt;0),"HATA: tutar geçersiz",IF(B761&lt;&gt;TRIM(B761),"HATA: isimde baştaki/sondaki boşluk",IF(COUNTIF(KaynakAralik,H761)=0,"HATA: kaynak listede yok",IF(AND(F761&lt;&gt;"Bekleniyor",F761&lt;&gt;"Geldi",F761&lt;&gt;"İptal"),"HATA: giriş durumu geçersiz",IF(AND(F761&lt;&gt;"İptal",COUNTIFS($A$6:$A$1005,A761,$D$6:$D$1005,"&lt;"&amp;E761,$E$6:$E$1005,"&gt;"&amp;D761,$F$6:$F$1005,"&lt;&gt;İptal")&gt;1),"HATA: oda bu tarihlerde çakışıyor",IF(AND(F761="Bekleniyor",D761&lt;RaporTarihi),"HATA: giriş günü geçti, Geldi veya İptal yapın","OK"))))))))))))</f>
        <v/>
      </c>
      <c r="L761" s="25">
        <f>IF(AND(ISNUMBER(A761),F761&lt;&gt;"İptal",ISNUMBER(D761),ISNUMBER(E761),D761&lt;=RaporTarihi,E761&gt;RaporTarihi),A761,"")</f>
        <v/>
      </c>
    </row>
    <row r="762">
      <c r="A762" s="22" t="n"/>
      <c r="B762" s="22" t="n"/>
      <c r="C762" s="22" t="n"/>
      <c r="D762" s="23" t="n"/>
      <c r="E762" s="23" t="n"/>
      <c r="F762" s="22" t="n"/>
      <c r="G762" s="24" t="n"/>
      <c r="H762" s="22" t="n"/>
      <c r="I762" s="25">
        <f>IF(AND(ISNUMBER(D762),ISNUMBER(E762)),E762-D762,"")</f>
        <v/>
      </c>
      <c r="J762" s="26">
        <f>IF(AND(ISNUMBER(I762),ISNUMBER(G762)),IF(I762&gt;0,G762/I762,""),"")</f>
        <v/>
      </c>
      <c r="K762" s="25">
        <f>IF(COUNTA(A762:H762)=0,"",IF(OR(A762="",B762="",C762="",D762="",E762="",F762="",G762="",H762=""),"HATA: eksik bilgi",IF(COUNTIF(OdaListesi,A762)=0,"HATA: geçersiz oda no",IF(OR(NOT(ISNUMBER(D762)),NOT(ISNUMBER(E762))),"HATA: tarih geçersiz",IF(E762&lt;=D762,"HATA: çıkış girişten sonra olmalı",IF(OR(NOT(ISNUMBER(C762)),C762&lt;1,C762&gt;MaxKisi,C762&lt;&gt;INT(C762)),"HATA: kişi sayısı geçersiz",IF(OR(NOT(ISNUMBER(G762)),G762&lt;0),"HATA: tutar geçersiz",IF(B762&lt;&gt;TRIM(B762),"HATA: isimde baştaki/sondaki boşluk",IF(COUNTIF(KaynakAralik,H762)=0,"HATA: kaynak listede yok",IF(AND(F762&lt;&gt;"Bekleniyor",F762&lt;&gt;"Geldi",F762&lt;&gt;"İptal"),"HATA: giriş durumu geçersiz",IF(AND(F762&lt;&gt;"İptal",COUNTIFS($A$6:$A$1005,A762,$D$6:$D$1005,"&lt;"&amp;E762,$E$6:$E$1005,"&gt;"&amp;D762,$F$6:$F$1005,"&lt;&gt;İptal")&gt;1),"HATA: oda bu tarihlerde çakışıyor",IF(AND(F762="Bekleniyor",D762&lt;RaporTarihi),"HATA: giriş günü geçti, Geldi veya İptal yapın","OK"))))))))))))</f>
        <v/>
      </c>
      <c r="L762" s="25">
        <f>IF(AND(ISNUMBER(A762),F762&lt;&gt;"İptal",ISNUMBER(D762),ISNUMBER(E762),D762&lt;=RaporTarihi,E762&gt;RaporTarihi),A762,"")</f>
        <v/>
      </c>
    </row>
    <row r="763">
      <c r="A763" s="22" t="n"/>
      <c r="B763" s="22" t="n"/>
      <c r="C763" s="22" t="n"/>
      <c r="D763" s="23" t="n"/>
      <c r="E763" s="23" t="n"/>
      <c r="F763" s="22" t="n"/>
      <c r="G763" s="24" t="n"/>
      <c r="H763" s="22" t="n"/>
      <c r="I763" s="25">
        <f>IF(AND(ISNUMBER(D763),ISNUMBER(E763)),E763-D763,"")</f>
        <v/>
      </c>
      <c r="J763" s="26">
        <f>IF(AND(ISNUMBER(I763),ISNUMBER(G763)),IF(I763&gt;0,G763/I763,""),"")</f>
        <v/>
      </c>
      <c r="K763" s="25">
        <f>IF(COUNTA(A763:H763)=0,"",IF(OR(A763="",B763="",C763="",D763="",E763="",F763="",G763="",H763=""),"HATA: eksik bilgi",IF(COUNTIF(OdaListesi,A763)=0,"HATA: geçersiz oda no",IF(OR(NOT(ISNUMBER(D763)),NOT(ISNUMBER(E763))),"HATA: tarih geçersiz",IF(E763&lt;=D763,"HATA: çıkış girişten sonra olmalı",IF(OR(NOT(ISNUMBER(C763)),C763&lt;1,C763&gt;MaxKisi,C763&lt;&gt;INT(C763)),"HATA: kişi sayısı geçersiz",IF(OR(NOT(ISNUMBER(G763)),G763&lt;0),"HATA: tutar geçersiz",IF(B763&lt;&gt;TRIM(B763),"HATA: isimde baştaki/sondaki boşluk",IF(COUNTIF(KaynakAralik,H763)=0,"HATA: kaynak listede yok",IF(AND(F763&lt;&gt;"Bekleniyor",F763&lt;&gt;"Geldi",F763&lt;&gt;"İptal"),"HATA: giriş durumu geçersiz",IF(AND(F763&lt;&gt;"İptal",COUNTIFS($A$6:$A$1005,A763,$D$6:$D$1005,"&lt;"&amp;E763,$E$6:$E$1005,"&gt;"&amp;D763,$F$6:$F$1005,"&lt;&gt;İptal")&gt;1),"HATA: oda bu tarihlerde çakışıyor",IF(AND(F763="Bekleniyor",D763&lt;RaporTarihi),"HATA: giriş günü geçti, Geldi veya İptal yapın","OK"))))))))))))</f>
        <v/>
      </c>
      <c r="L763" s="25">
        <f>IF(AND(ISNUMBER(A763),F763&lt;&gt;"İptal",ISNUMBER(D763),ISNUMBER(E763),D763&lt;=RaporTarihi,E763&gt;RaporTarihi),A763,"")</f>
        <v/>
      </c>
    </row>
    <row r="764">
      <c r="A764" s="22" t="n"/>
      <c r="B764" s="22" t="n"/>
      <c r="C764" s="22" t="n"/>
      <c r="D764" s="23" t="n"/>
      <c r="E764" s="23" t="n"/>
      <c r="F764" s="22" t="n"/>
      <c r="G764" s="24" t="n"/>
      <c r="H764" s="22" t="n"/>
      <c r="I764" s="25">
        <f>IF(AND(ISNUMBER(D764),ISNUMBER(E764)),E764-D764,"")</f>
        <v/>
      </c>
      <c r="J764" s="26">
        <f>IF(AND(ISNUMBER(I764),ISNUMBER(G764)),IF(I764&gt;0,G764/I764,""),"")</f>
        <v/>
      </c>
      <c r="K764" s="25">
        <f>IF(COUNTA(A764:H764)=0,"",IF(OR(A764="",B764="",C764="",D764="",E764="",F764="",G764="",H764=""),"HATA: eksik bilgi",IF(COUNTIF(OdaListesi,A764)=0,"HATA: geçersiz oda no",IF(OR(NOT(ISNUMBER(D764)),NOT(ISNUMBER(E764))),"HATA: tarih geçersiz",IF(E764&lt;=D764,"HATA: çıkış girişten sonra olmalı",IF(OR(NOT(ISNUMBER(C764)),C764&lt;1,C764&gt;MaxKisi,C764&lt;&gt;INT(C764)),"HATA: kişi sayısı geçersiz",IF(OR(NOT(ISNUMBER(G764)),G764&lt;0),"HATA: tutar geçersiz",IF(B764&lt;&gt;TRIM(B764),"HATA: isimde baştaki/sondaki boşluk",IF(COUNTIF(KaynakAralik,H764)=0,"HATA: kaynak listede yok",IF(AND(F764&lt;&gt;"Bekleniyor",F764&lt;&gt;"Geldi",F764&lt;&gt;"İptal"),"HATA: giriş durumu geçersiz",IF(AND(F764&lt;&gt;"İptal",COUNTIFS($A$6:$A$1005,A764,$D$6:$D$1005,"&lt;"&amp;E764,$E$6:$E$1005,"&gt;"&amp;D764,$F$6:$F$1005,"&lt;&gt;İptal")&gt;1),"HATA: oda bu tarihlerde çakışıyor",IF(AND(F764="Bekleniyor",D764&lt;RaporTarihi),"HATA: giriş günü geçti, Geldi veya İptal yapın","OK"))))))))))))</f>
        <v/>
      </c>
      <c r="L764" s="25">
        <f>IF(AND(ISNUMBER(A764),F764&lt;&gt;"İptal",ISNUMBER(D764),ISNUMBER(E764),D764&lt;=RaporTarihi,E764&gt;RaporTarihi),A764,"")</f>
        <v/>
      </c>
    </row>
    <row r="765">
      <c r="A765" s="22" t="n"/>
      <c r="B765" s="22" t="n"/>
      <c r="C765" s="22" t="n"/>
      <c r="D765" s="23" t="n"/>
      <c r="E765" s="23" t="n"/>
      <c r="F765" s="22" t="n"/>
      <c r="G765" s="24" t="n"/>
      <c r="H765" s="22" t="n"/>
      <c r="I765" s="25">
        <f>IF(AND(ISNUMBER(D765),ISNUMBER(E765)),E765-D765,"")</f>
        <v/>
      </c>
      <c r="J765" s="26">
        <f>IF(AND(ISNUMBER(I765),ISNUMBER(G765)),IF(I765&gt;0,G765/I765,""),"")</f>
        <v/>
      </c>
      <c r="K765" s="25">
        <f>IF(COUNTA(A765:H765)=0,"",IF(OR(A765="",B765="",C765="",D765="",E765="",F765="",G765="",H765=""),"HATA: eksik bilgi",IF(COUNTIF(OdaListesi,A765)=0,"HATA: geçersiz oda no",IF(OR(NOT(ISNUMBER(D765)),NOT(ISNUMBER(E765))),"HATA: tarih geçersiz",IF(E765&lt;=D765,"HATA: çıkış girişten sonra olmalı",IF(OR(NOT(ISNUMBER(C765)),C765&lt;1,C765&gt;MaxKisi,C765&lt;&gt;INT(C765)),"HATA: kişi sayısı geçersiz",IF(OR(NOT(ISNUMBER(G765)),G765&lt;0),"HATA: tutar geçersiz",IF(B765&lt;&gt;TRIM(B765),"HATA: isimde baştaki/sondaki boşluk",IF(COUNTIF(KaynakAralik,H765)=0,"HATA: kaynak listede yok",IF(AND(F765&lt;&gt;"Bekleniyor",F765&lt;&gt;"Geldi",F765&lt;&gt;"İptal"),"HATA: giriş durumu geçersiz",IF(AND(F765&lt;&gt;"İptal",COUNTIFS($A$6:$A$1005,A765,$D$6:$D$1005,"&lt;"&amp;E765,$E$6:$E$1005,"&gt;"&amp;D765,$F$6:$F$1005,"&lt;&gt;İptal")&gt;1),"HATA: oda bu tarihlerde çakışıyor",IF(AND(F765="Bekleniyor",D765&lt;RaporTarihi),"HATA: giriş günü geçti, Geldi veya İptal yapın","OK"))))))))))))</f>
        <v/>
      </c>
      <c r="L765" s="25">
        <f>IF(AND(ISNUMBER(A765),F765&lt;&gt;"İptal",ISNUMBER(D765),ISNUMBER(E765),D765&lt;=RaporTarihi,E765&gt;RaporTarihi),A765,"")</f>
        <v/>
      </c>
    </row>
    <row r="766">
      <c r="A766" s="22" t="n"/>
      <c r="B766" s="22" t="n"/>
      <c r="C766" s="22" t="n"/>
      <c r="D766" s="23" t="n"/>
      <c r="E766" s="23" t="n"/>
      <c r="F766" s="22" t="n"/>
      <c r="G766" s="24" t="n"/>
      <c r="H766" s="22" t="n"/>
      <c r="I766" s="25">
        <f>IF(AND(ISNUMBER(D766),ISNUMBER(E766)),E766-D766,"")</f>
        <v/>
      </c>
      <c r="J766" s="26">
        <f>IF(AND(ISNUMBER(I766),ISNUMBER(G766)),IF(I766&gt;0,G766/I766,""),"")</f>
        <v/>
      </c>
      <c r="K766" s="25">
        <f>IF(COUNTA(A766:H766)=0,"",IF(OR(A766="",B766="",C766="",D766="",E766="",F766="",G766="",H766=""),"HATA: eksik bilgi",IF(COUNTIF(OdaListesi,A766)=0,"HATA: geçersiz oda no",IF(OR(NOT(ISNUMBER(D766)),NOT(ISNUMBER(E766))),"HATA: tarih geçersiz",IF(E766&lt;=D766,"HATA: çıkış girişten sonra olmalı",IF(OR(NOT(ISNUMBER(C766)),C766&lt;1,C766&gt;MaxKisi,C766&lt;&gt;INT(C766)),"HATA: kişi sayısı geçersiz",IF(OR(NOT(ISNUMBER(G766)),G766&lt;0),"HATA: tutar geçersiz",IF(B766&lt;&gt;TRIM(B766),"HATA: isimde baştaki/sondaki boşluk",IF(COUNTIF(KaynakAralik,H766)=0,"HATA: kaynak listede yok",IF(AND(F766&lt;&gt;"Bekleniyor",F766&lt;&gt;"Geldi",F766&lt;&gt;"İptal"),"HATA: giriş durumu geçersiz",IF(AND(F766&lt;&gt;"İptal",COUNTIFS($A$6:$A$1005,A766,$D$6:$D$1005,"&lt;"&amp;E766,$E$6:$E$1005,"&gt;"&amp;D766,$F$6:$F$1005,"&lt;&gt;İptal")&gt;1),"HATA: oda bu tarihlerde çakışıyor",IF(AND(F766="Bekleniyor",D766&lt;RaporTarihi),"HATA: giriş günü geçti, Geldi veya İptal yapın","OK"))))))))))))</f>
        <v/>
      </c>
      <c r="L766" s="25">
        <f>IF(AND(ISNUMBER(A766),F766&lt;&gt;"İptal",ISNUMBER(D766),ISNUMBER(E766),D766&lt;=RaporTarihi,E766&gt;RaporTarihi),A766,"")</f>
        <v/>
      </c>
    </row>
    <row r="767">
      <c r="A767" s="22" t="n"/>
      <c r="B767" s="22" t="n"/>
      <c r="C767" s="22" t="n"/>
      <c r="D767" s="23" t="n"/>
      <c r="E767" s="23" t="n"/>
      <c r="F767" s="22" t="n"/>
      <c r="G767" s="24" t="n"/>
      <c r="H767" s="22" t="n"/>
      <c r="I767" s="25">
        <f>IF(AND(ISNUMBER(D767),ISNUMBER(E767)),E767-D767,"")</f>
        <v/>
      </c>
      <c r="J767" s="26">
        <f>IF(AND(ISNUMBER(I767),ISNUMBER(G767)),IF(I767&gt;0,G767/I767,""),"")</f>
        <v/>
      </c>
      <c r="K767" s="25">
        <f>IF(COUNTA(A767:H767)=0,"",IF(OR(A767="",B767="",C767="",D767="",E767="",F767="",G767="",H767=""),"HATA: eksik bilgi",IF(COUNTIF(OdaListesi,A767)=0,"HATA: geçersiz oda no",IF(OR(NOT(ISNUMBER(D767)),NOT(ISNUMBER(E767))),"HATA: tarih geçersiz",IF(E767&lt;=D767,"HATA: çıkış girişten sonra olmalı",IF(OR(NOT(ISNUMBER(C767)),C767&lt;1,C767&gt;MaxKisi,C767&lt;&gt;INT(C767)),"HATA: kişi sayısı geçersiz",IF(OR(NOT(ISNUMBER(G767)),G767&lt;0),"HATA: tutar geçersiz",IF(B767&lt;&gt;TRIM(B767),"HATA: isimde baştaki/sondaki boşluk",IF(COUNTIF(KaynakAralik,H767)=0,"HATA: kaynak listede yok",IF(AND(F767&lt;&gt;"Bekleniyor",F767&lt;&gt;"Geldi",F767&lt;&gt;"İptal"),"HATA: giriş durumu geçersiz",IF(AND(F767&lt;&gt;"İptal",COUNTIFS($A$6:$A$1005,A767,$D$6:$D$1005,"&lt;"&amp;E767,$E$6:$E$1005,"&gt;"&amp;D767,$F$6:$F$1005,"&lt;&gt;İptal")&gt;1),"HATA: oda bu tarihlerde çakışıyor",IF(AND(F767="Bekleniyor",D767&lt;RaporTarihi),"HATA: giriş günü geçti, Geldi veya İptal yapın","OK"))))))))))))</f>
        <v/>
      </c>
      <c r="L767" s="25">
        <f>IF(AND(ISNUMBER(A767),F767&lt;&gt;"İptal",ISNUMBER(D767),ISNUMBER(E767),D767&lt;=RaporTarihi,E767&gt;RaporTarihi),A767,"")</f>
        <v/>
      </c>
    </row>
    <row r="768">
      <c r="A768" s="22" t="n"/>
      <c r="B768" s="22" t="n"/>
      <c r="C768" s="22" t="n"/>
      <c r="D768" s="23" t="n"/>
      <c r="E768" s="23" t="n"/>
      <c r="F768" s="22" t="n"/>
      <c r="G768" s="24" t="n"/>
      <c r="H768" s="22" t="n"/>
      <c r="I768" s="25">
        <f>IF(AND(ISNUMBER(D768),ISNUMBER(E768)),E768-D768,"")</f>
        <v/>
      </c>
      <c r="J768" s="26">
        <f>IF(AND(ISNUMBER(I768),ISNUMBER(G768)),IF(I768&gt;0,G768/I768,""),"")</f>
        <v/>
      </c>
      <c r="K768" s="25">
        <f>IF(COUNTA(A768:H768)=0,"",IF(OR(A768="",B768="",C768="",D768="",E768="",F768="",G768="",H768=""),"HATA: eksik bilgi",IF(COUNTIF(OdaListesi,A768)=0,"HATA: geçersiz oda no",IF(OR(NOT(ISNUMBER(D768)),NOT(ISNUMBER(E768))),"HATA: tarih geçersiz",IF(E768&lt;=D768,"HATA: çıkış girişten sonra olmalı",IF(OR(NOT(ISNUMBER(C768)),C768&lt;1,C768&gt;MaxKisi,C768&lt;&gt;INT(C768)),"HATA: kişi sayısı geçersiz",IF(OR(NOT(ISNUMBER(G768)),G768&lt;0),"HATA: tutar geçersiz",IF(B768&lt;&gt;TRIM(B768),"HATA: isimde baştaki/sondaki boşluk",IF(COUNTIF(KaynakAralik,H768)=0,"HATA: kaynak listede yok",IF(AND(F768&lt;&gt;"Bekleniyor",F768&lt;&gt;"Geldi",F768&lt;&gt;"İptal"),"HATA: giriş durumu geçersiz",IF(AND(F768&lt;&gt;"İptal",COUNTIFS($A$6:$A$1005,A768,$D$6:$D$1005,"&lt;"&amp;E768,$E$6:$E$1005,"&gt;"&amp;D768,$F$6:$F$1005,"&lt;&gt;İptal")&gt;1),"HATA: oda bu tarihlerde çakışıyor",IF(AND(F768="Bekleniyor",D768&lt;RaporTarihi),"HATA: giriş günü geçti, Geldi veya İptal yapın","OK"))))))))))))</f>
        <v/>
      </c>
      <c r="L768" s="25">
        <f>IF(AND(ISNUMBER(A768),F768&lt;&gt;"İptal",ISNUMBER(D768),ISNUMBER(E768),D768&lt;=RaporTarihi,E768&gt;RaporTarihi),A768,"")</f>
        <v/>
      </c>
    </row>
    <row r="769">
      <c r="A769" s="22" t="n"/>
      <c r="B769" s="22" t="n"/>
      <c r="C769" s="22" t="n"/>
      <c r="D769" s="23" t="n"/>
      <c r="E769" s="23" t="n"/>
      <c r="F769" s="22" t="n"/>
      <c r="G769" s="24" t="n"/>
      <c r="H769" s="22" t="n"/>
      <c r="I769" s="25">
        <f>IF(AND(ISNUMBER(D769),ISNUMBER(E769)),E769-D769,"")</f>
        <v/>
      </c>
      <c r="J769" s="26">
        <f>IF(AND(ISNUMBER(I769),ISNUMBER(G769)),IF(I769&gt;0,G769/I769,""),"")</f>
        <v/>
      </c>
      <c r="K769" s="25">
        <f>IF(COUNTA(A769:H769)=0,"",IF(OR(A769="",B769="",C769="",D769="",E769="",F769="",G769="",H769=""),"HATA: eksik bilgi",IF(COUNTIF(OdaListesi,A769)=0,"HATA: geçersiz oda no",IF(OR(NOT(ISNUMBER(D769)),NOT(ISNUMBER(E769))),"HATA: tarih geçersiz",IF(E769&lt;=D769,"HATA: çıkış girişten sonra olmalı",IF(OR(NOT(ISNUMBER(C769)),C769&lt;1,C769&gt;MaxKisi,C769&lt;&gt;INT(C769)),"HATA: kişi sayısı geçersiz",IF(OR(NOT(ISNUMBER(G769)),G769&lt;0),"HATA: tutar geçersiz",IF(B769&lt;&gt;TRIM(B769),"HATA: isimde baştaki/sondaki boşluk",IF(COUNTIF(KaynakAralik,H769)=0,"HATA: kaynak listede yok",IF(AND(F769&lt;&gt;"Bekleniyor",F769&lt;&gt;"Geldi",F769&lt;&gt;"İptal"),"HATA: giriş durumu geçersiz",IF(AND(F769&lt;&gt;"İptal",COUNTIFS($A$6:$A$1005,A769,$D$6:$D$1005,"&lt;"&amp;E769,$E$6:$E$1005,"&gt;"&amp;D769,$F$6:$F$1005,"&lt;&gt;İptal")&gt;1),"HATA: oda bu tarihlerde çakışıyor",IF(AND(F769="Bekleniyor",D769&lt;RaporTarihi),"HATA: giriş günü geçti, Geldi veya İptal yapın","OK"))))))))))))</f>
        <v/>
      </c>
      <c r="L769" s="25">
        <f>IF(AND(ISNUMBER(A769),F769&lt;&gt;"İptal",ISNUMBER(D769),ISNUMBER(E769),D769&lt;=RaporTarihi,E769&gt;RaporTarihi),A769,"")</f>
        <v/>
      </c>
    </row>
    <row r="770">
      <c r="A770" s="22" t="n"/>
      <c r="B770" s="22" t="n"/>
      <c r="C770" s="22" t="n"/>
      <c r="D770" s="23" t="n"/>
      <c r="E770" s="23" t="n"/>
      <c r="F770" s="22" t="n"/>
      <c r="G770" s="24" t="n"/>
      <c r="H770" s="22" t="n"/>
      <c r="I770" s="25">
        <f>IF(AND(ISNUMBER(D770),ISNUMBER(E770)),E770-D770,"")</f>
        <v/>
      </c>
      <c r="J770" s="26">
        <f>IF(AND(ISNUMBER(I770),ISNUMBER(G770)),IF(I770&gt;0,G770/I770,""),"")</f>
        <v/>
      </c>
      <c r="K770" s="25">
        <f>IF(COUNTA(A770:H770)=0,"",IF(OR(A770="",B770="",C770="",D770="",E770="",F770="",G770="",H770=""),"HATA: eksik bilgi",IF(COUNTIF(OdaListesi,A770)=0,"HATA: geçersiz oda no",IF(OR(NOT(ISNUMBER(D770)),NOT(ISNUMBER(E770))),"HATA: tarih geçersiz",IF(E770&lt;=D770,"HATA: çıkış girişten sonra olmalı",IF(OR(NOT(ISNUMBER(C770)),C770&lt;1,C770&gt;MaxKisi,C770&lt;&gt;INT(C770)),"HATA: kişi sayısı geçersiz",IF(OR(NOT(ISNUMBER(G770)),G770&lt;0),"HATA: tutar geçersiz",IF(B770&lt;&gt;TRIM(B770),"HATA: isimde baştaki/sondaki boşluk",IF(COUNTIF(KaynakAralik,H770)=0,"HATA: kaynak listede yok",IF(AND(F770&lt;&gt;"Bekleniyor",F770&lt;&gt;"Geldi",F770&lt;&gt;"İptal"),"HATA: giriş durumu geçersiz",IF(AND(F770&lt;&gt;"İptal",COUNTIFS($A$6:$A$1005,A770,$D$6:$D$1005,"&lt;"&amp;E770,$E$6:$E$1005,"&gt;"&amp;D770,$F$6:$F$1005,"&lt;&gt;İptal")&gt;1),"HATA: oda bu tarihlerde çakışıyor",IF(AND(F770="Bekleniyor",D770&lt;RaporTarihi),"HATA: giriş günü geçti, Geldi veya İptal yapın","OK"))))))))))))</f>
        <v/>
      </c>
      <c r="L770" s="25">
        <f>IF(AND(ISNUMBER(A770),F770&lt;&gt;"İptal",ISNUMBER(D770),ISNUMBER(E770),D770&lt;=RaporTarihi,E770&gt;RaporTarihi),A770,"")</f>
        <v/>
      </c>
    </row>
    <row r="771">
      <c r="A771" s="22" t="n"/>
      <c r="B771" s="22" t="n"/>
      <c r="C771" s="22" t="n"/>
      <c r="D771" s="23" t="n"/>
      <c r="E771" s="23" t="n"/>
      <c r="F771" s="22" t="n"/>
      <c r="G771" s="24" t="n"/>
      <c r="H771" s="22" t="n"/>
      <c r="I771" s="25">
        <f>IF(AND(ISNUMBER(D771),ISNUMBER(E771)),E771-D771,"")</f>
        <v/>
      </c>
      <c r="J771" s="26">
        <f>IF(AND(ISNUMBER(I771),ISNUMBER(G771)),IF(I771&gt;0,G771/I771,""),"")</f>
        <v/>
      </c>
      <c r="K771" s="25">
        <f>IF(COUNTA(A771:H771)=0,"",IF(OR(A771="",B771="",C771="",D771="",E771="",F771="",G771="",H771=""),"HATA: eksik bilgi",IF(COUNTIF(OdaListesi,A771)=0,"HATA: geçersiz oda no",IF(OR(NOT(ISNUMBER(D771)),NOT(ISNUMBER(E771))),"HATA: tarih geçersiz",IF(E771&lt;=D771,"HATA: çıkış girişten sonra olmalı",IF(OR(NOT(ISNUMBER(C771)),C771&lt;1,C771&gt;MaxKisi,C771&lt;&gt;INT(C771)),"HATA: kişi sayısı geçersiz",IF(OR(NOT(ISNUMBER(G771)),G771&lt;0),"HATA: tutar geçersiz",IF(B771&lt;&gt;TRIM(B771),"HATA: isimde baştaki/sondaki boşluk",IF(COUNTIF(KaynakAralik,H771)=0,"HATA: kaynak listede yok",IF(AND(F771&lt;&gt;"Bekleniyor",F771&lt;&gt;"Geldi",F771&lt;&gt;"İptal"),"HATA: giriş durumu geçersiz",IF(AND(F771&lt;&gt;"İptal",COUNTIFS($A$6:$A$1005,A771,$D$6:$D$1005,"&lt;"&amp;E771,$E$6:$E$1005,"&gt;"&amp;D771,$F$6:$F$1005,"&lt;&gt;İptal")&gt;1),"HATA: oda bu tarihlerde çakışıyor",IF(AND(F771="Bekleniyor",D771&lt;RaporTarihi),"HATA: giriş günü geçti, Geldi veya İptal yapın","OK"))))))))))))</f>
        <v/>
      </c>
      <c r="L771" s="25">
        <f>IF(AND(ISNUMBER(A771),F771&lt;&gt;"İptal",ISNUMBER(D771),ISNUMBER(E771),D771&lt;=RaporTarihi,E771&gt;RaporTarihi),A771,"")</f>
        <v/>
      </c>
    </row>
    <row r="772">
      <c r="A772" s="22" t="n"/>
      <c r="B772" s="22" t="n"/>
      <c r="C772" s="22" t="n"/>
      <c r="D772" s="23" t="n"/>
      <c r="E772" s="23" t="n"/>
      <c r="F772" s="22" t="n"/>
      <c r="G772" s="24" t="n"/>
      <c r="H772" s="22" t="n"/>
      <c r="I772" s="25">
        <f>IF(AND(ISNUMBER(D772),ISNUMBER(E772)),E772-D772,"")</f>
        <v/>
      </c>
      <c r="J772" s="26">
        <f>IF(AND(ISNUMBER(I772),ISNUMBER(G772)),IF(I772&gt;0,G772/I772,""),"")</f>
        <v/>
      </c>
      <c r="K772" s="25">
        <f>IF(COUNTA(A772:H772)=0,"",IF(OR(A772="",B772="",C772="",D772="",E772="",F772="",G772="",H772=""),"HATA: eksik bilgi",IF(COUNTIF(OdaListesi,A772)=0,"HATA: geçersiz oda no",IF(OR(NOT(ISNUMBER(D772)),NOT(ISNUMBER(E772))),"HATA: tarih geçersiz",IF(E772&lt;=D772,"HATA: çıkış girişten sonra olmalı",IF(OR(NOT(ISNUMBER(C772)),C772&lt;1,C772&gt;MaxKisi,C772&lt;&gt;INT(C772)),"HATA: kişi sayısı geçersiz",IF(OR(NOT(ISNUMBER(G772)),G772&lt;0),"HATA: tutar geçersiz",IF(B772&lt;&gt;TRIM(B772),"HATA: isimde baştaki/sondaki boşluk",IF(COUNTIF(KaynakAralik,H772)=0,"HATA: kaynak listede yok",IF(AND(F772&lt;&gt;"Bekleniyor",F772&lt;&gt;"Geldi",F772&lt;&gt;"İptal"),"HATA: giriş durumu geçersiz",IF(AND(F772&lt;&gt;"İptal",COUNTIFS($A$6:$A$1005,A772,$D$6:$D$1005,"&lt;"&amp;E772,$E$6:$E$1005,"&gt;"&amp;D772,$F$6:$F$1005,"&lt;&gt;İptal")&gt;1),"HATA: oda bu tarihlerde çakışıyor",IF(AND(F772="Bekleniyor",D772&lt;RaporTarihi),"HATA: giriş günü geçti, Geldi veya İptal yapın","OK"))))))))))))</f>
        <v/>
      </c>
      <c r="L772" s="25">
        <f>IF(AND(ISNUMBER(A772),F772&lt;&gt;"İptal",ISNUMBER(D772),ISNUMBER(E772),D772&lt;=RaporTarihi,E772&gt;RaporTarihi),A772,"")</f>
        <v/>
      </c>
    </row>
    <row r="773">
      <c r="A773" s="22" t="n"/>
      <c r="B773" s="22" t="n"/>
      <c r="C773" s="22" t="n"/>
      <c r="D773" s="23" t="n"/>
      <c r="E773" s="23" t="n"/>
      <c r="F773" s="22" t="n"/>
      <c r="G773" s="24" t="n"/>
      <c r="H773" s="22" t="n"/>
      <c r="I773" s="25">
        <f>IF(AND(ISNUMBER(D773),ISNUMBER(E773)),E773-D773,"")</f>
        <v/>
      </c>
      <c r="J773" s="26">
        <f>IF(AND(ISNUMBER(I773),ISNUMBER(G773)),IF(I773&gt;0,G773/I773,""),"")</f>
        <v/>
      </c>
      <c r="K773" s="25">
        <f>IF(COUNTA(A773:H773)=0,"",IF(OR(A773="",B773="",C773="",D773="",E773="",F773="",G773="",H773=""),"HATA: eksik bilgi",IF(COUNTIF(OdaListesi,A773)=0,"HATA: geçersiz oda no",IF(OR(NOT(ISNUMBER(D773)),NOT(ISNUMBER(E773))),"HATA: tarih geçersiz",IF(E773&lt;=D773,"HATA: çıkış girişten sonra olmalı",IF(OR(NOT(ISNUMBER(C773)),C773&lt;1,C773&gt;MaxKisi,C773&lt;&gt;INT(C773)),"HATA: kişi sayısı geçersiz",IF(OR(NOT(ISNUMBER(G773)),G773&lt;0),"HATA: tutar geçersiz",IF(B773&lt;&gt;TRIM(B773),"HATA: isimde baştaki/sondaki boşluk",IF(COUNTIF(KaynakAralik,H773)=0,"HATA: kaynak listede yok",IF(AND(F773&lt;&gt;"Bekleniyor",F773&lt;&gt;"Geldi",F773&lt;&gt;"İptal"),"HATA: giriş durumu geçersiz",IF(AND(F773&lt;&gt;"İptal",COUNTIFS($A$6:$A$1005,A773,$D$6:$D$1005,"&lt;"&amp;E773,$E$6:$E$1005,"&gt;"&amp;D773,$F$6:$F$1005,"&lt;&gt;İptal")&gt;1),"HATA: oda bu tarihlerde çakışıyor",IF(AND(F773="Bekleniyor",D773&lt;RaporTarihi),"HATA: giriş günü geçti, Geldi veya İptal yapın","OK"))))))))))))</f>
        <v/>
      </c>
      <c r="L773" s="25">
        <f>IF(AND(ISNUMBER(A773),F773&lt;&gt;"İptal",ISNUMBER(D773),ISNUMBER(E773),D773&lt;=RaporTarihi,E773&gt;RaporTarihi),A773,"")</f>
        <v/>
      </c>
    </row>
    <row r="774">
      <c r="A774" s="22" t="n"/>
      <c r="B774" s="22" t="n"/>
      <c r="C774" s="22" t="n"/>
      <c r="D774" s="23" t="n"/>
      <c r="E774" s="23" t="n"/>
      <c r="F774" s="22" t="n"/>
      <c r="G774" s="24" t="n"/>
      <c r="H774" s="22" t="n"/>
      <c r="I774" s="25">
        <f>IF(AND(ISNUMBER(D774),ISNUMBER(E774)),E774-D774,"")</f>
        <v/>
      </c>
      <c r="J774" s="26">
        <f>IF(AND(ISNUMBER(I774),ISNUMBER(G774)),IF(I774&gt;0,G774/I774,""),"")</f>
        <v/>
      </c>
      <c r="K774" s="25">
        <f>IF(COUNTA(A774:H774)=0,"",IF(OR(A774="",B774="",C774="",D774="",E774="",F774="",G774="",H774=""),"HATA: eksik bilgi",IF(COUNTIF(OdaListesi,A774)=0,"HATA: geçersiz oda no",IF(OR(NOT(ISNUMBER(D774)),NOT(ISNUMBER(E774))),"HATA: tarih geçersiz",IF(E774&lt;=D774,"HATA: çıkış girişten sonra olmalı",IF(OR(NOT(ISNUMBER(C774)),C774&lt;1,C774&gt;MaxKisi,C774&lt;&gt;INT(C774)),"HATA: kişi sayısı geçersiz",IF(OR(NOT(ISNUMBER(G774)),G774&lt;0),"HATA: tutar geçersiz",IF(B774&lt;&gt;TRIM(B774),"HATA: isimde baştaki/sondaki boşluk",IF(COUNTIF(KaynakAralik,H774)=0,"HATA: kaynak listede yok",IF(AND(F774&lt;&gt;"Bekleniyor",F774&lt;&gt;"Geldi",F774&lt;&gt;"İptal"),"HATA: giriş durumu geçersiz",IF(AND(F774&lt;&gt;"İptal",COUNTIFS($A$6:$A$1005,A774,$D$6:$D$1005,"&lt;"&amp;E774,$E$6:$E$1005,"&gt;"&amp;D774,$F$6:$F$1005,"&lt;&gt;İptal")&gt;1),"HATA: oda bu tarihlerde çakışıyor",IF(AND(F774="Bekleniyor",D774&lt;RaporTarihi),"HATA: giriş günü geçti, Geldi veya İptal yapın","OK"))))))))))))</f>
        <v/>
      </c>
      <c r="L774" s="25">
        <f>IF(AND(ISNUMBER(A774),F774&lt;&gt;"İptal",ISNUMBER(D774),ISNUMBER(E774),D774&lt;=RaporTarihi,E774&gt;RaporTarihi),A774,"")</f>
        <v/>
      </c>
    </row>
    <row r="775">
      <c r="A775" s="22" t="n"/>
      <c r="B775" s="22" t="n"/>
      <c r="C775" s="22" t="n"/>
      <c r="D775" s="23" t="n"/>
      <c r="E775" s="23" t="n"/>
      <c r="F775" s="22" t="n"/>
      <c r="G775" s="24" t="n"/>
      <c r="H775" s="22" t="n"/>
      <c r="I775" s="25">
        <f>IF(AND(ISNUMBER(D775),ISNUMBER(E775)),E775-D775,"")</f>
        <v/>
      </c>
      <c r="J775" s="26">
        <f>IF(AND(ISNUMBER(I775),ISNUMBER(G775)),IF(I775&gt;0,G775/I775,""),"")</f>
        <v/>
      </c>
      <c r="K775" s="25">
        <f>IF(COUNTA(A775:H775)=0,"",IF(OR(A775="",B775="",C775="",D775="",E775="",F775="",G775="",H775=""),"HATA: eksik bilgi",IF(COUNTIF(OdaListesi,A775)=0,"HATA: geçersiz oda no",IF(OR(NOT(ISNUMBER(D775)),NOT(ISNUMBER(E775))),"HATA: tarih geçersiz",IF(E775&lt;=D775,"HATA: çıkış girişten sonra olmalı",IF(OR(NOT(ISNUMBER(C775)),C775&lt;1,C775&gt;MaxKisi,C775&lt;&gt;INT(C775)),"HATA: kişi sayısı geçersiz",IF(OR(NOT(ISNUMBER(G775)),G775&lt;0),"HATA: tutar geçersiz",IF(B775&lt;&gt;TRIM(B775),"HATA: isimde baştaki/sondaki boşluk",IF(COUNTIF(KaynakAralik,H775)=0,"HATA: kaynak listede yok",IF(AND(F775&lt;&gt;"Bekleniyor",F775&lt;&gt;"Geldi",F775&lt;&gt;"İptal"),"HATA: giriş durumu geçersiz",IF(AND(F775&lt;&gt;"İptal",COUNTIFS($A$6:$A$1005,A775,$D$6:$D$1005,"&lt;"&amp;E775,$E$6:$E$1005,"&gt;"&amp;D775,$F$6:$F$1005,"&lt;&gt;İptal")&gt;1),"HATA: oda bu tarihlerde çakışıyor",IF(AND(F775="Bekleniyor",D775&lt;RaporTarihi),"HATA: giriş günü geçti, Geldi veya İptal yapın","OK"))))))))))))</f>
        <v/>
      </c>
      <c r="L775" s="25">
        <f>IF(AND(ISNUMBER(A775),F775&lt;&gt;"İptal",ISNUMBER(D775),ISNUMBER(E775),D775&lt;=RaporTarihi,E775&gt;RaporTarihi),A775,"")</f>
        <v/>
      </c>
    </row>
    <row r="776">
      <c r="A776" s="22" t="n"/>
      <c r="B776" s="22" t="n"/>
      <c r="C776" s="22" t="n"/>
      <c r="D776" s="23" t="n"/>
      <c r="E776" s="23" t="n"/>
      <c r="F776" s="22" t="n"/>
      <c r="G776" s="24" t="n"/>
      <c r="H776" s="22" t="n"/>
      <c r="I776" s="25">
        <f>IF(AND(ISNUMBER(D776),ISNUMBER(E776)),E776-D776,"")</f>
        <v/>
      </c>
      <c r="J776" s="26">
        <f>IF(AND(ISNUMBER(I776),ISNUMBER(G776)),IF(I776&gt;0,G776/I776,""),"")</f>
        <v/>
      </c>
      <c r="K776" s="25">
        <f>IF(COUNTA(A776:H776)=0,"",IF(OR(A776="",B776="",C776="",D776="",E776="",F776="",G776="",H776=""),"HATA: eksik bilgi",IF(COUNTIF(OdaListesi,A776)=0,"HATA: geçersiz oda no",IF(OR(NOT(ISNUMBER(D776)),NOT(ISNUMBER(E776))),"HATA: tarih geçersiz",IF(E776&lt;=D776,"HATA: çıkış girişten sonra olmalı",IF(OR(NOT(ISNUMBER(C776)),C776&lt;1,C776&gt;MaxKisi,C776&lt;&gt;INT(C776)),"HATA: kişi sayısı geçersiz",IF(OR(NOT(ISNUMBER(G776)),G776&lt;0),"HATA: tutar geçersiz",IF(B776&lt;&gt;TRIM(B776),"HATA: isimde baştaki/sondaki boşluk",IF(COUNTIF(KaynakAralik,H776)=0,"HATA: kaynak listede yok",IF(AND(F776&lt;&gt;"Bekleniyor",F776&lt;&gt;"Geldi",F776&lt;&gt;"İptal"),"HATA: giriş durumu geçersiz",IF(AND(F776&lt;&gt;"İptal",COUNTIFS($A$6:$A$1005,A776,$D$6:$D$1005,"&lt;"&amp;E776,$E$6:$E$1005,"&gt;"&amp;D776,$F$6:$F$1005,"&lt;&gt;İptal")&gt;1),"HATA: oda bu tarihlerde çakışıyor",IF(AND(F776="Bekleniyor",D776&lt;RaporTarihi),"HATA: giriş günü geçti, Geldi veya İptal yapın","OK"))))))))))))</f>
        <v/>
      </c>
      <c r="L776" s="25">
        <f>IF(AND(ISNUMBER(A776),F776&lt;&gt;"İptal",ISNUMBER(D776),ISNUMBER(E776),D776&lt;=RaporTarihi,E776&gt;RaporTarihi),A776,"")</f>
        <v/>
      </c>
    </row>
    <row r="777">
      <c r="A777" s="22" t="n"/>
      <c r="B777" s="22" t="n"/>
      <c r="C777" s="22" t="n"/>
      <c r="D777" s="23" t="n"/>
      <c r="E777" s="23" t="n"/>
      <c r="F777" s="22" t="n"/>
      <c r="G777" s="24" t="n"/>
      <c r="H777" s="22" t="n"/>
      <c r="I777" s="25">
        <f>IF(AND(ISNUMBER(D777),ISNUMBER(E777)),E777-D777,"")</f>
        <v/>
      </c>
      <c r="J777" s="26">
        <f>IF(AND(ISNUMBER(I777),ISNUMBER(G777)),IF(I777&gt;0,G777/I777,""),"")</f>
        <v/>
      </c>
      <c r="K777" s="25">
        <f>IF(COUNTA(A777:H777)=0,"",IF(OR(A777="",B777="",C777="",D777="",E777="",F777="",G777="",H777=""),"HATA: eksik bilgi",IF(COUNTIF(OdaListesi,A777)=0,"HATA: geçersiz oda no",IF(OR(NOT(ISNUMBER(D777)),NOT(ISNUMBER(E777))),"HATA: tarih geçersiz",IF(E777&lt;=D777,"HATA: çıkış girişten sonra olmalı",IF(OR(NOT(ISNUMBER(C777)),C777&lt;1,C777&gt;MaxKisi,C777&lt;&gt;INT(C777)),"HATA: kişi sayısı geçersiz",IF(OR(NOT(ISNUMBER(G777)),G777&lt;0),"HATA: tutar geçersiz",IF(B777&lt;&gt;TRIM(B777),"HATA: isimde baştaki/sondaki boşluk",IF(COUNTIF(KaynakAralik,H777)=0,"HATA: kaynak listede yok",IF(AND(F777&lt;&gt;"Bekleniyor",F777&lt;&gt;"Geldi",F777&lt;&gt;"İptal"),"HATA: giriş durumu geçersiz",IF(AND(F777&lt;&gt;"İptal",COUNTIFS($A$6:$A$1005,A777,$D$6:$D$1005,"&lt;"&amp;E777,$E$6:$E$1005,"&gt;"&amp;D777,$F$6:$F$1005,"&lt;&gt;İptal")&gt;1),"HATA: oda bu tarihlerde çakışıyor",IF(AND(F777="Bekleniyor",D777&lt;RaporTarihi),"HATA: giriş günü geçti, Geldi veya İptal yapın","OK"))))))))))))</f>
        <v/>
      </c>
      <c r="L777" s="25">
        <f>IF(AND(ISNUMBER(A777),F777&lt;&gt;"İptal",ISNUMBER(D777),ISNUMBER(E777),D777&lt;=RaporTarihi,E777&gt;RaporTarihi),A777,"")</f>
        <v/>
      </c>
    </row>
    <row r="778">
      <c r="A778" s="22" t="n"/>
      <c r="B778" s="22" t="n"/>
      <c r="C778" s="22" t="n"/>
      <c r="D778" s="23" t="n"/>
      <c r="E778" s="23" t="n"/>
      <c r="F778" s="22" t="n"/>
      <c r="G778" s="24" t="n"/>
      <c r="H778" s="22" t="n"/>
      <c r="I778" s="25">
        <f>IF(AND(ISNUMBER(D778),ISNUMBER(E778)),E778-D778,"")</f>
        <v/>
      </c>
      <c r="J778" s="26">
        <f>IF(AND(ISNUMBER(I778),ISNUMBER(G778)),IF(I778&gt;0,G778/I778,""),"")</f>
        <v/>
      </c>
      <c r="K778" s="25">
        <f>IF(COUNTA(A778:H778)=0,"",IF(OR(A778="",B778="",C778="",D778="",E778="",F778="",G778="",H778=""),"HATA: eksik bilgi",IF(COUNTIF(OdaListesi,A778)=0,"HATA: geçersiz oda no",IF(OR(NOT(ISNUMBER(D778)),NOT(ISNUMBER(E778))),"HATA: tarih geçersiz",IF(E778&lt;=D778,"HATA: çıkış girişten sonra olmalı",IF(OR(NOT(ISNUMBER(C778)),C778&lt;1,C778&gt;MaxKisi,C778&lt;&gt;INT(C778)),"HATA: kişi sayısı geçersiz",IF(OR(NOT(ISNUMBER(G778)),G778&lt;0),"HATA: tutar geçersiz",IF(B778&lt;&gt;TRIM(B778),"HATA: isimde baştaki/sondaki boşluk",IF(COUNTIF(KaynakAralik,H778)=0,"HATA: kaynak listede yok",IF(AND(F778&lt;&gt;"Bekleniyor",F778&lt;&gt;"Geldi",F778&lt;&gt;"İptal"),"HATA: giriş durumu geçersiz",IF(AND(F778&lt;&gt;"İptal",COUNTIFS($A$6:$A$1005,A778,$D$6:$D$1005,"&lt;"&amp;E778,$E$6:$E$1005,"&gt;"&amp;D778,$F$6:$F$1005,"&lt;&gt;İptal")&gt;1),"HATA: oda bu tarihlerde çakışıyor",IF(AND(F778="Bekleniyor",D778&lt;RaporTarihi),"HATA: giriş günü geçti, Geldi veya İptal yapın","OK"))))))))))))</f>
        <v/>
      </c>
      <c r="L778" s="25">
        <f>IF(AND(ISNUMBER(A778),F778&lt;&gt;"İptal",ISNUMBER(D778),ISNUMBER(E778),D778&lt;=RaporTarihi,E778&gt;RaporTarihi),A778,"")</f>
        <v/>
      </c>
    </row>
    <row r="779">
      <c r="A779" s="22" t="n"/>
      <c r="B779" s="22" t="n"/>
      <c r="C779" s="22" t="n"/>
      <c r="D779" s="23" t="n"/>
      <c r="E779" s="23" t="n"/>
      <c r="F779" s="22" t="n"/>
      <c r="G779" s="24" t="n"/>
      <c r="H779" s="22" t="n"/>
      <c r="I779" s="25">
        <f>IF(AND(ISNUMBER(D779),ISNUMBER(E779)),E779-D779,"")</f>
        <v/>
      </c>
      <c r="J779" s="26">
        <f>IF(AND(ISNUMBER(I779),ISNUMBER(G779)),IF(I779&gt;0,G779/I779,""),"")</f>
        <v/>
      </c>
      <c r="K779" s="25">
        <f>IF(COUNTA(A779:H779)=0,"",IF(OR(A779="",B779="",C779="",D779="",E779="",F779="",G779="",H779=""),"HATA: eksik bilgi",IF(COUNTIF(OdaListesi,A779)=0,"HATA: geçersiz oda no",IF(OR(NOT(ISNUMBER(D779)),NOT(ISNUMBER(E779))),"HATA: tarih geçersiz",IF(E779&lt;=D779,"HATA: çıkış girişten sonra olmalı",IF(OR(NOT(ISNUMBER(C779)),C779&lt;1,C779&gt;MaxKisi,C779&lt;&gt;INT(C779)),"HATA: kişi sayısı geçersiz",IF(OR(NOT(ISNUMBER(G779)),G779&lt;0),"HATA: tutar geçersiz",IF(B779&lt;&gt;TRIM(B779),"HATA: isimde baştaki/sondaki boşluk",IF(COUNTIF(KaynakAralik,H779)=0,"HATA: kaynak listede yok",IF(AND(F779&lt;&gt;"Bekleniyor",F779&lt;&gt;"Geldi",F779&lt;&gt;"İptal"),"HATA: giriş durumu geçersiz",IF(AND(F779&lt;&gt;"İptal",COUNTIFS($A$6:$A$1005,A779,$D$6:$D$1005,"&lt;"&amp;E779,$E$6:$E$1005,"&gt;"&amp;D779,$F$6:$F$1005,"&lt;&gt;İptal")&gt;1),"HATA: oda bu tarihlerde çakışıyor",IF(AND(F779="Bekleniyor",D779&lt;RaporTarihi),"HATA: giriş günü geçti, Geldi veya İptal yapın","OK"))))))))))))</f>
        <v/>
      </c>
      <c r="L779" s="25">
        <f>IF(AND(ISNUMBER(A779),F779&lt;&gt;"İptal",ISNUMBER(D779),ISNUMBER(E779),D779&lt;=RaporTarihi,E779&gt;RaporTarihi),A779,"")</f>
        <v/>
      </c>
    </row>
    <row r="780">
      <c r="A780" s="22" t="n"/>
      <c r="B780" s="22" t="n"/>
      <c r="C780" s="22" t="n"/>
      <c r="D780" s="23" t="n"/>
      <c r="E780" s="23" t="n"/>
      <c r="F780" s="22" t="n"/>
      <c r="G780" s="24" t="n"/>
      <c r="H780" s="22" t="n"/>
      <c r="I780" s="25">
        <f>IF(AND(ISNUMBER(D780),ISNUMBER(E780)),E780-D780,"")</f>
        <v/>
      </c>
      <c r="J780" s="26">
        <f>IF(AND(ISNUMBER(I780),ISNUMBER(G780)),IF(I780&gt;0,G780/I780,""),"")</f>
        <v/>
      </c>
      <c r="K780" s="25">
        <f>IF(COUNTA(A780:H780)=0,"",IF(OR(A780="",B780="",C780="",D780="",E780="",F780="",G780="",H780=""),"HATA: eksik bilgi",IF(COUNTIF(OdaListesi,A780)=0,"HATA: geçersiz oda no",IF(OR(NOT(ISNUMBER(D780)),NOT(ISNUMBER(E780))),"HATA: tarih geçersiz",IF(E780&lt;=D780,"HATA: çıkış girişten sonra olmalı",IF(OR(NOT(ISNUMBER(C780)),C780&lt;1,C780&gt;MaxKisi,C780&lt;&gt;INT(C780)),"HATA: kişi sayısı geçersiz",IF(OR(NOT(ISNUMBER(G780)),G780&lt;0),"HATA: tutar geçersiz",IF(B780&lt;&gt;TRIM(B780),"HATA: isimde baştaki/sondaki boşluk",IF(COUNTIF(KaynakAralik,H780)=0,"HATA: kaynak listede yok",IF(AND(F780&lt;&gt;"Bekleniyor",F780&lt;&gt;"Geldi",F780&lt;&gt;"İptal"),"HATA: giriş durumu geçersiz",IF(AND(F780&lt;&gt;"İptal",COUNTIFS($A$6:$A$1005,A780,$D$6:$D$1005,"&lt;"&amp;E780,$E$6:$E$1005,"&gt;"&amp;D780,$F$6:$F$1005,"&lt;&gt;İptal")&gt;1),"HATA: oda bu tarihlerde çakışıyor",IF(AND(F780="Bekleniyor",D780&lt;RaporTarihi),"HATA: giriş günü geçti, Geldi veya İptal yapın","OK"))))))))))))</f>
        <v/>
      </c>
      <c r="L780" s="25">
        <f>IF(AND(ISNUMBER(A780),F780&lt;&gt;"İptal",ISNUMBER(D780),ISNUMBER(E780),D780&lt;=RaporTarihi,E780&gt;RaporTarihi),A780,"")</f>
        <v/>
      </c>
    </row>
    <row r="781">
      <c r="A781" s="22" t="n"/>
      <c r="B781" s="22" t="n"/>
      <c r="C781" s="22" t="n"/>
      <c r="D781" s="23" t="n"/>
      <c r="E781" s="23" t="n"/>
      <c r="F781" s="22" t="n"/>
      <c r="G781" s="24" t="n"/>
      <c r="H781" s="22" t="n"/>
      <c r="I781" s="25">
        <f>IF(AND(ISNUMBER(D781),ISNUMBER(E781)),E781-D781,"")</f>
        <v/>
      </c>
      <c r="J781" s="26">
        <f>IF(AND(ISNUMBER(I781),ISNUMBER(G781)),IF(I781&gt;0,G781/I781,""),"")</f>
        <v/>
      </c>
      <c r="K781" s="25">
        <f>IF(COUNTA(A781:H781)=0,"",IF(OR(A781="",B781="",C781="",D781="",E781="",F781="",G781="",H781=""),"HATA: eksik bilgi",IF(COUNTIF(OdaListesi,A781)=0,"HATA: geçersiz oda no",IF(OR(NOT(ISNUMBER(D781)),NOT(ISNUMBER(E781))),"HATA: tarih geçersiz",IF(E781&lt;=D781,"HATA: çıkış girişten sonra olmalı",IF(OR(NOT(ISNUMBER(C781)),C781&lt;1,C781&gt;MaxKisi,C781&lt;&gt;INT(C781)),"HATA: kişi sayısı geçersiz",IF(OR(NOT(ISNUMBER(G781)),G781&lt;0),"HATA: tutar geçersiz",IF(B781&lt;&gt;TRIM(B781),"HATA: isimde baştaki/sondaki boşluk",IF(COUNTIF(KaynakAralik,H781)=0,"HATA: kaynak listede yok",IF(AND(F781&lt;&gt;"Bekleniyor",F781&lt;&gt;"Geldi",F781&lt;&gt;"İptal"),"HATA: giriş durumu geçersiz",IF(AND(F781&lt;&gt;"İptal",COUNTIFS($A$6:$A$1005,A781,$D$6:$D$1005,"&lt;"&amp;E781,$E$6:$E$1005,"&gt;"&amp;D781,$F$6:$F$1005,"&lt;&gt;İptal")&gt;1),"HATA: oda bu tarihlerde çakışıyor",IF(AND(F781="Bekleniyor",D781&lt;RaporTarihi),"HATA: giriş günü geçti, Geldi veya İptal yapın","OK"))))))))))))</f>
        <v/>
      </c>
      <c r="L781" s="25">
        <f>IF(AND(ISNUMBER(A781),F781&lt;&gt;"İptal",ISNUMBER(D781),ISNUMBER(E781),D781&lt;=RaporTarihi,E781&gt;RaporTarihi),A781,"")</f>
        <v/>
      </c>
    </row>
    <row r="782">
      <c r="A782" s="22" t="n"/>
      <c r="B782" s="22" t="n"/>
      <c r="C782" s="22" t="n"/>
      <c r="D782" s="23" t="n"/>
      <c r="E782" s="23" t="n"/>
      <c r="F782" s="22" t="n"/>
      <c r="G782" s="24" t="n"/>
      <c r="H782" s="22" t="n"/>
      <c r="I782" s="25">
        <f>IF(AND(ISNUMBER(D782),ISNUMBER(E782)),E782-D782,"")</f>
        <v/>
      </c>
      <c r="J782" s="26">
        <f>IF(AND(ISNUMBER(I782),ISNUMBER(G782)),IF(I782&gt;0,G782/I782,""),"")</f>
        <v/>
      </c>
      <c r="K782" s="25">
        <f>IF(COUNTA(A782:H782)=0,"",IF(OR(A782="",B782="",C782="",D782="",E782="",F782="",G782="",H782=""),"HATA: eksik bilgi",IF(COUNTIF(OdaListesi,A782)=0,"HATA: geçersiz oda no",IF(OR(NOT(ISNUMBER(D782)),NOT(ISNUMBER(E782))),"HATA: tarih geçersiz",IF(E782&lt;=D782,"HATA: çıkış girişten sonra olmalı",IF(OR(NOT(ISNUMBER(C782)),C782&lt;1,C782&gt;MaxKisi,C782&lt;&gt;INT(C782)),"HATA: kişi sayısı geçersiz",IF(OR(NOT(ISNUMBER(G782)),G782&lt;0),"HATA: tutar geçersiz",IF(B782&lt;&gt;TRIM(B782),"HATA: isimde baştaki/sondaki boşluk",IF(COUNTIF(KaynakAralik,H782)=0,"HATA: kaynak listede yok",IF(AND(F782&lt;&gt;"Bekleniyor",F782&lt;&gt;"Geldi",F782&lt;&gt;"İptal"),"HATA: giriş durumu geçersiz",IF(AND(F782&lt;&gt;"İptal",COUNTIFS($A$6:$A$1005,A782,$D$6:$D$1005,"&lt;"&amp;E782,$E$6:$E$1005,"&gt;"&amp;D782,$F$6:$F$1005,"&lt;&gt;İptal")&gt;1),"HATA: oda bu tarihlerde çakışıyor",IF(AND(F782="Bekleniyor",D782&lt;RaporTarihi),"HATA: giriş günü geçti, Geldi veya İptal yapın","OK"))))))))))))</f>
        <v/>
      </c>
      <c r="L782" s="25">
        <f>IF(AND(ISNUMBER(A782),F782&lt;&gt;"İptal",ISNUMBER(D782),ISNUMBER(E782),D782&lt;=RaporTarihi,E782&gt;RaporTarihi),A782,"")</f>
        <v/>
      </c>
    </row>
    <row r="783">
      <c r="A783" s="22" t="n"/>
      <c r="B783" s="22" t="n"/>
      <c r="C783" s="22" t="n"/>
      <c r="D783" s="23" t="n"/>
      <c r="E783" s="23" t="n"/>
      <c r="F783" s="22" t="n"/>
      <c r="G783" s="24" t="n"/>
      <c r="H783" s="22" t="n"/>
      <c r="I783" s="25">
        <f>IF(AND(ISNUMBER(D783),ISNUMBER(E783)),E783-D783,"")</f>
        <v/>
      </c>
      <c r="J783" s="26">
        <f>IF(AND(ISNUMBER(I783),ISNUMBER(G783)),IF(I783&gt;0,G783/I783,""),"")</f>
        <v/>
      </c>
      <c r="K783" s="25">
        <f>IF(COUNTA(A783:H783)=0,"",IF(OR(A783="",B783="",C783="",D783="",E783="",F783="",G783="",H783=""),"HATA: eksik bilgi",IF(COUNTIF(OdaListesi,A783)=0,"HATA: geçersiz oda no",IF(OR(NOT(ISNUMBER(D783)),NOT(ISNUMBER(E783))),"HATA: tarih geçersiz",IF(E783&lt;=D783,"HATA: çıkış girişten sonra olmalı",IF(OR(NOT(ISNUMBER(C783)),C783&lt;1,C783&gt;MaxKisi,C783&lt;&gt;INT(C783)),"HATA: kişi sayısı geçersiz",IF(OR(NOT(ISNUMBER(G783)),G783&lt;0),"HATA: tutar geçersiz",IF(B783&lt;&gt;TRIM(B783),"HATA: isimde baştaki/sondaki boşluk",IF(COUNTIF(KaynakAralik,H783)=0,"HATA: kaynak listede yok",IF(AND(F783&lt;&gt;"Bekleniyor",F783&lt;&gt;"Geldi",F783&lt;&gt;"İptal"),"HATA: giriş durumu geçersiz",IF(AND(F783&lt;&gt;"İptal",COUNTIFS($A$6:$A$1005,A783,$D$6:$D$1005,"&lt;"&amp;E783,$E$6:$E$1005,"&gt;"&amp;D783,$F$6:$F$1005,"&lt;&gt;İptal")&gt;1),"HATA: oda bu tarihlerde çakışıyor",IF(AND(F783="Bekleniyor",D783&lt;RaporTarihi),"HATA: giriş günü geçti, Geldi veya İptal yapın","OK"))))))))))))</f>
        <v/>
      </c>
      <c r="L783" s="25">
        <f>IF(AND(ISNUMBER(A783),F783&lt;&gt;"İptal",ISNUMBER(D783),ISNUMBER(E783),D783&lt;=RaporTarihi,E783&gt;RaporTarihi),A783,"")</f>
        <v/>
      </c>
    </row>
    <row r="784">
      <c r="A784" s="22" t="n"/>
      <c r="B784" s="22" t="n"/>
      <c r="C784" s="22" t="n"/>
      <c r="D784" s="23" t="n"/>
      <c r="E784" s="23" t="n"/>
      <c r="F784" s="22" t="n"/>
      <c r="G784" s="24" t="n"/>
      <c r="H784" s="22" t="n"/>
      <c r="I784" s="25">
        <f>IF(AND(ISNUMBER(D784),ISNUMBER(E784)),E784-D784,"")</f>
        <v/>
      </c>
      <c r="J784" s="26">
        <f>IF(AND(ISNUMBER(I784),ISNUMBER(G784)),IF(I784&gt;0,G784/I784,""),"")</f>
        <v/>
      </c>
      <c r="K784" s="25">
        <f>IF(COUNTA(A784:H784)=0,"",IF(OR(A784="",B784="",C784="",D784="",E784="",F784="",G784="",H784=""),"HATA: eksik bilgi",IF(COUNTIF(OdaListesi,A784)=0,"HATA: geçersiz oda no",IF(OR(NOT(ISNUMBER(D784)),NOT(ISNUMBER(E784))),"HATA: tarih geçersiz",IF(E784&lt;=D784,"HATA: çıkış girişten sonra olmalı",IF(OR(NOT(ISNUMBER(C784)),C784&lt;1,C784&gt;MaxKisi,C784&lt;&gt;INT(C784)),"HATA: kişi sayısı geçersiz",IF(OR(NOT(ISNUMBER(G784)),G784&lt;0),"HATA: tutar geçersiz",IF(B784&lt;&gt;TRIM(B784),"HATA: isimde baştaki/sondaki boşluk",IF(COUNTIF(KaynakAralik,H784)=0,"HATA: kaynak listede yok",IF(AND(F784&lt;&gt;"Bekleniyor",F784&lt;&gt;"Geldi",F784&lt;&gt;"İptal"),"HATA: giriş durumu geçersiz",IF(AND(F784&lt;&gt;"İptal",COUNTIFS($A$6:$A$1005,A784,$D$6:$D$1005,"&lt;"&amp;E784,$E$6:$E$1005,"&gt;"&amp;D784,$F$6:$F$1005,"&lt;&gt;İptal")&gt;1),"HATA: oda bu tarihlerde çakışıyor",IF(AND(F784="Bekleniyor",D784&lt;RaporTarihi),"HATA: giriş günü geçti, Geldi veya İptal yapın","OK"))))))))))))</f>
        <v/>
      </c>
      <c r="L784" s="25">
        <f>IF(AND(ISNUMBER(A784),F784&lt;&gt;"İptal",ISNUMBER(D784),ISNUMBER(E784),D784&lt;=RaporTarihi,E784&gt;RaporTarihi),A784,"")</f>
        <v/>
      </c>
    </row>
    <row r="785">
      <c r="A785" s="22" t="n"/>
      <c r="B785" s="22" t="n"/>
      <c r="C785" s="22" t="n"/>
      <c r="D785" s="23" t="n"/>
      <c r="E785" s="23" t="n"/>
      <c r="F785" s="22" t="n"/>
      <c r="G785" s="24" t="n"/>
      <c r="H785" s="22" t="n"/>
      <c r="I785" s="25">
        <f>IF(AND(ISNUMBER(D785),ISNUMBER(E785)),E785-D785,"")</f>
        <v/>
      </c>
      <c r="J785" s="26">
        <f>IF(AND(ISNUMBER(I785),ISNUMBER(G785)),IF(I785&gt;0,G785/I785,""),"")</f>
        <v/>
      </c>
      <c r="K785" s="25">
        <f>IF(COUNTA(A785:H785)=0,"",IF(OR(A785="",B785="",C785="",D785="",E785="",F785="",G785="",H785=""),"HATA: eksik bilgi",IF(COUNTIF(OdaListesi,A785)=0,"HATA: geçersiz oda no",IF(OR(NOT(ISNUMBER(D785)),NOT(ISNUMBER(E785))),"HATA: tarih geçersiz",IF(E785&lt;=D785,"HATA: çıkış girişten sonra olmalı",IF(OR(NOT(ISNUMBER(C785)),C785&lt;1,C785&gt;MaxKisi,C785&lt;&gt;INT(C785)),"HATA: kişi sayısı geçersiz",IF(OR(NOT(ISNUMBER(G785)),G785&lt;0),"HATA: tutar geçersiz",IF(B785&lt;&gt;TRIM(B785),"HATA: isimde baştaki/sondaki boşluk",IF(COUNTIF(KaynakAralik,H785)=0,"HATA: kaynak listede yok",IF(AND(F785&lt;&gt;"Bekleniyor",F785&lt;&gt;"Geldi",F785&lt;&gt;"İptal"),"HATA: giriş durumu geçersiz",IF(AND(F785&lt;&gt;"İptal",COUNTIFS($A$6:$A$1005,A785,$D$6:$D$1005,"&lt;"&amp;E785,$E$6:$E$1005,"&gt;"&amp;D785,$F$6:$F$1005,"&lt;&gt;İptal")&gt;1),"HATA: oda bu tarihlerde çakışıyor",IF(AND(F785="Bekleniyor",D785&lt;RaporTarihi),"HATA: giriş günü geçti, Geldi veya İptal yapın","OK"))))))))))))</f>
        <v/>
      </c>
      <c r="L785" s="25">
        <f>IF(AND(ISNUMBER(A785),F785&lt;&gt;"İptal",ISNUMBER(D785),ISNUMBER(E785),D785&lt;=RaporTarihi,E785&gt;RaporTarihi),A785,"")</f>
        <v/>
      </c>
    </row>
    <row r="786">
      <c r="A786" s="22" t="n"/>
      <c r="B786" s="22" t="n"/>
      <c r="C786" s="22" t="n"/>
      <c r="D786" s="23" t="n"/>
      <c r="E786" s="23" t="n"/>
      <c r="F786" s="22" t="n"/>
      <c r="G786" s="24" t="n"/>
      <c r="H786" s="22" t="n"/>
      <c r="I786" s="25">
        <f>IF(AND(ISNUMBER(D786),ISNUMBER(E786)),E786-D786,"")</f>
        <v/>
      </c>
      <c r="J786" s="26">
        <f>IF(AND(ISNUMBER(I786),ISNUMBER(G786)),IF(I786&gt;0,G786/I786,""),"")</f>
        <v/>
      </c>
      <c r="K786" s="25">
        <f>IF(COUNTA(A786:H786)=0,"",IF(OR(A786="",B786="",C786="",D786="",E786="",F786="",G786="",H786=""),"HATA: eksik bilgi",IF(COUNTIF(OdaListesi,A786)=0,"HATA: geçersiz oda no",IF(OR(NOT(ISNUMBER(D786)),NOT(ISNUMBER(E786))),"HATA: tarih geçersiz",IF(E786&lt;=D786,"HATA: çıkış girişten sonra olmalı",IF(OR(NOT(ISNUMBER(C786)),C786&lt;1,C786&gt;MaxKisi,C786&lt;&gt;INT(C786)),"HATA: kişi sayısı geçersiz",IF(OR(NOT(ISNUMBER(G786)),G786&lt;0),"HATA: tutar geçersiz",IF(B786&lt;&gt;TRIM(B786),"HATA: isimde baştaki/sondaki boşluk",IF(COUNTIF(KaynakAralik,H786)=0,"HATA: kaynak listede yok",IF(AND(F786&lt;&gt;"Bekleniyor",F786&lt;&gt;"Geldi",F786&lt;&gt;"İptal"),"HATA: giriş durumu geçersiz",IF(AND(F786&lt;&gt;"İptal",COUNTIFS($A$6:$A$1005,A786,$D$6:$D$1005,"&lt;"&amp;E786,$E$6:$E$1005,"&gt;"&amp;D786,$F$6:$F$1005,"&lt;&gt;İptal")&gt;1),"HATA: oda bu tarihlerde çakışıyor",IF(AND(F786="Bekleniyor",D786&lt;RaporTarihi),"HATA: giriş günü geçti, Geldi veya İptal yapın","OK"))))))))))))</f>
        <v/>
      </c>
      <c r="L786" s="25">
        <f>IF(AND(ISNUMBER(A786),F786&lt;&gt;"İptal",ISNUMBER(D786),ISNUMBER(E786),D786&lt;=RaporTarihi,E786&gt;RaporTarihi),A786,"")</f>
        <v/>
      </c>
    </row>
    <row r="787">
      <c r="A787" s="22" t="n"/>
      <c r="B787" s="22" t="n"/>
      <c r="C787" s="22" t="n"/>
      <c r="D787" s="23" t="n"/>
      <c r="E787" s="23" t="n"/>
      <c r="F787" s="22" t="n"/>
      <c r="G787" s="24" t="n"/>
      <c r="H787" s="22" t="n"/>
      <c r="I787" s="25">
        <f>IF(AND(ISNUMBER(D787),ISNUMBER(E787)),E787-D787,"")</f>
        <v/>
      </c>
      <c r="J787" s="26">
        <f>IF(AND(ISNUMBER(I787),ISNUMBER(G787)),IF(I787&gt;0,G787/I787,""),"")</f>
        <v/>
      </c>
      <c r="K787" s="25">
        <f>IF(COUNTA(A787:H787)=0,"",IF(OR(A787="",B787="",C787="",D787="",E787="",F787="",G787="",H787=""),"HATA: eksik bilgi",IF(COUNTIF(OdaListesi,A787)=0,"HATA: geçersiz oda no",IF(OR(NOT(ISNUMBER(D787)),NOT(ISNUMBER(E787))),"HATA: tarih geçersiz",IF(E787&lt;=D787,"HATA: çıkış girişten sonra olmalı",IF(OR(NOT(ISNUMBER(C787)),C787&lt;1,C787&gt;MaxKisi,C787&lt;&gt;INT(C787)),"HATA: kişi sayısı geçersiz",IF(OR(NOT(ISNUMBER(G787)),G787&lt;0),"HATA: tutar geçersiz",IF(B787&lt;&gt;TRIM(B787),"HATA: isimde baştaki/sondaki boşluk",IF(COUNTIF(KaynakAralik,H787)=0,"HATA: kaynak listede yok",IF(AND(F787&lt;&gt;"Bekleniyor",F787&lt;&gt;"Geldi",F787&lt;&gt;"İptal"),"HATA: giriş durumu geçersiz",IF(AND(F787&lt;&gt;"İptal",COUNTIFS($A$6:$A$1005,A787,$D$6:$D$1005,"&lt;"&amp;E787,$E$6:$E$1005,"&gt;"&amp;D787,$F$6:$F$1005,"&lt;&gt;İptal")&gt;1),"HATA: oda bu tarihlerde çakışıyor",IF(AND(F787="Bekleniyor",D787&lt;RaporTarihi),"HATA: giriş günü geçti, Geldi veya İptal yapın","OK"))))))))))))</f>
        <v/>
      </c>
      <c r="L787" s="25">
        <f>IF(AND(ISNUMBER(A787),F787&lt;&gt;"İptal",ISNUMBER(D787),ISNUMBER(E787),D787&lt;=RaporTarihi,E787&gt;RaporTarihi),A787,"")</f>
        <v/>
      </c>
    </row>
    <row r="788">
      <c r="A788" s="22" t="n"/>
      <c r="B788" s="22" t="n"/>
      <c r="C788" s="22" t="n"/>
      <c r="D788" s="23" t="n"/>
      <c r="E788" s="23" t="n"/>
      <c r="F788" s="22" t="n"/>
      <c r="G788" s="24" t="n"/>
      <c r="H788" s="22" t="n"/>
      <c r="I788" s="25">
        <f>IF(AND(ISNUMBER(D788),ISNUMBER(E788)),E788-D788,"")</f>
        <v/>
      </c>
      <c r="J788" s="26">
        <f>IF(AND(ISNUMBER(I788),ISNUMBER(G788)),IF(I788&gt;0,G788/I788,""),"")</f>
        <v/>
      </c>
      <c r="K788" s="25">
        <f>IF(COUNTA(A788:H788)=0,"",IF(OR(A788="",B788="",C788="",D788="",E788="",F788="",G788="",H788=""),"HATA: eksik bilgi",IF(COUNTIF(OdaListesi,A788)=0,"HATA: geçersiz oda no",IF(OR(NOT(ISNUMBER(D788)),NOT(ISNUMBER(E788))),"HATA: tarih geçersiz",IF(E788&lt;=D788,"HATA: çıkış girişten sonra olmalı",IF(OR(NOT(ISNUMBER(C788)),C788&lt;1,C788&gt;MaxKisi,C788&lt;&gt;INT(C788)),"HATA: kişi sayısı geçersiz",IF(OR(NOT(ISNUMBER(G788)),G788&lt;0),"HATA: tutar geçersiz",IF(B788&lt;&gt;TRIM(B788),"HATA: isimde baştaki/sondaki boşluk",IF(COUNTIF(KaynakAralik,H788)=0,"HATA: kaynak listede yok",IF(AND(F788&lt;&gt;"Bekleniyor",F788&lt;&gt;"Geldi",F788&lt;&gt;"İptal"),"HATA: giriş durumu geçersiz",IF(AND(F788&lt;&gt;"İptal",COUNTIFS($A$6:$A$1005,A788,$D$6:$D$1005,"&lt;"&amp;E788,$E$6:$E$1005,"&gt;"&amp;D788,$F$6:$F$1005,"&lt;&gt;İptal")&gt;1),"HATA: oda bu tarihlerde çakışıyor",IF(AND(F788="Bekleniyor",D788&lt;RaporTarihi),"HATA: giriş günü geçti, Geldi veya İptal yapın","OK"))))))))))))</f>
        <v/>
      </c>
      <c r="L788" s="25">
        <f>IF(AND(ISNUMBER(A788),F788&lt;&gt;"İptal",ISNUMBER(D788),ISNUMBER(E788),D788&lt;=RaporTarihi,E788&gt;RaporTarihi),A788,"")</f>
        <v/>
      </c>
    </row>
    <row r="789">
      <c r="A789" s="22" t="n"/>
      <c r="B789" s="22" t="n"/>
      <c r="C789" s="22" t="n"/>
      <c r="D789" s="23" t="n"/>
      <c r="E789" s="23" t="n"/>
      <c r="F789" s="22" t="n"/>
      <c r="G789" s="24" t="n"/>
      <c r="H789" s="22" t="n"/>
      <c r="I789" s="25">
        <f>IF(AND(ISNUMBER(D789),ISNUMBER(E789)),E789-D789,"")</f>
        <v/>
      </c>
      <c r="J789" s="26">
        <f>IF(AND(ISNUMBER(I789),ISNUMBER(G789)),IF(I789&gt;0,G789/I789,""),"")</f>
        <v/>
      </c>
      <c r="K789" s="25">
        <f>IF(COUNTA(A789:H789)=0,"",IF(OR(A789="",B789="",C789="",D789="",E789="",F789="",G789="",H789=""),"HATA: eksik bilgi",IF(COUNTIF(OdaListesi,A789)=0,"HATA: geçersiz oda no",IF(OR(NOT(ISNUMBER(D789)),NOT(ISNUMBER(E789))),"HATA: tarih geçersiz",IF(E789&lt;=D789,"HATA: çıkış girişten sonra olmalı",IF(OR(NOT(ISNUMBER(C789)),C789&lt;1,C789&gt;MaxKisi,C789&lt;&gt;INT(C789)),"HATA: kişi sayısı geçersiz",IF(OR(NOT(ISNUMBER(G789)),G789&lt;0),"HATA: tutar geçersiz",IF(B789&lt;&gt;TRIM(B789),"HATA: isimde baştaki/sondaki boşluk",IF(COUNTIF(KaynakAralik,H789)=0,"HATA: kaynak listede yok",IF(AND(F789&lt;&gt;"Bekleniyor",F789&lt;&gt;"Geldi",F789&lt;&gt;"İptal"),"HATA: giriş durumu geçersiz",IF(AND(F789&lt;&gt;"İptal",COUNTIFS($A$6:$A$1005,A789,$D$6:$D$1005,"&lt;"&amp;E789,$E$6:$E$1005,"&gt;"&amp;D789,$F$6:$F$1005,"&lt;&gt;İptal")&gt;1),"HATA: oda bu tarihlerde çakışıyor",IF(AND(F789="Bekleniyor",D789&lt;RaporTarihi),"HATA: giriş günü geçti, Geldi veya İptal yapın","OK"))))))))))))</f>
        <v/>
      </c>
      <c r="L789" s="25">
        <f>IF(AND(ISNUMBER(A789),F789&lt;&gt;"İptal",ISNUMBER(D789),ISNUMBER(E789),D789&lt;=RaporTarihi,E789&gt;RaporTarihi),A789,"")</f>
        <v/>
      </c>
    </row>
    <row r="790">
      <c r="A790" s="22" t="n"/>
      <c r="B790" s="22" t="n"/>
      <c r="C790" s="22" t="n"/>
      <c r="D790" s="23" t="n"/>
      <c r="E790" s="23" t="n"/>
      <c r="F790" s="22" t="n"/>
      <c r="G790" s="24" t="n"/>
      <c r="H790" s="22" t="n"/>
      <c r="I790" s="25">
        <f>IF(AND(ISNUMBER(D790),ISNUMBER(E790)),E790-D790,"")</f>
        <v/>
      </c>
      <c r="J790" s="26">
        <f>IF(AND(ISNUMBER(I790),ISNUMBER(G790)),IF(I790&gt;0,G790/I790,""),"")</f>
        <v/>
      </c>
      <c r="K790" s="25">
        <f>IF(COUNTA(A790:H790)=0,"",IF(OR(A790="",B790="",C790="",D790="",E790="",F790="",G790="",H790=""),"HATA: eksik bilgi",IF(COUNTIF(OdaListesi,A790)=0,"HATA: geçersiz oda no",IF(OR(NOT(ISNUMBER(D790)),NOT(ISNUMBER(E790))),"HATA: tarih geçersiz",IF(E790&lt;=D790,"HATA: çıkış girişten sonra olmalı",IF(OR(NOT(ISNUMBER(C790)),C790&lt;1,C790&gt;MaxKisi,C790&lt;&gt;INT(C790)),"HATA: kişi sayısı geçersiz",IF(OR(NOT(ISNUMBER(G790)),G790&lt;0),"HATA: tutar geçersiz",IF(B790&lt;&gt;TRIM(B790),"HATA: isimde baştaki/sondaki boşluk",IF(COUNTIF(KaynakAralik,H790)=0,"HATA: kaynak listede yok",IF(AND(F790&lt;&gt;"Bekleniyor",F790&lt;&gt;"Geldi",F790&lt;&gt;"İptal"),"HATA: giriş durumu geçersiz",IF(AND(F790&lt;&gt;"İptal",COUNTIFS($A$6:$A$1005,A790,$D$6:$D$1005,"&lt;"&amp;E790,$E$6:$E$1005,"&gt;"&amp;D790,$F$6:$F$1005,"&lt;&gt;İptal")&gt;1),"HATA: oda bu tarihlerde çakışıyor",IF(AND(F790="Bekleniyor",D790&lt;RaporTarihi),"HATA: giriş günü geçti, Geldi veya İptal yapın","OK"))))))))))))</f>
        <v/>
      </c>
      <c r="L790" s="25">
        <f>IF(AND(ISNUMBER(A790),F790&lt;&gt;"İptal",ISNUMBER(D790),ISNUMBER(E790),D790&lt;=RaporTarihi,E790&gt;RaporTarihi),A790,"")</f>
        <v/>
      </c>
    </row>
    <row r="791">
      <c r="A791" s="22" t="n"/>
      <c r="B791" s="22" t="n"/>
      <c r="C791" s="22" t="n"/>
      <c r="D791" s="23" t="n"/>
      <c r="E791" s="23" t="n"/>
      <c r="F791" s="22" t="n"/>
      <c r="G791" s="24" t="n"/>
      <c r="H791" s="22" t="n"/>
      <c r="I791" s="25">
        <f>IF(AND(ISNUMBER(D791),ISNUMBER(E791)),E791-D791,"")</f>
        <v/>
      </c>
      <c r="J791" s="26">
        <f>IF(AND(ISNUMBER(I791),ISNUMBER(G791)),IF(I791&gt;0,G791/I791,""),"")</f>
        <v/>
      </c>
      <c r="K791" s="25">
        <f>IF(COUNTA(A791:H791)=0,"",IF(OR(A791="",B791="",C791="",D791="",E791="",F791="",G791="",H791=""),"HATA: eksik bilgi",IF(COUNTIF(OdaListesi,A791)=0,"HATA: geçersiz oda no",IF(OR(NOT(ISNUMBER(D791)),NOT(ISNUMBER(E791))),"HATA: tarih geçersiz",IF(E791&lt;=D791,"HATA: çıkış girişten sonra olmalı",IF(OR(NOT(ISNUMBER(C791)),C791&lt;1,C791&gt;MaxKisi,C791&lt;&gt;INT(C791)),"HATA: kişi sayısı geçersiz",IF(OR(NOT(ISNUMBER(G791)),G791&lt;0),"HATA: tutar geçersiz",IF(B791&lt;&gt;TRIM(B791),"HATA: isimde baştaki/sondaki boşluk",IF(COUNTIF(KaynakAralik,H791)=0,"HATA: kaynak listede yok",IF(AND(F791&lt;&gt;"Bekleniyor",F791&lt;&gt;"Geldi",F791&lt;&gt;"İptal"),"HATA: giriş durumu geçersiz",IF(AND(F791&lt;&gt;"İptal",COUNTIFS($A$6:$A$1005,A791,$D$6:$D$1005,"&lt;"&amp;E791,$E$6:$E$1005,"&gt;"&amp;D791,$F$6:$F$1005,"&lt;&gt;İptal")&gt;1),"HATA: oda bu tarihlerde çakışıyor",IF(AND(F791="Bekleniyor",D791&lt;RaporTarihi),"HATA: giriş günü geçti, Geldi veya İptal yapın","OK"))))))))))))</f>
        <v/>
      </c>
      <c r="L791" s="25">
        <f>IF(AND(ISNUMBER(A791),F791&lt;&gt;"İptal",ISNUMBER(D791),ISNUMBER(E791),D791&lt;=RaporTarihi,E791&gt;RaporTarihi),A791,"")</f>
        <v/>
      </c>
    </row>
    <row r="792">
      <c r="A792" s="22" t="n"/>
      <c r="B792" s="22" t="n"/>
      <c r="C792" s="22" t="n"/>
      <c r="D792" s="23" t="n"/>
      <c r="E792" s="23" t="n"/>
      <c r="F792" s="22" t="n"/>
      <c r="G792" s="24" t="n"/>
      <c r="H792" s="22" t="n"/>
      <c r="I792" s="25">
        <f>IF(AND(ISNUMBER(D792),ISNUMBER(E792)),E792-D792,"")</f>
        <v/>
      </c>
      <c r="J792" s="26">
        <f>IF(AND(ISNUMBER(I792),ISNUMBER(G792)),IF(I792&gt;0,G792/I792,""),"")</f>
        <v/>
      </c>
      <c r="K792" s="25">
        <f>IF(COUNTA(A792:H792)=0,"",IF(OR(A792="",B792="",C792="",D792="",E792="",F792="",G792="",H792=""),"HATA: eksik bilgi",IF(COUNTIF(OdaListesi,A792)=0,"HATA: geçersiz oda no",IF(OR(NOT(ISNUMBER(D792)),NOT(ISNUMBER(E792))),"HATA: tarih geçersiz",IF(E792&lt;=D792,"HATA: çıkış girişten sonra olmalı",IF(OR(NOT(ISNUMBER(C792)),C792&lt;1,C792&gt;MaxKisi,C792&lt;&gt;INT(C792)),"HATA: kişi sayısı geçersiz",IF(OR(NOT(ISNUMBER(G792)),G792&lt;0),"HATA: tutar geçersiz",IF(B792&lt;&gt;TRIM(B792),"HATA: isimde baştaki/sondaki boşluk",IF(COUNTIF(KaynakAralik,H792)=0,"HATA: kaynak listede yok",IF(AND(F792&lt;&gt;"Bekleniyor",F792&lt;&gt;"Geldi",F792&lt;&gt;"İptal"),"HATA: giriş durumu geçersiz",IF(AND(F792&lt;&gt;"İptal",COUNTIFS($A$6:$A$1005,A792,$D$6:$D$1005,"&lt;"&amp;E792,$E$6:$E$1005,"&gt;"&amp;D792,$F$6:$F$1005,"&lt;&gt;İptal")&gt;1),"HATA: oda bu tarihlerde çakışıyor",IF(AND(F792="Bekleniyor",D792&lt;RaporTarihi),"HATA: giriş günü geçti, Geldi veya İptal yapın","OK"))))))))))))</f>
        <v/>
      </c>
      <c r="L792" s="25">
        <f>IF(AND(ISNUMBER(A792),F792&lt;&gt;"İptal",ISNUMBER(D792),ISNUMBER(E792),D792&lt;=RaporTarihi,E792&gt;RaporTarihi),A792,"")</f>
        <v/>
      </c>
    </row>
    <row r="793">
      <c r="A793" s="22" t="n"/>
      <c r="B793" s="22" t="n"/>
      <c r="C793" s="22" t="n"/>
      <c r="D793" s="23" t="n"/>
      <c r="E793" s="23" t="n"/>
      <c r="F793" s="22" t="n"/>
      <c r="G793" s="24" t="n"/>
      <c r="H793" s="22" t="n"/>
      <c r="I793" s="25">
        <f>IF(AND(ISNUMBER(D793),ISNUMBER(E793)),E793-D793,"")</f>
        <v/>
      </c>
      <c r="J793" s="26">
        <f>IF(AND(ISNUMBER(I793),ISNUMBER(G793)),IF(I793&gt;0,G793/I793,""),"")</f>
        <v/>
      </c>
      <c r="K793" s="25">
        <f>IF(COUNTA(A793:H793)=0,"",IF(OR(A793="",B793="",C793="",D793="",E793="",F793="",G793="",H793=""),"HATA: eksik bilgi",IF(COUNTIF(OdaListesi,A793)=0,"HATA: geçersiz oda no",IF(OR(NOT(ISNUMBER(D793)),NOT(ISNUMBER(E793))),"HATA: tarih geçersiz",IF(E793&lt;=D793,"HATA: çıkış girişten sonra olmalı",IF(OR(NOT(ISNUMBER(C793)),C793&lt;1,C793&gt;MaxKisi,C793&lt;&gt;INT(C793)),"HATA: kişi sayısı geçersiz",IF(OR(NOT(ISNUMBER(G793)),G793&lt;0),"HATA: tutar geçersiz",IF(B793&lt;&gt;TRIM(B793),"HATA: isimde baştaki/sondaki boşluk",IF(COUNTIF(KaynakAralik,H793)=0,"HATA: kaynak listede yok",IF(AND(F793&lt;&gt;"Bekleniyor",F793&lt;&gt;"Geldi",F793&lt;&gt;"İptal"),"HATA: giriş durumu geçersiz",IF(AND(F793&lt;&gt;"İptal",COUNTIFS($A$6:$A$1005,A793,$D$6:$D$1005,"&lt;"&amp;E793,$E$6:$E$1005,"&gt;"&amp;D793,$F$6:$F$1005,"&lt;&gt;İptal")&gt;1),"HATA: oda bu tarihlerde çakışıyor",IF(AND(F793="Bekleniyor",D793&lt;RaporTarihi),"HATA: giriş günü geçti, Geldi veya İptal yapın","OK"))))))))))))</f>
        <v/>
      </c>
      <c r="L793" s="25">
        <f>IF(AND(ISNUMBER(A793),F793&lt;&gt;"İptal",ISNUMBER(D793),ISNUMBER(E793),D793&lt;=RaporTarihi,E793&gt;RaporTarihi),A793,"")</f>
        <v/>
      </c>
    </row>
    <row r="794">
      <c r="A794" s="22" t="n"/>
      <c r="B794" s="22" t="n"/>
      <c r="C794" s="22" t="n"/>
      <c r="D794" s="23" t="n"/>
      <c r="E794" s="23" t="n"/>
      <c r="F794" s="22" t="n"/>
      <c r="G794" s="24" t="n"/>
      <c r="H794" s="22" t="n"/>
      <c r="I794" s="25">
        <f>IF(AND(ISNUMBER(D794),ISNUMBER(E794)),E794-D794,"")</f>
        <v/>
      </c>
      <c r="J794" s="26">
        <f>IF(AND(ISNUMBER(I794),ISNUMBER(G794)),IF(I794&gt;0,G794/I794,""),"")</f>
        <v/>
      </c>
      <c r="K794" s="25">
        <f>IF(COUNTA(A794:H794)=0,"",IF(OR(A794="",B794="",C794="",D794="",E794="",F794="",G794="",H794=""),"HATA: eksik bilgi",IF(COUNTIF(OdaListesi,A794)=0,"HATA: geçersiz oda no",IF(OR(NOT(ISNUMBER(D794)),NOT(ISNUMBER(E794))),"HATA: tarih geçersiz",IF(E794&lt;=D794,"HATA: çıkış girişten sonra olmalı",IF(OR(NOT(ISNUMBER(C794)),C794&lt;1,C794&gt;MaxKisi,C794&lt;&gt;INT(C794)),"HATA: kişi sayısı geçersiz",IF(OR(NOT(ISNUMBER(G794)),G794&lt;0),"HATA: tutar geçersiz",IF(B794&lt;&gt;TRIM(B794),"HATA: isimde baştaki/sondaki boşluk",IF(COUNTIF(KaynakAralik,H794)=0,"HATA: kaynak listede yok",IF(AND(F794&lt;&gt;"Bekleniyor",F794&lt;&gt;"Geldi",F794&lt;&gt;"İptal"),"HATA: giriş durumu geçersiz",IF(AND(F794&lt;&gt;"İptal",COUNTIFS($A$6:$A$1005,A794,$D$6:$D$1005,"&lt;"&amp;E794,$E$6:$E$1005,"&gt;"&amp;D794,$F$6:$F$1005,"&lt;&gt;İptal")&gt;1),"HATA: oda bu tarihlerde çakışıyor",IF(AND(F794="Bekleniyor",D794&lt;RaporTarihi),"HATA: giriş günü geçti, Geldi veya İptal yapın","OK"))))))))))))</f>
        <v/>
      </c>
      <c r="L794" s="25">
        <f>IF(AND(ISNUMBER(A794),F794&lt;&gt;"İptal",ISNUMBER(D794),ISNUMBER(E794),D794&lt;=RaporTarihi,E794&gt;RaporTarihi),A794,"")</f>
        <v/>
      </c>
    </row>
    <row r="795">
      <c r="A795" s="22" t="n"/>
      <c r="B795" s="22" t="n"/>
      <c r="C795" s="22" t="n"/>
      <c r="D795" s="23" t="n"/>
      <c r="E795" s="23" t="n"/>
      <c r="F795" s="22" t="n"/>
      <c r="G795" s="24" t="n"/>
      <c r="H795" s="22" t="n"/>
      <c r="I795" s="25">
        <f>IF(AND(ISNUMBER(D795),ISNUMBER(E795)),E795-D795,"")</f>
        <v/>
      </c>
      <c r="J795" s="26">
        <f>IF(AND(ISNUMBER(I795),ISNUMBER(G795)),IF(I795&gt;0,G795/I795,""),"")</f>
        <v/>
      </c>
      <c r="K795" s="25">
        <f>IF(COUNTA(A795:H795)=0,"",IF(OR(A795="",B795="",C795="",D795="",E795="",F795="",G795="",H795=""),"HATA: eksik bilgi",IF(COUNTIF(OdaListesi,A795)=0,"HATA: geçersiz oda no",IF(OR(NOT(ISNUMBER(D795)),NOT(ISNUMBER(E795))),"HATA: tarih geçersiz",IF(E795&lt;=D795,"HATA: çıkış girişten sonra olmalı",IF(OR(NOT(ISNUMBER(C795)),C795&lt;1,C795&gt;MaxKisi,C795&lt;&gt;INT(C795)),"HATA: kişi sayısı geçersiz",IF(OR(NOT(ISNUMBER(G795)),G795&lt;0),"HATA: tutar geçersiz",IF(B795&lt;&gt;TRIM(B795),"HATA: isimde baştaki/sondaki boşluk",IF(COUNTIF(KaynakAralik,H795)=0,"HATA: kaynak listede yok",IF(AND(F795&lt;&gt;"Bekleniyor",F795&lt;&gt;"Geldi",F795&lt;&gt;"İptal"),"HATA: giriş durumu geçersiz",IF(AND(F795&lt;&gt;"İptal",COUNTIFS($A$6:$A$1005,A795,$D$6:$D$1005,"&lt;"&amp;E795,$E$6:$E$1005,"&gt;"&amp;D795,$F$6:$F$1005,"&lt;&gt;İptal")&gt;1),"HATA: oda bu tarihlerde çakışıyor",IF(AND(F795="Bekleniyor",D795&lt;RaporTarihi),"HATA: giriş günü geçti, Geldi veya İptal yapın","OK"))))))))))))</f>
        <v/>
      </c>
      <c r="L795" s="25">
        <f>IF(AND(ISNUMBER(A795),F795&lt;&gt;"İptal",ISNUMBER(D795),ISNUMBER(E795),D795&lt;=RaporTarihi,E795&gt;RaporTarihi),A795,"")</f>
        <v/>
      </c>
    </row>
    <row r="796">
      <c r="A796" s="22" t="n"/>
      <c r="B796" s="22" t="n"/>
      <c r="C796" s="22" t="n"/>
      <c r="D796" s="23" t="n"/>
      <c r="E796" s="23" t="n"/>
      <c r="F796" s="22" t="n"/>
      <c r="G796" s="24" t="n"/>
      <c r="H796" s="22" t="n"/>
      <c r="I796" s="25">
        <f>IF(AND(ISNUMBER(D796),ISNUMBER(E796)),E796-D796,"")</f>
        <v/>
      </c>
      <c r="J796" s="26">
        <f>IF(AND(ISNUMBER(I796),ISNUMBER(G796)),IF(I796&gt;0,G796/I796,""),"")</f>
        <v/>
      </c>
      <c r="K796" s="25">
        <f>IF(COUNTA(A796:H796)=0,"",IF(OR(A796="",B796="",C796="",D796="",E796="",F796="",G796="",H796=""),"HATA: eksik bilgi",IF(COUNTIF(OdaListesi,A796)=0,"HATA: geçersiz oda no",IF(OR(NOT(ISNUMBER(D796)),NOT(ISNUMBER(E796))),"HATA: tarih geçersiz",IF(E796&lt;=D796,"HATA: çıkış girişten sonra olmalı",IF(OR(NOT(ISNUMBER(C796)),C796&lt;1,C796&gt;MaxKisi,C796&lt;&gt;INT(C796)),"HATA: kişi sayısı geçersiz",IF(OR(NOT(ISNUMBER(G796)),G796&lt;0),"HATA: tutar geçersiz",IF(B796&lt;&gt;TRIM(B796),"HATA: isimde baştaki/sondaki boşluk",IF(COUNTIF(KaynakAralik,H796)=0,"HATA: kaynak listede yok",IF(AND(F796&lt;&gt;"Bekleniyor",F796&lt;&gt;"Geldi",F796&lt;&gt;"İptal"),"HATA: giriş durumu geçersiz",IF(AND(F796&lt;&gt;"İptal",COUNTIFS($A$6:$A$1005,A796,$D$6:$D$1005,"&lt;"&amp;E796,$E$6:$E$1005,"&gt;"&amp;D796,$F$6:$F$1005,"&lt;&gt;İptal")&gt;1),"HATA: oda bu tarihlerde çakışıyor",IF(AND(F796="Bekleniyor",D796&lt;RaporTarihi),"HATA: giriş günü geçti, Geldi veya İptal yapın","OK"))))))))))))</f>
        <v/>
      </c>
      <c r="L796" s="25">
        <f>IF(AND(ISNUMBER(A796),F796&lt;&gt;"İptal",ISNUMBER(D796),ISNUMBER(E796),D796&lt;=RaporTarihi,E796&gt;RaporTarihi),A796,"")</f>
        <v/>
      </c>
    </row>
    <row r="797">
      <c r="A797" s="22" t="n"/>
      <c r="B797" s="22" t="n"/>
      <c r="C797" s="22" t="n"/>
      <c r="D797" s="23" t="n"/>
      <c r="E797" s="23" t="n"/>
      <c r="F797" s="22" t="n"/>
      <c r="G797" s="24" t="n"/>
      <c r="H797" s="22" t="n"/>
      <c r="I797" s="25">
        <f>IF(AND(ISNUMBER(D797),ISNUMBER(E797)),E797-D797,"")</f>
        <v/>
      </c>
      <c r="J797" s="26">
        <f>IF(AND(ISNUMBER(I797),ISNUMBER(G797)),IF(I797&gt;0,G797/I797,""),"")</f>
        <v/>
      </c>
      <c r="K797" s="25">
        <f>IF(COUNTA(A797:H797)=0,"",IF(OR(A797="",B797="",C797="",D797="",E797="",F797="",G797="",H797=""),"HATA: eksik bilgi",IF(COUNTIF(OdaListesi,A797)=0,"HATA: geçersiz oda no",IF(OR(NOT(ISNUMBER(D797)),NOT(ISNUMBER(E797))),"HATA: tarih geçersiz",IF(E797&lt;=D797,"HATA: çıkış girişten sonra olmalı",IF(OR(NOT(ISNUMBER(C797)),C797&lt;1,C797&gt;MaxKisi,C797&lt;&gt;INT(C797)),"HATA: kişi sayısı geçersiz",IF(OR(NOT(ISNUMBER(G797)),G797&lt;0),"HATA: tutar geçersiz",IF(B797&lt;&gt;TRIM(B797),"HATA: isimde baştaki/sondaki boşluk",IF(COUNTIF(KaynakAralik,H797)=0,"HATA: kaynak listede yok",IF(AND(F797&lt;&gt;"Bekleniyor",F797&lt;&gt;"Geldi",F797&lt;&gt;"İptal"),"HATA: giriş durumu geçersiz",IF(AND(F797&lt;&gt;"İptal",COUNTIFS($A$6:$A$1005,A797,$D$6:$D$1005,"&lt;"&amp;E797,$E$6:$E$1005,"&gt;"&amp;D797,$F$6:$F$1005,"&lt;&gt;İptal")&gt;1),"HATA: oda bu tarihlerde çakışıyor",IF(AND(F797="Bekleniyor",D797&lt;RaporTarihi),"HATA: giriş günü geçti, Geldi veya İptal yapın","OK"))))))))))))</f>
        <v/>
      </c>
      <c r="L797" s="25">
        <f>IF(AND(ISNUMBER(A797),F797&lt;&gt;"İptal",ISNUMBER(D797),ISNUMBER(E797),D797&lt;=RaporTarihi,E797&gt;RaporTarihi),A797,"")</f>
        <v/>
      </c>
    </row>
    <row r="798">
      <c r="A798" s="22" t="n"/>
      <c r="B798" s="22" t="n"/>
      <c r="C798" s="22" t="n"/>
      <c r="D798" s="23" t="n"/>
      <c r="E798" s="23" t="n"/>
      <c r="F798" s="22" t="n"/>
      <c r="G798" s="24" t="n"/>
      <c r="H798" s="22" t="n"/>
      <c r="I798" s="25">
        <f>IF(AND(ISNUMBER(D798),ISNUMBER(E798)),E798-D798,"")</f>
        <v/>
      </c>
      <c r="J798" s="26">
        <f>IF(AND(ISNUMBER(I798),ISNUMBER(G798)),IF(I798&gt;0,G798/I798,""),"")</f>
        <v/>
      </c>
      <c r="K798" s="25">
        <f>IF(COUNTA(A798:H798)=0,"",IF(OR(A798="",B798="",C798="",D798="",E798="",F798="",G798="",H798=""),"HATA: eksik bilgi",IF(COUNTIF(OdaListesi,A798)=0,"HATA: geçersiz oda no",IF(OR(NOT(ISNUMBER(D798)),NOT(ISNUMBER(E798))),"HATA: tarih geçersiz",IF(E798&lt;=D798,"HATA: çıkış girişten sonra olmalı",IF(OR(NOT(ISNUMBER(C798)),C798&lt;1,C798&gt;MaxKisi,C798&lt;&gt;INT(C798)),"HATA: kişi sayısı geçersiz",IF(OR(NOT(ISNUMBER(G798)),G798&lt;0),"HATA: tutar geçersiz",IF(B798&lt;&gt;TRIM(B798),"HATA: isimde baştaki/sondaki boşluk",IF(COUNTIF(KaynakAralik,H798)=0,"HATA: kaynak listede yok",IF(AND(F798&lt;&gt;"Bekleniyor",F798&lt;&gt;"Geldi",F798&lt;&gt;"İptal"),"HATA: giriş durumu geçersiz",IF(AND(F798&lt;&gt;"İptal",COUNTIFS($A$6:$A$1005,A798,$D$6:$D$1005,"&lt;"&amp;E798,$E$6:$E$1005,"&gt;"&amp;D798,$F$6:$F$1005,"&lt;&gt;İptal")&gt;1),"HATA: oda bu tarihlerde çakışıyor",IF(AND(F798="Bekleniyor",D798&lt;RaporTarihi),"HATA: giriş günü geçti, Geldi veya İptal yapın","OK"))))))))))))</f>
        <v/>
      </c>
      <c r="L798" s="25">
        <f>IF(AND(ISNUMBER(A798),F798&lt;&gt;"İptal",ISNUMBER(D798),ISNUMBER(E798),D798&lt;=RaporTarihi,E798&gt;RaporTarihi),A798,"")</f>
        <v/>
      </c>
    </row>
    <row r="799">
      <c r="A799" s="22" t="n"/>
      <c r="B799" s="22" t="n"/>
      <c r="C799" s="22" t="n"/>
      <c r="D799" s="23" t="n"/>
      <c r="E799" s="23" t="n"/>
      <c r="F799" s="22" t="n"/>
      <c r="G799" s="24" t="n"/>
      <c r="H799" s="22" t="n"/>
      <c r="I799" s="25">
        <f>IF(AND(ISNUMBER(D799),ISNUMBER(E799)),E799-D799,"")</f>
        <v/>
      </c>
      <c r="J799" s="26">
        <f>IF(AND(ISNUMBER(I799),ISNUMBER(G799)),IF(I799&gt;0,G799/I799,""),"")</f>
        <v/>
      </c>
      <c r="K799" s="25">
        <f>IF(COUNTA(A799:H799)=0,"",IF(OR(A799="",B799="",C799="",D799="",E799="",F799="",G799="",H799=""),"HATA: eksik bilgi",IF(COUNTIF(OdaListesi,A799)=0,"HATA: geçersiz oda no",IF(OR(NOT(ISNUMBER(D799)),NOT(ISNUMBER(E799))),"HATA: tarih geçersiz",IF(E799&lt;=D799,"HATA: çıkış girişten sonra olmalı",IF(OR(NOT(ISNUMBER(C799)),C799&lt;1,C799&gt;MaxKisi,C799&lt;&gt;INT(C799)),"HATA: kişi sayısı geçersiz",IF(OR(NOT(ISNUMBER(G799)),G799&lt;0),"HATA: tutar geçersiz",IF(B799&lt;&gt;TRIM(B799),"HATA: isimde baştaki/sondaki boşluk",IF(COUNTIF(KaynakAralik,H799)=0,"HATA: kaynak listede yok",IF(AND(F799&lt;&gt;"Bekleniyor",F799&lt;&gt;"Geldi",F799&lt;&gt;"İptal"),"HATA: giriş durumu geçersiz",IF(AND(F799&lt;&gt;"İptal",COUNTIFS($A$6:$A$1005,A799,$D$6:$D$1005,"&lt;"&amp;E799,$E$6:$E$1005,"&gt;"&amp;D799,$F$6:$F$1005,"&lt;&gt;İptal")&gt;1),"HATA: oda bu tarihlerde çakışıyor",IF(AND(F799="Bekleniyor",D799&lt;RaporTarihi),"HATA: giriş günü geçti, Geldi veya İptal yapın","OK"))))))))))))</f>
        <v/>
      </c>
      <c r="L799" s="25">
        <f>IF(AND(ISNUMBER(A799),F799&lt;&gt;"İptal",ISNUMBER(D799),ISNUMBER(E799),D799&lt;=RaporTarihi,E799&gt;RaporTarihi),A799,"")</f>
        <v/>
      </c>
    </row>
    <row r="800">
      <c r="A800" s="22" t="n"/>
      <c r="B800" s="22" t="n"/>
      <c r="C800" s="22" t="n"/>
      <c r="D800" s="23" t="n"/>
      <c r="E800" s="23" t="n"/>
      <c r="F800" s="22" t="n"/>
      <c r="G800" s="24" t="n"/>
      <c r="H800" s="22" t="n"/>
      <c r="I800" s="25">
        <f>IF(AND(ISNUMBER(D800),ISNUMBER(E800)),E800-D800,"")</f>
        <v/>
      </c>
      <c r="J800" s="26">
        <f>IF(AND(ISNUMBER(I800),ISNUMBER(G800)),IF(I800&gt;0,G800/I800,""),"")</f>
        <v/>
      </c>
      <c r="K800" s="25">
        <f>IF(COUNTA(A800:H800)=0,"",IF(OR(A800="",B800="",C800="",D800="",E800="",F800="",G800="",H800=""),"HATA: eksik bilgi",IF(COUNTIF(OdaListesi,A800)=0,"HATA: geçersiz oda no",IF(OR(NOT(ISNUMBER(D800)),NOT(ISNUMBER(E800))),"HATA: tarih geçersiz",IF(E800&lt;=D800,"HATA: çıkış girişten sonra olmalı",IF(OR(NOT(ISNUMBER(C800)),C800&lt;1,C800&gt;MaxKisi,C800&lt;&gt;INT(C800)),"HATA: kişi sayısı geçersiz",IF(OR(NOT(ISNUMBER(G800)),G800&lt;0),"HATA: tutar geçersiz",IF(B800&lt;&gt;TRIM(B800),"HATA: isimde baştaki/sondaki boşluk",IF(COUNTIF(KaynakAralik,H800)=0,"HATA: kaynak listede yok",IF(AND(F800&lt;&gt;"Bekleniyor",F800&lt;&gt;"Geldi",F800&lt;&gt;"İptal"),"HATA: giriş durumu geçersiz",IF(AND(F800&lt;&gt;"İptal",COUNTIFS($A$6:$A$1005,A800,$D$6:$D$1005,"&lt;"&amp;E800,$E$6:$E$1005,"&gt;"&amp;D800,$F$6:$F$1005,"&lt;&gt;İptal")&gt;1),"HATA: oda bu tarihlerde çakışıyor",IF(AND(F800="Bekleniyor",D800&lt;RaporTarihi),"HATA: giriş günü geçti, Geldi veya İptal yapın","OK"))))))))))))</f>
        <v/>
      </c>
      <c r="L800" s="25">
        <f>IF(AND(ISNUMBER(A800),F800&lt;&gt;"İptal",ISNUMBER(D800),ISNUMBER(E800),D800&lt;=RaporTarihi,E800&gt;RaporTarihi),A800,"")</f>
        <v/>
      </c>
    </row>
    <row r="801">
      <c r="A801" s="22" t="n"/>
      <c r="B801" s="22" t="n"/>
      <c r="C801" s="22" t="n"/>
      <c r="D801" s="23" t="n"/>
      <c r="E801" s="23" t="n"/>
      <c r="F801" s="22" t="n"/>
      <c r="G801" s="24" t="n"/>
      <c r="H801" s="22" t="n"/>
      <c r="I801" s="25">
        <f>IF(AND(ISNUMBER(D801),ISNUMBER(E801)),E801-D801,"")</f>
        <v/>
      </c>
      <c r="J801" s="26">
        <f>IF(AND(ISNUMBER(I801),ISNUMBER(G801)),IF(I801&gt;0,G801/I801,""),"")</f>
        <v/>
      </c>
      <c r="K801" s="25">
        <f>IF(COUNTA(A801:H801)=0,"",IF(OR(A801="",B801="",C801="",D801="",E801="",F801="",G801="",H801=""),"HATA: eksik bilgi",IF(COUNTIF(OdaListesi,A801)=0,"HATA: geçersiz oda no",IF(OR(NOT(ISNUMBER(D801)),NOT(ISNUMBER(E801))),"HATA: tarih geçersiz",IF(E801&lt;=D801,"HATA: çıkış girişten sonra olmalı",IF(OR(NOT(ISNUMBER(C801)),C801&lt;1,C801&gt;MaxKisi,C801&lt;&gt;INT(C801)),"HATA: kişi sayısı geçersiz",IF(OR(NOT(ISNUMBER(G801)),G801&lt;0),"HATA: tutar geçersiz",IF(B801&lt;&gt;TRIM(B801),"HATA: isimde baştaki/sondaki boşluk",IF(COUNTIF(KaynakAralik,H801)=0,"HATA: kaynak listede yok",IF(AND(F801&lt;&gt;"Bekleniyor",F801&lt;&gt;"Geldi",F801&lt;&gt;"İptal"),"HATA: giriş durumu geçersiz",IF(AND(F801&lt;&gt;"İptal",COUNTIFS($A$6:$A$1005,A801,$D$6:$D$1005,"&lt;"&amp;E801,$E$6:$E$1005,"&gt;"&amp;D801,$F$6:$F$1005,"&lt;&gt;İptal")&gt;1),"HATA: oda bu tarihlerde çakışıyor",IF(AND(F801="Bekleniyor",D801&lt;RaporTarihi),"HATA: giriş günü geçti, Geldi veya İptal yapın","OK"))))))))))))</f>
        <v/>
      </c>
      <c r="L801" s="25">
        <f>IF(AND(ISNUMBER(A801),F801&lt;&gt;"İptal",ISNUMBER(D801),ISNUMBER(E801),D801&lt;=RaporTarihi,E801&gt;RaporTarihi),A801,"")</f>
        <v/>
      </c>
    </row>
    <row r="802">
      <c r="A802" s="22" t="n"/>
      <c r="B802" s="22" t="n"/>
      <c r="C802" s="22" t="n"/>
      <c r="D802" s="23" t="n"/>
      <c r="E802" s="23" t="n"/>
      <c r="F802" s="22" t="n"/>
      <c r="G802" s="24" t="n"/>
      <c r="H802" s="22" t="n"/>
      <c r="I802" s="25">
        <f>IF(AND(ISNUMBER(D802),ISNUMBER(E802)),E802-D802,"")</f>
        <v/>
      </c>
      <c r="J802" s="26">
        <f>IF(AND(ISNUMBER(I802),ISNUMBER(G802)),IF(I802&gt;0,G802/I802,""),"")</f>
        <v/>
      </c>
      <c r="K802" s="25">
        <f>IF(COUNTA(A802:H802)=0,"",IF(OR(A802="",B802="",C802="",D802="",E802="",F802="",G802="",H802=""),"HATA: eksik bilgi",IF(COUNTIF(OdaListesi,A802)=0,"HATA: geçersiz oda no",IF(OR(NOT(ISNUMBER(D802)),NOT(ISNUMBER(E802))),"HATA: tarih geçersiz",IF(E802&lt;=D802,"HATA: çıkış girişten sonra olmalı",IF(OR(NOT(ISNUMBER(C802)),C802&lt;1,C802&gt;MaxKisi,C802&lt;&gt;INT(C802)),"HATA: kişi sayısı geçersiz",IF(OR(NOT(ISNUMBER(G802)),G802&lt;0),"HATA: tutar geçersiz",IF(B802&lt;&gt;TRIM(B802),"HATA: isimde baştaki/sondaki boşluk",IF(COUNTIF(KaynakAralik,H802)=0,"HATA: kaynak listede yok",IF(AND(F802&lt;&gt;"Bekleniyor",F802&lt;&gt;"Geldi",F802&lt;&gt;"İptal"),"HATA: giriş durumu geçersiz",IF(AND(F802&lt;&gt;"İptal",COUNTIFS($A$6:$A$1005,A802,$D$6:$D$1005,"&lt;"&amp;E802,$E$6:$E$1005,"&gt;"&amp;D802,$F$6:$F$1005,"&lt;&gt;İptal")&gt;1),"HATA: oda bu tarihlerde çakışıyor",IF(AND(F802="Bekleniyor",D802&lt;RaporTarihi),"HATA: giriş günü geçti, Geldi veya İptal yapın","OK"))))))))))))</f>
        <v/>
      </c>
      <c r="L802" s="25">
        <f>IF(AND(ISNUMBER(A802),F802&lt;&gt;"İptal",ISNUMBER(D802),ISNUMBER(E802),D802&lt;=RaporTarihi,E802&gt;RaporTarihi),A802,"")</f>
        <v/>
      </c>
    </row>
    <row r="803">
      <c r="A803" s="22" t="n"/>
      <c r="B803" s="22" t="n"/>
      <c r="C803" s="22" t="n"/>
      <c r="D803" s="23" t="n"/>
      <c r="E803" s="23" t="n"/>
      <c r="F803" s="22" t="n"/>
      <c r="G803" s="24" t="n"/>
      <c r="H803" s="22" t="n"/>
      <c r="I803" s="25">
        <f>IF(AND(ISNUMBER(D803),ISNUMBER(E803)),E803-D803,"")</f>
        <v/>
      </c>
      <c r="J803" s="26">
        <f>IF(AND(ISNUMBER(I803),ISNUMBER(G803)),IF(I803&gt;0,G803/I803,""),"")</f>
        <v/>
      </c>
      <c r="K803" s="25">
        <f>IF(COUNTA(A803:H803)=0,"",IF(OR(A803="",B803="",C803="",D803="",E803="",F803="",G803="",H803=""),"HATA: eksik bilgi",IF(COUNTIF(OdaListesi,A803)=0,"HATA: geçersiz oda no",IF(OR(NOT(ISNUMBER(D803)),NOT(ISNUMBER(E803))),"HATA: tarih geçersiz",IF(E803&lt;=D803,"HATA: çıkış girişten sonra olmalı",IF(OR(NOT(ISNUMBER(C803)),C803&lt;1,C803&gt;MaxKisi,C803&lt;&gt;INT(C803)),"HATA: kişi sayısı geçersiz",IF(OR(NOT(ISNUMBER(G803)),G803&lt;0),"HATA: tutar geçersiz",IF(B803&lt;&gt;TRIM(B803),"HATA: isimde baştaki/sondaki boşluk",IF(COUNTIF(KaynakAralik,H803)=0,"HATA: kaynak listede yok",IF(AND(F803&lt;&gt;"Bekleniyor",F803&lt;&gt;"Geldi",F803&lt;&gt;"İptal"),"HATA: giriş durumu geçersiz",IF(AND(F803&lt;&gt;"İptal",COUNTIFS($A$6:$A$1005,A803,$D$6:$D$1005,"&lt;"&amp;E803,$E$6:$E$1005,"&gt;"&amp;D803,$F$6:$F$1005,"&lt;&gt;İptal")&gt;1),"HATA: oda bu tarihlerde çakışıyor",IF(AND(F803="Bekleniyor",D803&lt;RaporTarihi),"HATA: giriş günü geçti, Geldi veya İptal yapın","OK"))))))))))))</f>
        <v/>
      </c>
      <c r="L803" s="25">
        <f>IF(AND(ISNUMBER(A803),F803&lt;&gt;"İptal",ISNUMBER(D803),ISNUMBER(E803),D803&lt;=RaporTarihi,E803&gt;RaporTarihi),A803,"")</f>
        <v/>
      </c>
    </row>
    <row r="804">
      <c r="A804" s="22" t="n"/>
      <c r="B804" s="22" t="n"/>
      <c r="C804" s="22" t="n"/>
      <c r="D804" s="23" t="n"/>
      <c r="E804" s="23" t="n"/>
      <c r="F804" s="22" t="n"/>
      <c r="G804" s="24" t="n"/>
      <c r="H804" s="22" t="n"/>
      <c r="I804" s="25">
        <f>IF(AND(ISNUMBER(D804),ISNUMBER(E804)),E804-D804,"")</f>
        <v/>
      </c>
      <c r="J804" s="26">
        <f>IF(AND(ISNUMBER(I804),ISNUMBER(G804)),IF(I804&gt;0,G804/I804,""),"")</f>
        <v/>
      </c>
      <c r="K804" s="25">
        <f>IF(COUNTA(A804:H804)=0,"",IF(OR(A804="",B804="",C804="",D804="",E804="",F804="",G804="",H804=""),"HATA: eksik bilgi",IF(COUNTIF(OdaListesi,A804)=0,"HATA: geçersiz oda no",IF(OR(NOT(ISNUMBER(D804)),NOT(ISNUMBER(E804))),"HATA: tarih geçersiz",IF(E804&lt;=D804,"HATA: çıkış girişten sonra olmalı",IF(OR(NOT(ISNUMBER(C804)),C804&lt;1,C804&gt;MaxKisi,C804&lt;&gt;INT(C804)),"HATA: kişi sayısı geçersiz",IF(OR(NOT(ISNUMBER(G804)),G804&lt;0),"HATA: tutar geçersiz",IF(B804&lt;&gt;TRIM(B804),"HATA: isimde baştaki/sondaki boşluk",IF(COUNTIF(KaynakAralik,H804)=0,"HATA: kaynak listede yok",IF(AND(F804&lt;&gt;"Bekleniyor",F804&lt;&gt;"Geldi",F804&lt;&gt;"İptal"),"HATA: giriş durumu geçersiz",IF(AND(F804&lt;&gt;"İptal",COUNTIFS($A$6:$A$1005,A804,$D$6:$D$1005,"&lt;"&amp;E804,$E$6:$E$1005,"&gt;"&amp;D804,$F$6:$F$1005,"&lt;&gt;İptal")&gt;1),"HATA: oda bu tarihlerde çakışıyor",IF(AND(F804="Bekleniyor",D804&lt;RaporTarihi),"HATA: giriş günü geçti, Geldi veya İptal yapın","OK"))))))))))))</f>
        <v/>
      </c>
      <c r="L804" s="25">
        <f>IF(AND(ISNUMBER(A804),F804&lt;&gt;"İptal",ISNUMBER(D804),ISNUMBER(E804),D804&lt;=RaporTarihi,E804&gt;RaporTarihi),A804,"")</f>
        <v/>
      </c>
    </row>
    <row r="805">
      <c r="A805" s="22" t="n"/>
      <c r="B805" s="22" t="n"/>
      <c r="C805" s="22" t="n"/>
      <c r="D805" s="23" t="n"/>
      <c r="E805" s="23" t="n"/>
      <c r="F805" s="22" t="n"/>
      <c r="G805" s="24" t="n"/>
      <c r="H805" s="22" t="n"/>
      <c r="I805" s="25">
        <f>IF(AND(ISNUMBER(D805),ISNUMBER(E805)),E805-D805,"")</f>
        <v/>
      </c>
      <c r="J805" s="26">
        <f>IF(AND(ISNUMBER(I805),ISNUMBER(G805)),IF(I805&gt;0,G805/I805,""),"")</f>
        <v/>
      </c>
      <c r="K805" s="25">
        <f>IF(COUNTA(A805:H805)=0,"",IF(OR(A805="",B805="",C805="",D805="",E805="",F805="",G805="",H805=""),"HATA: eksik bilgi",IF(COUNTIF(OdaListesi,A805)=0,"HATA: geçersiz oda no",IF(OR(NOT(ISNUMBER(D805)),NOT(ISNUMBER(E805))),"HATA: tarih geçersiz",IF(E805&lt;=D805,"HATA: çıkış girişten sonra olmalı",IF(OR(NOT(ISNUMBER(C805)),C805&lt;1,C805&gt;MaxKisi,C805&lt;&gt;INT(C805)),"HATA: kişi sayısı geçersiz",IF(OR(NOT(ISNUMBER(G805)),G805&lt;0),"HATA: tutar geçersiz",IF(B805&lt;&gt;TRIM(B805),"HATA: isimde baştaki/sondaki boşluk",IF(COUNTIF(KaynakAralik,H805)=0,"HATA: kaynak listede yok",IF(AND(F805&lt;&gt;"Bekleniyor",F805&lt;&gt;"Geldi",F805&lt;&gt;"İptal"),"HATA: giriş durumu geçersiz",IF(AND(F805&lt;&gt;"İptal",COUNTIFS($A$6:$A$1005,A805,$D$6:$D$1005,"&lt;"&amp;E805,$E$6:$E$1005,"&gt;"&amp;D805,$F$6:$F$1005,"&lt;&gt;İptal")&gt;1),"HATA: oda bu tarihlerde çakışıyor",IF(AND(F805="Bekleniyor",D805&lt;RaporTarihi),"HATA: giriş günü geçti, Geldi veya İptal yapın","OK"))))))))))))</f>
        <v/>
      </c>
      <c r="L805" s="25">
        <f>IF(AND(ISNUMBER(A805),F805&lt;&gt;"İptal",ISNUMBER(D805),ISNUMBER(E805),D805&lt;=RaporTarihi,E805&gt;RaporTarihi),A805,"")</f>
        <v/>
      </c>
    </row>
    <row r="806">
      <c r="A806" s="22" t="n"/>
      <c r="B806" s="22" t="n"/>
      <c r="C806" s="22" t="n"/>
      <c r="D806" s="23" t="n"/>
      <c r="E806" s="23" t="n"/>
      <c r="F806" s="22" t="n"/>
      <c r="G806" s="24" t="n"/>
      <c r="H806" s="22" t="n"/>
      <c r="I806" s="25">
        <f>IF(AND(ISNUMBER(D806),ISNUMBER(E806)),E806-D806,"")</f>
        <v/>
      </c>
      <c r="J806" s="26">
        <f>IF(AND(ISNUMBER(I806),ISNUMBER(G806)),IF(I806&gt;0,G806/I806,""),"")</f>
        <v/>
      </c>
      <c r="K806" s="25">
        <f>IF(COUNTA(A806:H806)=0,"",IF(OR(A806="",B806="",C806="",D806="",E806="",F806="",G806="",H806=""),"HATA: eksik bilgi",IF(COUNTIF(OdaListesi,A806)=0,"HATA: geçersiz oda no",IF(OR(NOT(ISNUMBER(D806)),NOT(ISNUMBER(E806))),"HATA: tarih geçersiz",IF(E806&lt;=D806,"HATA: çıkış girişten sonra olmalı",IF(OR(NOT(ISNUMBER(C806)),C806&lt;1,C806&gt;MaxKisi,C806&lt;&gt;INT(C806)),"HATA: kişi sayısı geçersiz",IF(OR(NOT(ISNUMBER(G806)),G806&lt;0),"HATA: tutar geçersiz",IF(B806&lt;&gt;TRIM(B806),"HATA: isimde baştaki/sondaki boşluk",IF(COUNTIF(KaynakAralik,H806)=0,"HATA: kaynak listede yok",IF(AND(F806&lt;&gt;"Bekleniyor",F806&lt;&gt;"Geldi",F806&lt;&gt;"İptal"),"HATA: giriş durumu geçersiz",IF(AND(F806&lt;&gt;"İptal",COUNTIFS($A$6:$A$1005,A806,$D$6:$D$1005,"&lt;"&amp;E806,$E$6:$E$1005,"&gt;"&amp;D806,$F$6:$F$1005,"&lt;&gt;İptal")&gt;1),"HATA: oda bu tarihlerde çakışıyor",IF(AND(F806="Bekleniyor",D806&lt;RaporTarihi),"HATA: giriş günü geçti, Geldi veya İptal yapın","OK"))))))))))))</f>
        <v/>
      </c>
      <c r="L806" s="25">
        <f>IF(AND(ISNUMBER(A806),F806&lt;&gt;"İptal",ISNUMBER(D806),ISNUMBER(E806),D806&lt;=RaporTarihi,E806&gt;RaporTarihi),A806,"")</f>
        <v/>
      </c>
    </row>
    <row r="807">
      <c r="A807" s="22" t="n"/>
      <c r="B807" s="22" t="n"/>
      <c r="C807" s="22" t="n"/>
      <c r="D807" s="23" t="n"/>
      <c r="E807" s="23" t="n"/>
      <c r="F807" s="22" t="n"/>
      <c r="G807" s="24" t="n"/>
      <c r="H807" s="22" t="n"/>
      <c r="I807" s="25">
        <f>IF(AND(ISNUMBER(D807),ISNUMBER(E807)),E807-D807,"")</f>
        <v/>
      </c>
      <c r="J807" s="26">
        <f>IF(AND(ISNUMBER(I807),ISNUMBER(G807)),IF(I807&gt;0,G807/I807,""),"")</f>
        <v/>
      </c>
      <c r="K807" s="25">
        <f>IF(COUNTA(A807:H807)=0,"",IF(OR(A807="",B807="",C807="",D807="",E807="",F807="",G807="",H807=""),"HATA: eksik bilgi",IF(COUNTIF(OdaListesi,A807)=0,"HATA: geçersiz oda no",IF(OR(NOT(ISNUMBER(D807)),NOT(ISNUMBER(E807))),"HATA: tarih geçersiz",IF(E807&lt;=D807,"HATA: çıkış girişten sonra olmalı",IF(OR(NOT(ISNUMBER(C807)),C807&lt;1,C807&gt;MaxKisi,C807&lt;&gt;INT(C807)),"HATA: kişi sayısı geçersiz",IF(OR(NOT(ISNUMBER(G807)),G807&lt;0),"HATA: tutar geçersiz",IF(B807&lt;&gt;TRIM(B807),"HATA: isimde baştaki/sondaki boşluk",IF(COUNTIF(KaynakAralik,H807)=0,"HATA: kaynak listede yok",IF(AND(F807&lt;&gt;"Bekleniyor",F807&lt;&gt;"Geldi",F807&lt;&gt;"İptal"),"HATA: giriş durumu geçersiz",IF(AND(F807&lt;&gt;"İptal",COUNTIFS($A$6:$A$1005,A807,$D$6:$D$1005,"&lt;"&amp;E807,$E$6:$E$1005,"&gt;"&amp;D807,$F$6:$F$1005,"&lt;&gt;İptal")&gt;1),"HATA: oda bu tarihlerde çakışıyor",IF(AND(F807="Bekleniyor",D807&lt;RaporTarihi),"HATA: giriş günü geçti, Geldi veya İptal yapın","OK"))))))))))))</f>
        <v/>
      </c>
      <c r="L807" s="25">
        <f>IF(AND(ISNUMBER(A807),F807&lt;&gt;"İptal",ISNUMBER(D807),ISNUMBER(E807),D807&lt;=RaporTarihi,E807&gt;RaporTarihi),A807,"")</f>
        <v/>
      </c>
    </row>
    <row r="808">
      <c r="A808" s="22" t="n"/>
      <c r="B808" s="22" t="n"/>
      <c r="C808" s="22" t="n"/>
      <c r="D808" s="23" t="n"/>
      <c r="E808" s="23" t="n"/>
      <c r="F808" s="22" t="n"/>
      <c r="G808" s="24" t="n"/>
      <c r="H808" s="22" t="n"/>
      <c r="I808" s="25">
        <f>IF(AND(ISNUMBER(D808),ISNUMBER(E808)),E808-D808,"")</f>
        <v/>
      </c>
      <c r="J808" s="26">
        <f>IF(AND(ISNUMBER(I808),ISNUMBER(G808)),IF(I808&gt;0,G808/I808,""),"")</f>
        <v/>
      </c>
      <c r="K808" s="25">
        <f>IF(COUNTA(A808:H808)=0,"",IF(OR(A808="",B808="",C808="",D808="",E808="",F808="",G808="",H808=""),"HATA: eksik bilgi",IF(COUNTIF(OdaListesi,A808)=0,"HATA: geçersiz oda no",IF(OR(NOT(ISNUMBER(D808)),NOT(ISNUMBER(E808))),"HATA: tarih geçersiz",IF(E808&lt;=D808,"HATA: çıkış girişten sonra olmalı",IF(OR(NOT(ISNUMBER(C808)),C808&lt;1,C808&gt;MaxKisi,C808&lt;&gt;INT(C808)),"HATA: kişi sayısı geçersiz",IF(OR(NOT(ISNUMBER(G808)),G808&lt;0),"HATA: tutar geçersiz",IF(B808&lt;&gt;TRIM(B808),"HATA: isimde baştaki/sondaki boşluk",IF(COUNTIF(KaynakAralik,H808)=0,"HATA: kaynak listede yok",IF(AND(F808&lt;&gt;"Bekleniyor",F808&lt;&gt;"Geldi",F808&lt;&gt;"İptal"),"HATA: giriş durumu geçersiz",IF(AND(F808&lt;&gt;"İptal",COUNTIFS($A$6:$A$1005,A808,$D$6:$D$1005,"&lt;"&amp;E808,$E$6:$E$1005,"&gt;"&amp;D808,$F$6:$F$1005,"&lt;&gt;İptal")&gt;1),"HATA: oda bu tarihlerde çakışıyor",IF(AND(F808="Bekleniyor",D808&lt;RaporTarihi),"HATA: giriş günü geçti, Geldi veya İptal yapın","OK"))))))))))))</f>
        <v/>
      </c>
      <c r="L808" s="25">
        <f>IF(AND(ISNUMBER(A808),F808&lt;&gt;"İptal",ISNUMBER(D808),ISNUMBER(E808),D808&lt;=RaporTarihi,E808&gt;RaporTarihi),A808,"")</f>
        <v/>
      </c>
    </row>
    <row r="809">
      <c r="A809" s="22" t="n"/>
      <c r="B809" s="22" t="n"/>
      <c r="C809" s="22" t="n"/>
      <c r="D809" s="23" t="n"/>
      <c r="E809" s="23" t="n"/>
      <c r="F809" s="22" t="n"/>
      <c r="G809" s="24" t="n"/>
      <c r="H809" s="22" t="n"/>
      <c r="I809" s="25">
        <f>IF(AND(ISNUMBER(D809),ISNUMBER(E809)),E809-D809,"")</f>
        <v/>
      </c>
      <c r="J809" s="26">
        <f>IF(AND(ISNUMBER(I809),ISNUMBER(G809)),IF(I809&gt;0,G809/I809,""),"")</f>
        <v/>
      </c>
      <c r="K809" s="25">
        <f>IF(COUNTA(A809:H809)=0,"",IF(OR(A809="",B809="",C809="",D809="",E809="",F809="",G809="",H809=""),"HATA: eksik bilgi",IF(COUNTIF(OdaListesi,A809)=0,"HATA: geçersiz oda no",IF(OR(NOT(ISNUMBER(D809)),NOT(ISNUMBER(E809))),"HATA: tarih geçersiz",IF(E809&lt;=D809,"HATA: çıkış girişten sonra olmalı",IF(OR(NOT(ISNUMBER(C809)),C809&lt;1,C809&gt;MaxKisi,C809&lt;&gt;INT(C809)),"HATA: kişi sayısı geçersiz",IF(OR(NOT(ISNUMBER(G809)),G809&lt;0),"HATA: tutar geçersiz",IF(B809&lt;&gt;TRIM(B809),"HATA: isimde baştaki/sondaki boşluk",IF(COUNTIF(KaynakAralik,H809)=0,"HATA: kaynak listede yok",IF(AND(F809&lt;&gt;"Bekleniyor",F809&lt;&gt;"Geldi",F809&lt;&gt;"İptal"),"HATA: giriş durumu geçersiz",IF(AND(F809&lt;&gt;"İptal",COUNTIFS($A$6:$A$1005,A809,$D$6:$D$1005,"&lt;"&amp;E809,$E$6:$E$1005,"&gt;"&amp;D809,$F$6:$F$1005,"&lt;&gt;İptal")&gt;1),"HATA: oda bu tarihlerde çakışıyor",IF(AND(F809="Bekleniyor",D809&lt;RaporTarihi),"HATA: giriş günü geçti, Geldi veya İptal yapın","OK"))))))))))))</f>
        <v/>
      </c>
      <c r="L809" s="25">
        <f>IF(AND(ISNUMBER(A809),F809&lt;&gt;"İptal",ISNUMBER(D809),ISNUMBER(E809),D809&lt;=RaporTarihi,E809&gt;RaporTarihi),A809,"")</f>
        <v/>
      </c>
    </row>
    <row r="810">
      <c r="A810" s="22" t="n"/>
      <c r="B810" s="22" t="n"/>
      <c r="C810" s="22" t="n"/>
      <c r="D810" s="23" t="n"/>
      <c r="E810" s="23" t="n"/>
      <c r="F810" s="22" t="n"/>
      <c r="G810" s="24" t="n"/>
      <c r="H810" s="22" t="n"/>
      <c r="I810" s="25">
        <f>IF(AND(ISNUMBER(D810),ISNUMBER(E810)),E810-D810,"")</f>
        <v/>
      </c>
      <c r="J810" s="26">
        <f>IF(AND(ISNUMBER(I810),ISNUMBER(G810)),IF(I810&gt;0,G810/I810,""),"")</f>
        <v/>
      </c>
      <c r="K810" s="25">
        <f>IF(COUNTA(A810:H810)=0,"",IF(OR(A810="",B810="",C810="",D810="",E810="",F810="",G810="",H810=""),"HATA: eksik bilgi",IF(COUNTIF(OdaListesi,A810)=0,"HATA: geçersiz oda no",IF(OR(NOT(ISNUMBER(D810)),NOT(ISNUMBER(E810))),"HATA: tarih geçersiz",IF(E810&lt;=D810,"HATA: çıkış girişten sonra olmalı",IF(OR(NOT(ISNUMBER(C810)),C810&lt;1,C810&gt;MaxKisi,C810&lt;&gt;INT(C810)),"HATA: kişi sayısı geçersiz",IF(OR(NOT(ISNUMBER(G810)),G810&lt;0),"HATA: tutar geçersiz",IF(B810&lt;&gt;TRIM(B810),"HATA: isimde baştaki/sondaki boşluk",IF(COUNTIF(KaynakAralik,H810)=0,"HATA: kaynak listede yok",IF(AND(F810&lt;&gt;"Bekleniyor",F810&lt;&gt;"Geldi",F810&lt;&gt;"İptal"),"HATA: giriş durumu geçersiz",IF(AND(F810&lt;&gt;"İptal",COUNTIFS($A$6:$A$1005,A810,$D$6:$D$1005,"&lt;"&amp;E810,$E$6:$E$1005,"&gt;"&amp;D810,$F$6:$F$1005,"&lt;&gt;İptal")&gt;1),"HATA: oda bu tarihlerde çakışıyor",IF(AND(F810="Bekleniyor",D810&lt;RaporTarihi),"HATA: giriş günü geçti, Geldi veya İptal yapın","OK"))))))))))))</f>
        <v/>
      </c>
      <c r="L810" s="25">
        <f>IF(AND(ISNUMBER(A810),F810&lt;&gt;"İptal",ISNUMBER(D810),ISNUMBER(E810),D810&lt;=RaporTarihi,E810&gt;RaporTarihi),A810,"")</f>
        <v/>
      </c>
    </row>
    <row r="811">
      <c r="A811" s="22" t="n"/>
      <c r="B811" s="22" t="n"/>
      <c r="C811" s="22" t="n"/>
      <c r="D811" s="23" t="n"/>
      <c r="E811" s="23" t="n"/>
      <c r="F811" s="22" t="n"/>
      <c r="G811" s="24" t="n"/>
      <c r="H811" s="22" t="n"/>
      <c r="I811" s="25">
        <f>IF(AND(ISNUMBER(D811),ISNUMBER(E811)),E811-D811,"")</f>
        <v/>
      </c>
      <c r="J811" s="26">
        <f>IF(AND(ISNUMBER(I811),ISNUMBER(G811)),IF(I811&gt;0,G811/I811,""),"")</f>
        <v/>
      </c>
      <c r="K811" s="25">
        <f>IF(COUNTA(A811:H811)=0,"",IF(OR(A811="",B811="",C811="",D811="",E811="",F811="",G811="",H811=""),"HATA: eksik bilgi",IF(COUNTIF(OdaListesi,A811)=0,"HATA: geçersiz oda no",IF(OR(NOT(ISNUMBER(D811)),NOT(ISNUMBER(E811))),"HATA: tarih geçersiz",IF(E811&lt;=D811,"HATA: çıkış girişten sonra olmalı",IF(OR(NOT(ISNUMBER(C811)),C811&lt;1,C811&gt;MaxKisi,C811&lt;&gt;INT(C811)),"HATA: kişi sayısı geçersiz",IF(OR(NOT(ISNUMBER(G811)),G811&lt;0),"HATA: tutar geçersiz",IF(B811&lt;&gt;TRIM(B811),"HATA: isimde baştaki/sondaki boşluk",IF(COUNTIF(KaynakAralik,H811)=0,"HATA: kaynak listede yok",IF(AND(F811&lt;&gt;"Bekleniyor",F811&lt;&gt;"Geldi",F811&lt;&gt;"İptal"),"HATA: giriş durumu geçersiz",IF(AND(F811&lt;&gt;"İptal",COUNTIFS($A$6:$A$1005,A811,$D$6:$D$1005,"&lt;"&amp;E811,$E$6:$E$1005,"&gt;"&amp;D811,$F$6:$F$1005,"&lt;&gt;İptal")&gt;1),"HATA: oda bu tarihlerde çakışıyor",IF(AND(F811="Bekleniyor",D811&lt;RaporTarihi),"HATA: giriş günü geçti, Geldi veya İptal yapın","OK"))))))))))))</f>
        <v/>
      </c>
      <c r="L811" s="25">
        <f>IF(AND(ISNUMBER(A811),F811&lt;&gt;"İptal",ISNUMBER(D811),ISNUMBER(E811),D811&lt;=RaporTarihi,E811&gt;RaporTarihi),A811,"")</f>
        <v/>
      </c>
    </row>
    <row r="812">
      <c r="A812" s="22" t="n"/>
      <c r="B812" s="22" t="n"/>
      <c r="C812" s="22" t="n"/>
      <c r="D812" s="23" t="n"/>
      <c r="E812" s="23" t="n"/>
      <c r="F812" s="22" t="n"/>
      <c r="G812" s="24" t="n"/>
      <c r="H812" s="22" t="n"/>
      <c r="I812" s="25">
        <f>IF(AND(ISNUMBER(D812),ISNUMBER(E812)),E812-D812,"")</f>
        <v/>
      </c>
      <c r="J812" s="26">
        <f>IF(AND(ISNUMBER(I812),ISNUMBER(G812)),IF(I812&gt;0,G812/I812,""),"")</f>
        <v/>
      </c>
      <c r="K812" s="25">
        <f>IF(COUNTA(A812:H812)=0,"",IF(OR(A812="",B812="",C812="",D812="",E812="",F812="",G812="",H812=""),"HATA: eksik bilgi",IF(COUNTIF(OdaListesi,A812)=0,"HATA: geçersiz oda no",IF(OR(NOT(ISNUMBER(D812)),NOT(ISNUMBER(E812))),"HATA: tarih geçersiz",IF(E812&lt;=D812,"HATA: çıkış girişten sonra olmalı",IF(OR(NOT(ISNUMBER(C812)),C812&lt;1,C812&gt;MaxKisi,C812&lt;&gt;INT(C812)),"HATA: kişi sayısı geçersiz",IF(OR(NOT(ISNUMBER(G812)),G812&lt;0),"HATA: tutar geçersiz",IF(B812&lt;&gt;TRIM(B812),"HATA: isimde baştaki/sondaki boşluk",IF(COUNTIF(KaynakAralik,H812)=0,"HATA: kaynak listede yok",IF(AND(F812&lt;&gt;"Bekleniyor",F812&lt;&gt;"Geldi",F812&lt;&gt;"İptal"),"HATA: giriş durumu geçersiz",IF(AND(F812&lt;&gt;"İptal",COUNTIFS($A$6:$A$1005,A812,$D$6:$D$1005,"&lt;"&amp;E812,$E$6:$E$1005,"&gt;"&amp;D812,$F$6:$F$1005,"&lt;&gt;İptal")&gt;1),"HATA: oda bu tarihlerde çakışıyor",IF(AND(F812="Bekleniyor",D812&lt;RaporTarihi),"HATA: giriş günü geçti, Geldi veya İptal yapın","OK"))))))))))))</f>
        <v/>
      </c>
      <c r="L812" s="25">
        <f>IF(AND(ISNUMBER(A812),F812&lt;&gt;"İptal",ISNUMBER(D812),ISNUMBER(E812),D812&lt;=RaporTarihi,E812&gt;RaporTarihi),A812,"")</f>
        <v/>
      </c>
    </row>
    <row r="813">
      <c r="A813" s="22" t="n"/>
      <c r="B813" s="22" t="n"/>
      <c r="C813" s="22" t="n"/>
      <c r="D813" s="23" t="n"/>
      <c r="E813" s="23" t="n"/>
      <c r="F813" s="22" t="n"/>
      <c r="G813" s="24" t="n"/>
      <c r="H813" s="22" t="n"/>
      <c r="I813" s="25">
        <f>IF(AND(ISNUMBER(D813),ISNUMBER(E813)),E813-D813,"")</f>
        <v/>
      </c>
      <c r="J813" s="26">
        <f>IF(AND(ISNUMBER(I813),ISNUMBER(G813)),IF(I813&gt;0,G813/I813,""),"")</f>
        <v/>
      </c>
      <c r="K813" s="25">
        <f>IF(COUNTA(A813:H813)=0,"",IF(OR(A813="",B813="",C813="",D813="",E813="",F813="",G813="",H813=""),"HATA: eksik bilgi",IF(COUNTIF(OdaListesi,A813)=0,"HATA: geçersiz oda no",IF(OR(NOT(ISNUMBER(D813)),NOT(ISNUMBER(E813))),"HATA: tarih geçersiz",IF(E813&lt;=D813,"HATA: çıkış girişten sonra olmalı",IF(OR(NOT(ISNUMBER(C813)),C813&lt;1,C813&gt;MaxKisi,C813&lt;&gt;INT(C813)),"HATA: kişi sayısı geçersiz",IF(OR(NOT(ISNUMBER(G813)),G813&lt;0),"HATA: tutar geçersiz",IF(B813&lt;&gt;TRIM(B813),"HATA: isimde baştaki/sondaki boşluk",IF(COUNTIF(KaynakAralik,H813)=0,"HATA: kaynak listede yok",IF(AND(F813&lt;&gt;"Bekleniyor",F813&lt;&gt;"Geldi",F813&lt;&gt;"İptal"),"HATA: giriş durumu geçersiz",IF(AND(F813&lt;&gt;"İptal",COUNTIFS($A$6:$A$1005,A813,$D$6:$D$1005,"&lt;"&amp;E813,$E$6:$E$1005,"&gt;"&amp;D813,$F$6:$F$1005,"&lt;&gt;İptal")&gt;1),"HATA: oda bu tarihlerde çakışıyor",IF(AND(F813="Bekleniyor",D813&lt;RaporTarihi),"HATA: giriş günü geçti, Geldi veya İptal yapın","OK"))))))))))))</f>
        <v/>
      </c>
      <c r="L813" s="25">
        <f>IF(AND(ISNUMBER(A813),F813&lt;&gt;"İptal",ISNUMBER(D813),ISNUMBER(E813),D813&lt;=RaporTarihi,E813&gt;RaporTarihi),A813,"")</f>
        <v/>
      </c>
    </row>
    <row r="814">
      <c r="A814" s="22" t="n"/>
      <c r="B814" s="22" t="n"/>
      <c r="C814" s="22" t="n"/>
      <c r="D814" s="23" t="n"/>
      <c r="E814" s="23" t="n"/>
      <c r="F814" s="22" t="n"/>
      <c r="G814" s="24" t="n"/>
      <c r="H814" s="22" t="n"/>
      <c r="I814" s="25">
        <f>IF(AND(ISNUMBER(D814),ISNUMBER(E814)),E814-D814,"")</f>
        <v/>
      </c>
      <c r="J814" s="26">
        <f>IF(AND(ISNUMBER(I814),ISNUMBER(G814)),IF(I814&gt;0,G814/I814,""),"")</f>
        <v/>
      </c>
      <c r="K814" s="25">
        <f>IF(COUNTA(A814:H814)=0,"",IF(OR(A814="",B814="",C814="",D814="",E814="",F814="",G814="",H814=""),"HATA: eksik bilgi",IF(COUNTIF(OdaListesi,A814)=0,"HATA: geçersiz oda no",IF(OR(NOT(ISNUMBER(D814)),NOT(ISNUMBER(E814))),"HATA: tarih geçersiz",IF(E814&lt;=D814,"HATA: çıkış girişten sonra olmalı",IF(OR(NOT(ISNUMBER(C814)),C814&lt;1,C814&gt;MaxKisi,C814&lt;&gt;INT(C814)),"HATA: kişi sayısı geçersiz",IF(OR(NOT(ISNUMBER(G814)),G814&lt;0),"HATA: tutar geçersiz",IF(B814&lt;&gt;TRIM(B814),"HATA: isimde baştaki/sondaki boşluk",IF(COUNTIF(KaynakAralik,H814)=0,"HATA: kaynak listede yok",IF(AND(F814&lt;&gt;"Bekleniyor",F814&lt;&gt;"Geldi",F814&lt;&gt;"İptal"),"HATA: giriş durumu geçersiz",IF(AND(F814&lt;&gt;"İptal",COUNTIFS($A$6:$A$1005,A814,$D$6:$D$1005,"&lt;"&amp;E814,$E$6:$E$1005,"&gt;"&amp;D814,$F$6:$F$1005,"&lt;&gt;İptal")&gt;1),"HATA: oda bu tarihlerde çakışıyor",IF(AND(F814="Bekleniyor",D814&lt;RaporTarihi),"HATA: giriş günü geçti, Geldi veya İptal yapın","OK"))))))))))))</f>
        <v/>
      </c>
      <c r="L814" s="25">
        <f>IF(AND(ISNUMBER(A814),F814&lt;&gt;"İptal",ISNUMBER(D814),ISNUMBER(E814),D814&lt;=RaporTarihi,E814&gt;RaporTarihi),A814,"")</f>
        <v/>
      </c>
    </row>
    <row r="815">
      <c r="A815" s="22" t="n"/>
      <c r="B815" s="22" t="n"/>
      <c r="C815" s="22" t="n"/>
      <c r="D815" s="23" t="n"/>
      <c r="E815" s="23" t="n"/>
      <c r="F815" s="22" t="n"/>
      <c r="G815" s="24" t="n"/>
      <c r="H815" s="22" t="n"/>
      <c r="I815" s="25">
        <f>IF(AND(ISNUMBER(D815),ISNUMBER(E815)),E815-D815,"")</f>
        <v/>
      </c>
      <c r="J815" s="26">
        <f>IF(AND(ISNUMBER(I815),ISNUMBER(G815)),IF(I815&gt;0,G815/I815,""),"")</f>
        <v/>
      </c>
      <c r="K815" s="25">
        <f>IF(COUNTA(A815:H815)=0,"",IF(OR(A815="",B815="",C815="",D815="",E815="",F815="",G815="",H815=""),"HATA: eksik bilgi",IF(COUNTIF(OdaListesi,A815)=0,"HATA: geçersiz oda no",IF(OR(NOT(ISNUMBER(D815)),NOT(ISNUMBER(E815))),"HATA: tarih geçersiz",IF(E815&lt;=D815,"HATA: çıkış girişten sonra olmalı",IF(OR(NOT(ISNUMBER(C815)),C815&lt;1,C815&gt;MaxKisi,C815&lt;&gt;INT(C815)),"HATA: kişi sayısı geçersiz",IF(OR(NOT(ISNUMBER(G815)),G815&lt;0),"HATA: tutar geçersiz",IF(B815&lt;&gt;TRIM(B815),"HATA: isimde baştaki/sondaki boşluk",IF(COUNTIF(KaynakAralik,H815)=0,"HATA: kaynak listede yok",IF(AND(F815&lt;&gt;"Bekleniyor",F815&lt;&gt;"Geldi",F815&lt;&gt;"İptal"),"HATA: giriş durumu geçersiz",IF(AND(F815&lt;&gt;"İptal",COUNTIFS($A$6:$A$1005,A815,$D$6:$D$1005,"&lt;"&amp;E815,$E$6:$E$1005,"&gt;"&amp;D815,$F$6:$F$1005,"&lt;&gt;İptal")&gt;1),"HATA: oda bu tarihlerde çakışıyor",IF(AND(F815="Bekleniyor",D815&lt;RaporTarihi),"HATA: giriş günü geçti, Geldi veya İptal yapın","OK"))))))))))))</f>
        <v/>
      </c>
      <c r="L815" s="25">
        <f>IF(AND(ISNUMBER(A815),F815&lt;&gt;"İptal",ISNUMBER(D815),ISNUMBER(E815),D815&lt;=RaporTarihi,E815&gt;RaporTarihi),A815,"")</f>
        <v/>
      </c>
    </row>
    <row r="816">
      <c r="A816" s="22" t="n"/>
      <c r="B816" s="22" t="n"/>
      <c r="C816" s="22" t="n"/>
      <c r="D816" s="23" t="n"/>
      <c r="E816" s="23" t="n"/>
      <c r="F816" s="22" t="n"/>
      <c r="G816" s="24" t="n"/>
      <c r="H816" s="22" t="n"/>
      <c r="I816" s="25">
        <f>IF(AND(ISNUMBER(D816),ISNUMBER(E816)),E816-D816,"")</f>
        <v/>
      </c>
      <c r="J816" s="26">
        <f>IF(AND(ISNUMBER(I816),ISNUMBER(G816)),IF(I816&gt;0,G816/I816,""),"")</f>
        <v/>
      </c>
      <c r="K816" s="25">
        <f>IF(COUNTA(A816:H816)=0,"",IF(OR(A816="",B816="",C816="",D816="",E816="",F816="",G816="",H816=""),"HATA: eksik bilgi",IF(COUNTIF(OdaListesi,A816)=0,"HATA: geçersiz oda no",IF(OR(NOT(ISNUMBER(D816)),NOT(ISNUMBER(E816))),"HATA: tarih geçersiz",IF(E816&lt;=D816,"HATA: çıkış girişten sonra olmalı",IF(OR(NOT(ISNUMBER(C816)),C816&lt;1,C816&gt;MaxKisi,C816&lt;&gt;INT(C816)),"HATA: kişi sayısı geçersiz",IF(OR(NOT(ISNUMBER(G816)),G816&lt;0),"HATA: tutar geçersiz",IF(B816&lt;&gt;TRIM(B816),"HATA: isimde baştaki/sondaki boşluk",IF(COUNTIF(KaynakAralik,H816)=0,"HATA: kaynak listede yok",IF(AND(F816&lt;&gt;"Bekleniyor",F816&lt;&gt;"Geldi",F816&lt;&gt;"İptal"),"HATA: giriş durumu geçersiz",IF(AND(F816&lt;&gt;"İptal",COUNTIFS($A$6:$A$1005,A816,$D$6:$D$1005,"&lt;"&amp;E816,$E$6:$E$1005,"&gt;"&amp;D816,$F$6:$F$1005,"&lt;&gt;İptal")&gt;1),"HATA: oda bu tarihlerde çakışıyor",IF(AND(F816="Bekleniyor",D816&lt;RaporTarihi),"HATA: giriş günü geçti, Geldi veya İptal yapın","OK"))))))))))))</f>
        <v/>
      </c>
      <c r="L816" s="25">
        <f>IF(AND(ISNUMBER(A816),F816&lt;&gt;"İptal",ISNUMBER(D816),ISNUMBER(E816),D816&lt;=RaporTarihi,E816&gt;RaporTarihi),A816,"")</f>
        <v/>
      </c>
    </row>
    <row r="817">
      <c r="A817" s="22" t="n"/>
      <c r="B817" s="22" t="n"/>
      <c r="C817" s="22" t="n"/>
      <c r="D817" s="23" t="n"/>
      <c r="E817" s="23" t="n"/>
      <c r="F817" s="22" t="n"/>
      <c r="G817" s="24" t="n"/>
      <c r="H817" s="22" t="n"/>
      <c r="I817" s="25">
        <f>IF(AND(ISNUMBER(D817),ISNUMBER(E817)),E817-D817,"")</f>
        <v/>
      </c>
      <c r="J817" s="26">
        <f>IF(AND(ISNUMBER(I817),ISNUMBER(G817)),IF(I817&gt;0,G817/I817,""),"")</f>
        <v/>
      </c>
      <c r="K817" s="25">
        <f>IF(COUNTA(A817:H817)=0,"",IF(OR(A817="",B817="",C817="",D817="",E817="",F817="",G817="",H817=""),"HATA: eksik bilgi",IF(COUNTIF(OdaListesi,A817)=0,"HATA: geçersiz oda no",IF(OR(NOT(ISNUMBER(D817)),NOT(ISNUMBER(E817))),"HATA: tarih geçersiz",IF(E817&lt;=D817,"HATA: çıkış girişten sonra olmalı",IF(OR(NOT(ISNUMBER(C817)),C817&lt;1,C817&gt;MaxKisi,C817&lt;&gt;INT(C817)),"HATA: kişi sayısı geçersiz",IF(OR(NOT(ISNUMBER(G817)),G817&lt;0),"HATA: tutar geçersiz",IF(B817&lt;&gt;TRIM(B817),"HATA: isimde baştaki/sondaki boşluk",IF(COUNTIF(KaynakAralik,H817)=0,"HATA: kaynak listede yok",IF(AND(F817&lt;&gt;"Bekleniyor",F817&lt;&gt;"Geldi",F817&lt;&gt;"İptal"),"HATA: giriş durumu geçersiz",IF(AND(F817&lt;&gt;"İptal",COUNTIFS($A$6:$A$1005,A817,$D$6:$D$1005,"&lt;"&amp;E817,$E$6:$E$1005,"&gt;"&amp;D817,$F$6:$F$1005,"&lt;&gt;İptal")&gt;1),"HATA: oda bu tarihlerde çakışıyor",IF(AND(F817="Bekleniyor",D817&lt;RaporTarihi),"HATA: giriş günü geçti, Geldi veya İptal yapın","OK"))))))))))))</f>
        <v/>
      </c>
      <c r="L817" s="25">
        <f>IF(AND(ISNUMBER(A817),F817&lt;&gt;"İptal",ISNUMBER(D817),ISNUMBER(E817),D817&lt;=RaporTarihi,E817&gt;RaporTarihi),A817,"")</f>
        <v/>
      </c>
    </row>
    <row r="818">
      <c r="A818" s="22" t="n"/>
      <c r="B818" s="22" t="n"/>
      <c r="C818" s="22" t="n"/>
      <c r="D818" s="23" t="n"/>
      <c r="E818" s="23" t="n"/>
      <c r="F818" s="22" t="n"/>
      <c r="G818" s="24" t="n"/>
      <c r="H818" s="22" t="n"/>
      <c r="I818" s="25">
        <f>IF(AND(ISNUMBER(D818),ISNUMBER(E818)),E818-D818,"")</f>
        <v/>
      </c>
      <c r="J818" s="26">
        <f>IF(AND(ISNUMBER(I818),ISNUMBER(G818)),IF(I818&gt;0,G818/I818,""),"")</f>
        <v/>
      </c>
      <c r="K818" s="25">
        <f>IF(COUNTA(A818:H818)=0,"",IF(OR(A818="",B818="",C818="",D818="",E818="",F818="",G818="",H818=""),"HATA: eksik bilgi",IF(COUNTIF(OdaListesi,A818)=0,"HATA: geçersiz oda no",IF(OR(NOT(ISNUMBER(D818)),NOT(ISNUMBER(E818))),"HATA: tarih geçersiz",IF(E818&lt;=D818,"HATA: çıkış girişten sonra olmalı",IF(OR(NOT(ISNUMBER(C818)),C818&lt;1,C818&gt;MaxKisi,C818&lt;&gt;INT(C818)),"HATA: kişi sayısı geçersiz",IF(OR(NOT(ISNUMBER(G818)),G818&lt;0),"HATA: tutar geçersiz",IF(B818&lt;&gt;TRIM(B818),"HATA: isimde baştaki/sondaki boşluk",IF(COUNTIF(KaynakAralik,H818)=0,"HATA: kaynak listede yok",IF(AND(F818&lt;&gt;"Bekleniyor",F818&lt;&gt;"Geldi",F818&lt;&gt;"İptal"),"HATA: giriş durumu geçersiz",IF(AND(F818&lt;&gt;"İptal",COUNTIFS($A$6:$A$1005,A818,$D$6:$D$1005,"&lt;"&amp;E818,$E$6:$E$1005,"&gt;"&amp;D818,$F$6:$F$1005,"&lt;&gt;İptal")&gt;1),"HATA: oda bu tarihlerde çakışıyor",IF(AND(F818="Bekleniyor",D818&lt;RaporTarihi),"HATA: giriş günü geçti, Geldi veya İptal yapın","OK"))))))))))))</f>
        <v/>
      </c>
      <c r="L818" s="25">
        <f>IF(AND(ISNUMBER(A818),F818&lt;&gt;"İptal",ISNUMBER(D818),ISNUMBER(E818),D818&lt;=RaporTarihi,E818&gt;RaporTarihi),A818,"")</f>
        <v/>
      </c>
    </row>
    <row r="819">
      <c r="A819" s="22" t="n"/>
      <c r="B819" s="22" t="n"/>
      <c r="C819" s="22" t="n"/>
      <c r="D819" s="23" t="n"/>
      <c r="E819" s="23" t="n"/>
      <c r="F819" s="22" t="n"/>
      <c r="G819" s="24" t="n"/>
      <c r="H819" s="22" t="n"/>
      <c r="I819" s="25">
        <f>IF(AND(ISNUMBER(D819),ISNUMBER(E819)),E819-D819,"")</f>
        <v/>
      </c>
      <c r="J819" s="26">
        <f>IF(AND(ISNUMBER(I819),ISNUMBER(G819)),IF(I819&gt;0,G819/I819,""),"")</f>
        <v/>
      </c>
      <c r="K819" s="25">
        <f>IF(COUNTA(A819:H819)=0,"",IF(OR(A819="",B819="",C819="",D819="",E819="",F819="",G819="",H819=""),"HATA: eksik bilgi",IF(COUNTIF(OdaListesi,A819)=0,"HATA: geçersiz oda no",IF(OR(NOT(ISNUMBER(D819)),NOT(ISNUMBER(E819))),"HATA: tarih geçersiz",IF(E819&lt;=D819,"HATA: çıkış girişten sonra olmalı",IF(OR(NOT(ISNUMBER(C819)),C819&lt;1,C819&gt;MaxKisi,C819&lt;&gt;INT(C819)),"HATA: kişi sayısı geçersiz",IF(OR(NOT(ISNUMBER(G819)),G819&lt;0),"HATA: tutar geçersiz",IF(B819&lt;&gt;TRIM(B819),"HATA: isimde baştaki/sondaki boşluk",IF(COUNTIF(KaynakAralik,H819)=0,"HATA: kaynak listede yok",IF(AND(F819&lt;&gt;"Bekleniyor",F819&lt;&gt;"Geldi",F819&lt;&gt;"İptal"),"HATA: giriş durumu geçersiz",IF(AND(F819&lt;&gt;"İptal",COUNTIFS($A$6:$A$1005,A819,$D$6:$D$1005,"&lt;"&amp;E819,$E$6:$E$1005,"&gt;"&amp;D819,$F$6:$F$1005,"&lt;&gt;İptal")&gt;1),"HATA: oda bu tarihlerde çakışıyor",IF(AND(F819="Bekleniyor",D819&lt;RaporTarihi),"HATA: giriş günü geçti, Geldi veya İptal yapın","OK"))))))))))))</f>
        <v/>
      </c>
      <c r="L819" s="25">
        <f>IF(AND(ISNUMBER(A819),F819&lt;&gt;"İptal",ISNUMBER(D819),ISNUMBER(E819),D819&lt;=RaporTarihi,E819&gt;RaporTarihi),A819,"")</f>
        <v/>
      </c>
    </row>
    <row r="820">
      <c r="A820" s="22" t="n"/>
      <c r="B820" s="22" t="n"/>
      <c r="C820" s="22" t="n"/>
      <c r="D820" s="23" t="n"/>
      <c r="E820" s="23" t="n"/>
      <c r="F820" s="22" t="n"/>
      <c r="G820" s="24" t="n"/>
      <c r="H820" s="22" t="n"/>
      <c r="I820" s="25">
        <f>IF(AND(ISNUMBER(D820),ISNUMBER(E820)),E820-D820,"")</f>
        <v/>
      </c>
      <c r="J820" s="26">
        <f>IF(AND(ISNUMBER(I820),ISNUMBER(G820)),IF(I820&gt;0,G820/I820,""),"")</f>
        <v/>
      </c>
      <c r="K820" s="25">
        <f>IF(COUNTA(A820:H820)=0,"",IF(OR(A820="",B820="",C820="",D820="",E820="",F820="",G820="",H820=""),"HATA: eksik bilgi",IF(COUNTIF(OdaListesi,A820)=0,"HATA: geçersiz oda no",IF(OR(NOT(ISNUMBER(D820)),NOT(ISNUMBER(E820))),"HATA: tarih geçersiz",IF(E820&lt;=D820,"HATA: çıkış girişten sonra olmalı",IF(OR(NOT(ISNUMBER(C820)),C820&lt;1,C820&gt;MaxKisi,C820&lt;&gt;INT(C820)),"HATA: kişi sayısı geçersiz",IF(OR(NOT(ISNUMBER(G820)),G820&lt;0),"HATA: tutar geçersiz",IF(B820&lt;&gt;TRIM(B820),"HATA: isimde baştaki/sondaki boşluk",IF(COUNTIF(KaynakAralik,H820)=0,"HATA: kaynak listede yok",IF(AND(F820&lt;&gt;"Bekleniyor",F820&lt;&gt;"Geldi",F820&lt;&gt;"İptal"),"HATA: giriş durumu geçersiz",IF(AND(F820&lt;&gt;"İptal",COUNTIFS($A$6:$A$1005,A820,$D$6:$D$1005,"&lt;"&amp;E820,$E$6:$E$1005,"&gt;"&amp;D820,$F$6:$F$1005,"&lt;&gt;İptal")&gt;1),"HATA: oda bu tarihlerde çakışıyor",IF(AND(F820="Bekleniyor",D820&lt;RaporTarihi),"HATA: giriş günü geçti, Geldi veya İptal yapın","OK"))))))))))))</f>
        <v/>
      </c>
      <c r="L820" s="25">
        <f>IF(AND(ISNUMBER(A820),F820&lt;&gt;"İptal",ISNUMBER(D820),ISNUMBER(E820),D820&lt;=RaporTarihi,E820&gt;RaporTarihi),A820,"")</f>
        <v/>
      </c>
    </row>
    <row r="821">
      <c r="A821" s="22" t="n"/>
      <c r="B821" s="22" t="n"/>
      <c r="C821" s="22" t="n"/>
      <c r="D821" s="23" t="n"/>
      <c r="E821" s="23" t="n"/>
      <c r="F821" s="22" t="n"/>
      <c r="G821" s="24" t="n"/>
      <c r="H821" s="22" t="n"/>
      <c r="I821" s="25">
        <f>IF(AND(ISNUMBER(D821),ISNUMBER(E821)),E821-D821,"")</f>
        <v/>
      </c>
      <c r="J821" s="26">
        <f>IF(AND(ISNUMBER(I821),ISNUMBER(G821)),IF(I821&gt;0,G821/I821,""),"")</f>
        <v/>
      </c>
      <c r="K821" s="25">
        <f>IF(COUNTA(A821:H821)=0,"",IF(OR(A821="",B821="",C821="",D821="",E821="",F821="",G821="",H821=""),"HATA: eksik bilgi",IF(COUNTIF(OdaListesi,A821)=0,"HATA: geçersiz oda no",IF(OR(NOT(ISNUMBER(D821)),NOT(ISNUMBER(E821))),"HATA: tarih geçersiz",IF(E821&lt;=D821,"HATA: çıkış girişten sonra olmalı",IF(OR(NOT(ISNUMBER(C821)),C821&lt;1,C821&gt;MaxKisi,C821&lt;&gt;INT(C821)),"HATA: kişi sayısı geçersiz",IF(OR(NOT(ISNUMBER(G821)),G821&lt;0),"HATA: tutar geçersiz",IF(B821&lt;&gt;TRIM(B821),"HATA: isimde baştaki/sondaki boşluk",IF(COUNTIF(KaynakAralik,H821)=0,"HATA: kaynak listede yok",IF(AND(F821&lt;&gt;"Bekleniyor",F821&lt;&gt;"Geldi",F821&lt;&gt;"İptal"),"HATA: giriş durumu geçersiz",IF(AND(F821&lt;&gt;"İptal",COUNTIFS($A$6:$A$1005,A821,$D$6:$D$1005,"&lt;"&amp;E821,$E$6:$E$1005,"&gt;"&amp;D821,$F$6:$F$1005,"&lt;&gt;İptal")&gt;1),"HATA: oda bu tarihlerde çakışıyor",IF(AND(F821="Bekleniyor",D821&lt;RaporTarihi),"HATA: giriş günü geçti, Geldi veya İptal yapın","OK"))))))))))))</f>
        <v/>
      </c>
      <c r="L821" s="25">
        <f>IF(AND(ISNUMBER(A821),F821&lt;&gt;"İptal",ISNUMBER(D821),ISNUMBER(E821),D821&lt;=RaporTarihi,E821&gt;RaporTarihi),A821,"")</f>
        <v/>
      </c>
    </row>
    <row r="822">
      <c r="A822" s="22" t="n"/>
      <c r="B822" s="22" t="n"/>
      <c r="C822" s="22" t="n"/>
      <c r="D822" s="23" t="n"/>
      <c r="E822" s="23" t="n"/>
      <c r="F822" s="22" t="n"/>
      <c r="G822" s="24" t="n"/>
      <c r="H822" s="22" t="n"/>
      <c r="I822" s="25">
        <f>IF(AND(ISNUMBER(D822),ISNUMBER(E822)),E822-D822,"")</f>
        <v/>
      </c>
      <c r="J822" s="26">
        <f>IF(AND(ISNUMBER(I822),ISNUMBER(G822)),IF(I822&gt;0,G822/I822,""),"")</f>
        <v/>
      </c>
      <c r="K822" s="25">
        <f>IF(COUNTA(A822:H822)=0,"",IF(OR(A822="",B822="",C822="",D822="",E822="",F822="",G822="",H822=""),"HATA: eksik bilgi",IF(COUNTIF(OdaListesi,A822)=0,"HATA: geçersiz oda no",IF(OR(NOT(ISNUMBER(D822)),NOT(ISNUMBER(E822))),"HATA: tarih geçersiz",IF(E822&lt;=D822,"HATA: çıkış girişten sonra olmalı",IF(OR(NOT(ISNUMBER(C822)),C822&lt;1,C822&gt;MaxKisi,C822&lt;&gt;INT(C822)),"HATA: kişi sayısı geçersiz",IF(OR(NOT(ISNUMBER(G822)),G822&lt;0),"HATA: tutar geçersiz",IF(B822&lt;&gt;TRIM(B822),"HATA: isimde baştaki/sondaki boşluk",IF(COUNTIF(KaynakAralik,H822)=0,"HATA: kaynak listede yok",IF(AND(F822&lt;&gt;"Bekleniyor",F822&lt;&gt;"Geldi",F822&lt;&gt;"İptal"),"HATA: giriş durumu geçersiz",IF(AND(F822&lt;&gt;"İptal",COUNTIFS($A$6:$A$1005,A822,$D$6:$D$1005,"&lt;"&amp;E822,$E$6:$E$1005,"&gt;"&amp;D822,$F$6:$F$1005,"&lt;&gt;İptal")&gt;1),"HATA: oda bu tarihlerde çakışıyor",IF(AND(F822="Bekleniyor",D822&lt;RaporTarihi),"HATA: giriş günü geçti, Geldi veya İptal yapın","OK"))))))))))))</f>
        <v/>
      </c>
      <c r="L822" s="25">
        <f>IF(AND(ISNUMBER(A822),F822&lt;&gt;"İptal",ISNUMBER(D822),ISNUMBER(E822),D822&lt;=RaporTarihi,E822&gt;RaporTarihi),A822,"")</f>
        <v/>
      </c>
    </row>
    <row r="823">
      <c r="A823" s="22" t="n"/>
      <c r="B823" s="22" t="n"/>
      <c r="C823" s="22" t="n"/>
      <c r="D823" s="23" t="n"/>
      <c r="E823" s="23" t="n"/>
      <c r="F823" s="22" t="n"/>
      <c r="G823" s="24" t="n"/>
      <c r="H823" s="22" t="n"/>
      <c r="I823" s="25">
        <f>IF(AND(ISNUMBER(D823),ISNUMBER(E823)),E823-D823,"")</f>
        <v/>
      </c>
      <c r="J823" s="26">
        <f>IF(AND(ISNUMBER(I823),ISNUMBER(G823)),IF(I823&gt;0,G823/I823,""),"")</f>
        <v/>
      </c>
      <c r="K823" s="25">
        <f>IF(COUNTA(A823:H823)=0,"",IF(OR(A823="",B823="",C823="",D823="",E823="",F823="",G823="",H823=""),"HATA: eksik bilgi",IF(COUNTIF(OdaListesi,A823)=0,"HATA: geçersiz oda no",IF(OR(NOT(ISNUMBER(D823)),NOT(ISNUMBER(E823))),"HATA: tarih geçersiz",IF(E823&lt;=D823,"HATA: çıkış girişten sonra olmalı",IF(OR(NOT(ISNUMBER(C823)),C823&lt;1,C823&gt;MaxKisi,C823&lt;&gt;INT(C823)),"HATA: kişi sayısı geçersiz",IF(OR(NOT(ISNUMBER(G823)),G823&lt;0),"HATA: tutar geçersiz",IF(B823&lt;&gt;TRIM(B823),"HATA: isimde baştaki/sondaki boşluk",IF(COUNTIF(KaynakAralik,H823)=0,"HATA: kaynak listede yok",IF(AND(F823&lt;&gt;"Bekleniyor",F823&lt;&gt;"Geldi",F823&lt;&gt;"İptal"),"HATA: giriş durumu geçersiz",IF(AND(F823&lt;&gt;"İptal",COUNTIFS($A$6:$A$1005,A823,$D$6:$D$1005,"&lt;"&amp;E823,$E$6:$E$1005,"&gt;"&amp;D823,$F$6:$F$1005,"&lt;&gt;İptal")&gt;1),"HATA: oda bu tarihlerde çakışıyor",IF(AND(F823="Bekleniyor",D823&lt;RaporTarihi),"HATA: giriş günü geçti, Geldi veya İptal yapın","OK"))))))))))))</f>
        <v/>
      </c>
      <c r="L823" s="25">
        <f>IF(AND(ISNUMBER(A823),F823&lt;&gt;"İptal",ISNUMBER(D823),ISNUMBER(E823),D823&lt;=RaporTarihi,E823&gt;RaporTarihi),A823,"")</f>
        <v/>
      </c>
    </row>
    <row r="824">
      <c r="A824" s="22" t="n"/>
      <c r="B824" s="22" t="n"/>
      <c r="C824" s="22" t="n"/>
      <c r="D824" s="23" t="n"/>
      <c r="E824" s="23" t="n"/>
      <c r="F824" s="22" t="n"/>
      <c r="G824" s="24" t="n"/>
      <c r="H824" s="22" t="n"/>
      <c r="I824" s="25">
        <f>IF(AND(ISNUMBER(D824),ISNUMBER(E824)),E824-D824,"")</f>
        <v/>
      </c>
      <c r="J824" s="26">
        <f>IF(AND(ISNUMBER(I824),ISNUMBER(G824)),IF(I824&gt;0,G824/I824,""),"")</f>
        <v/>
      </c>
      <c r="K824" s="25">
        <f>IF(COUNTA(A824:H824)=0,"",IF(OR(A824="",B824="",C824="",D824="",E824="",F824="",G824="",H824=""),"HATA: eksik bilgi",IF(COUNTIF(OdaListesi,A824)=0,"HATA: geçersiz oda no",IF(OR(NOT(ISNUMBER(D824)),NOT(ISNUMBER(E824))),"HATA: tarih geçersiz",IF(E824&lt;=D824,"HATA: çıkış girişten sonra olmalı",IF(OR(NOT(ISNUMBER(C824)),C824&lt;1,C824&gt;MaxKisi,C824&lt;&gt;INT(C824)),"HATA: kişi sayısı geçersiz",IF(OR(NOT(ISNUMBER(G824)),G824&lt;0),"HATA: tutar geçersiz",IF(B824&lt;&gt;TRIM(B824),"HATA: isimde baştaki/sondaki boşluk",IF(COUNTIF(KaynakAralik,H824)=0,"HATA: kaynak listede yok",IF(AND(F824&lt;&gt;"Bekleniyor",F824&lt;&gt;"Geldi",F824&lt;&gt;"İptal"),"HATA: giriş durumu geçersiz",IF(AND(F824&lt;&gt;"İptal",COUNTIFS($A$6:$A$1005,A824,$D$6:$D$1005,"&lt;"&amp;E824,$E$6:$E$1005,"&gt;"&amp;D824,$F$6:$F$1005,"&lt;&gt;İptal")&gt;1),"HATA: oda bu tarihlerde çakışıyor",IF(AND(F824="Bekleniyor",D824&lt;RaporTarihi),"HATA: giriş günü geçti, Geldi veya İptal yapın","OK"))))))))))))</f>
        <v/>
      </c>
      <c r="L824" s="25">
        <f>IF(AND(ISNUMBER(A824),F824&lt;&gt;"İptal",ISNUMBER(D824),ISNUMBER(E824),D824&lt;=RaporTarihi,E824&gt;RaporTarihi),A824,"")</f>
        <v/>
      </c>
    </row>
    <row r="825">
      <c r="A825" s="22" t="n"/>
      <c r="B825" s="22" t="n"/>
      <c r="C825" s="22" t="n"/>
      <c r="D825" s="23" t="n"/>
      <c r="E825" s="23" t="n"/>
      <c r="F825" s="22" t="n"/>
      <c r="G825" s="24" t="n"/>
      <c r="H825" s="22" t="n"/>
      <c r="I825" s="25">
        <f>IF(AND(ISNUMBER(D825),ISNUMBER(E825)),E825-D825,"")</f>
        <v/>
      </c>
      <c r="J825" s="26">
        <f>IF(AND(ISNUMBER(I825),ISNUMBER(G825)),IF(I825&gt;0,G825/I825,""),"")</f>
        <v/>
      </c>
      <c r="K825" s="25">
        <f>IF(COUNTA(A825:H825)=0,"",IF(OR(A825="",B825="",C825="",D825="",E825="",F825="",G825="",H825=""),"HATA: eksik bilgi",IF(COUNTIF(OdaListesi,A825)=0,"HATA: geçersiz oda no",IF(OR(NOT(ISNUMBER(D825)),NOT(ISNUMBER(E825))),"HATA: tarih geçersiz",IF(E825&lt;=D825,"HATA: çıkış girişten sonra olmalı",IF(OR(NOT(ISNUMBER(C825)),C825&lt;1,C825&gt;MaxKisi,C825&lt;&gt;INT(C825)),"HATA: kişi sayısı geçersiz",IF(OR(NOT(ISNUMBER(G825)),G825&lt;0),"HATA: tutar geçersiz",IF(B825&lt;&gt;TRIM(B825),"HATA: isimde baştaki/sondaki boşluk",IF(COUNTIF(KaynakAralik,H825)=0,"HATA: kaynak listede yok",IF(AND(F825&lt;&gt;"Bekleniyor",F825&lt;&gt;"Geldi",F825&lt;&gt;"İptal"),"HATA: giriş durumu geçersiz",IF(AND(F825&lt;&gt;"İptal",COUNTIFS($A$6:$A$1005,A825,$D$6:$D$1005,"&lt;"&amp;E825,$E$6:$E$1005,"&gt;"&amp;D825,$F$6:$F$1005,"&lt;&gt;İptal")&gt;1),"HATA: oda bu tarihlerde çakışıyor",IF(AND(F825="Bekleniyor",D825&lt;RaporTarihi),"HATA: giriş günü geçti, Geldi veya İptal yapın","OK"))))))))))))</f>
        <v/>
      </c>
      <c r="L825" s="25">
        <f>IF(AND(ISNUMBER(A825),F825&lt;&gt;"İptal",ISNUMBER(D825),ISNUMBER(E825),D825&lt;=RaporTarihi,E825&gt;RaporTarihi),A825,"")</f>
        <v/>
      </c>
    </row>
    <row r="826">
      <c r="A826" s="22" t="n"/>
      <c r="B826" s="22" t="n"/>
      <c r="C826" s="22" t="n"/>
      <c r="D826" s="23" t="n"/>
      <c r="E826" s="23" t="n"/>
      <c r="F826" s="22" t="n"/>
      <c r="G826" s="24" t="n"/>
      <c r="H826" s="22" t="n"/>
      <c r="I826" s="25">
        <f>IF(AND(ISNUMBER(D826),ISNUMBER(E826)),E826-D826,"")</f>
        <v/>
      </c>
      <c r="J826" s="26">
        <f>IF(AND(ISNUMBER(I826),ISNUMBER(G826)),IF(I826&gt;0,G826/I826,""),"")</f>
        <v/>
      </c>
      <c r="K826" s="25">
        <f>IF(COUNTA(A826:H826)=0,"",IF(OR(A826="",B826="",C826="",D826="",E826="",F826="",G826="",H826=""),"HATA: eksik bilgi",IF(COUNTIF(OdaListesi,A826)=0,"HATA: geçersiz oda no",IF(OR(NOT(ISNUMBER(D826)),NOT(ISNUMBER(E826))),"HATA: tarih geçersiz",IF(E826&lt;=D826,"HATA: çıkış girişten sonra olmalı",IF(OR(NOT(ISNUMBER(C826)),C826&lt;1,C826&gt;MaxKisi,C826&lt;&gt;INT(C826)),"HATA: kişi sayısı geçersiz",IF(OR(NOT(ISNUMBER(G826)),G826&lt;0),"HATA: tutar geçersiz",IF(B826&lt;&gt;TRIM(B826),"HATA: isimde baştaki/sondaki boşluk",IF(COUNTIF(KaynakAralik,H826)=0,"HATA: kaynak listede yok",IF(AND(F826&lt;&gt;"Bekleniyor",F826&lt;&gt;"Geldi",F826&lt;&gt;"İptal"),"HATA: giriş durumu geçersiz",IF(AND(F826&lt;&gt;"İptal",COUNTIFS($A$6:$A$1005,A826,$D$6:$D$1005,"&lt;"&amp;E826,$E$6:$E$1005,"&gt;"&amp;D826,$F$6:$F$1005,"&lt;&gt;İptal")&gt;1),"HATA: oda bu tarihlerde çakışıyor",IF(AND(F826="Bekleniyor",D826&lt;RaporTarihi),"HATA: giriş günü geçti, Geldi veya İptal yapın","OK"))))))))))))</f>
        <v/>
      </c>
      <c r="L826" s="25">
        <f>IF(AND(ISNUMBER(A826),F826&lt;&gt;"İptal",ISNUMBER(D826),ISNUMBER(E826),D826&lt;=RaporTarihi,E826&gt;RaporTarihi),A826,"")</f>
        <v/>
      </c>
    </row>
    <row r="827">
      <c r="A827" s="22" t="n"/>
      <c r="B827" s="22" t="n"/>
      <c r="C827" s="22" t="n"/>
      <c r="D827" s="23" t="n"/>
      <c r="E827" s="23" t="n"/>
      <c r="F827" s="22" t="n"/>
      <c r="G827" s="24" t="n"/>
      <c r="H827" s="22" t="n"/>
      <c r="I827" s="25">
        <f>IF(AND(ISNUMBER(D827),ISNUMBER(E827)),E827-D827,"")</f>
        <v/>
      </c>
      <c r="J827" s="26">
        <f>IF(AND(ISNUMBER(I827),ISNUMBER(G827)),IF(I827&gt;0,G827/I827,""),"")</f>
        <v/>
      </c>
      <c r="K827" s="25">
        <f>IF(COUNTA(A827:H827)=0,"",IF(OR(A827="",B827="",C827="",D827="",E827="",F827="",G827="",H827=""),"HATA: eksik bilgi",IF(COUNTIF(OdaListesi,A827)=0,"HATA: geçersiz oda no",IF(OR(NOT(ISNUMBER(D827)),NOT(ISNUMBER(E827))),"HATA: tarih geçersiz",IF(E827&lt;=D827,"HATA: çıkış girişten sonra olmalı",IF(OR(NOT(ISNUMBER(C827)),C827&lt;1,C827&gt;MaxKisi,C827&lt;&gt;INT(C827)),"HATA: kişi sayısı geçersiz",IF(OR(NOT(ISNUMBER(G827)),G827&lt;0),"HATA: tutar geçersiz",IF(B827&lt;&gt;TRIM(B827),"HATA: isimde baştaki/sondaki boşluk",IF(COUNTIF(KaynakAralik,H827)=0,"HATA: kaynak listede yok",IF(AND(F827&lt;&gt;"Bekleniyor",F827&lt;&gt;"Geldi",F827&lt;&gt;"İptal"),"HATA: giriş durumu geçersiz",IF(AND(F827&lt;&gt;"İptal",COUNTIFS($A$6:$A$1005,A827,$D$6:$D$1005,"&lt;"&amp;E827,$E$6:$E$1005,"&gt;"&amp;D827,$F$6:$F$1005,"&lt;&gt;İptal")&gt;1),"HATA: oda bu tarihlerde çakışıyor",IF(AND(F827="Bekleniyor",D827&lt;RaporTarihi),"HATA: giriş günü geçti, Geldi veya İptal yapın","OK"))))))))))))</f>
        <v/>
      </c>
      <c r="L827" s="25">
        <f>IF(AND(ISNUMBER(A827),F827&lt;&gt;"İptal",ISNUMBER(D827),ISNUMBER(E827),D827&lt;=RaporTarihi,E827&gt;RaporTarihi),A827,"")</f>
        <v/>
      </c>
    </row>
    <row r="828">
      <c r="A828" s="22" t="n"/>
      <c r="B828" s="22" t="n"/>
      <c r="C828" s="22" t="n"/>
      <c r="D828" s="23" t="n"/>
      <c r="E828" s="23" t="n"/>
      <c r="F828" s="22" t="n"/>
      <c r="G828" s="24" t="n"/>
      <c r="H828" s="22" t="n"/>
      <c r="I828" s="25">
        <f>IF(AND(ISNUMBER(D828),ISNUMBER(E828)),E828-D828,"")</f>
        <v/>
      </c>
      <c r="J828" s="26">
        <f>IF(AND(ISNUMBER(I828),ISNUMBER(G828)),IF(I828&gt;0,G828/I828,""),"")</f>
        <v/>
      </c>
      <c r="K828" s="25">
        <f>IF(COUNTA(A828:H828)=0,"",IF(OR(A828="",B828="",C828="",D828="",E828="",F828="",G828="",H828=""),"HATA: eksik bilgi",IF(COUNTIF(OdaListesi,A828)=0,"HATA: geçersiz oda no",IF(OR(NOT(ISNUMBER(D828)),NOT(ISNUMBER(E828))),"HATA: tarih geçersiz",IF(E828&lt;=D828,"HATA: çıkış girişten sonra olmalı",IF(OR(NOT(ISNUMBER(C828)),C828&lt;1,C828&gt;MaxKisi,C828&lt;&gt;INT(C828)),"HATA: kişi sayısı geçersiz",IF(OR(NOT(ISNUMBER(G828)),G828&lt;0),"HATA: tutar geçersiz",IF(B828&lt;&gt;TRIM(B828),"HATA: isimde baştaki/sondaki boşluk",IF(COUNTIF(KaynakAralik,H828)=0,"HATA: kaynak listede yok",IF(AND(F828&lt;&gt;"Bekleniyor",F828&lt;&gt;"Geldi",F828&lt;&gt;"İptal"),"HATA: giriş durumu geçersiz",IF(AND(F828&lt;&gt;"İptal",COUNTIFS($A$6:$A$1005,A828,$D$6:$D$1005,"&lt;"&amp;E828,$E$6:$E$1005,"&gt;"&amp;D828,$F$6:$F$1005,"&lt;&gt;İptal")&gt;1),"HATA: oda bu tarihlerde çakışıyor",IF(AND(F828="Bekleniyor",D828&lt;RaporTarihi),"HATA: giriş günü geçti, Geldi veya İptal yapın","OK"))))))))))))</f>
        <v/>
      </c>
      <c r="L828" s="25">
        <f>IF(AND(ISNUMBER(A828),F828&lt;&gt;"İptal",ISNUMBER(D828),ISNUMBER(E828),D828&lt;=RaporTarihi,E828&gt;RaporTarihi),A828,"")</f>
        <v/>
      </c>
    </row>
    <row r="829">
      <c r="A829" s="22" t="n"/>
      <c r="B829" s="22" t="n"/>
      <c r="C829" s="22" t="n"/>
      <c r="D829" s="23" t="n"/>
      <c r="E829" s="23" t="n"/>
      <c r="F829" s="22" t="n"/>
      <c r="G829" s="24" t="n"/>
      <c r="H829" s="22" t="n"/>
      <c r="I829" s="25">
        <f>IF(AND(ISNUMBER(D829),ISNUMBER(E829)),E829-D829,"")</f>
        <v/>
      </c>
      <c r="J829" s="26">
        <f>IF(AND(ISNUMBER(I829),ISNUMBER(G829)),IF(I829&gt;0,G829/I829,""),"")</f>
        <v/>
      </c>
      <c r="K829" s="25">
        <f>IF(COUNTA(A829:H829)=0,"",IF(OR(A829="",B829="",C829="",D829="",E829="",F829="",G829="",H829=""),"HATA: eksik bilgi",IF(COUNTIF(OdaListesi,A829)=0,"HATA: geçersiz oda no",IF(OR(NOT(ISNUMBER(D829)),NOT(ISNUMBER(E829))),"HATA: tarih geçersiz",IF(E829&lt;=D829,"HATA: çıkış girişten sonra olmalı",IF(OR(NOT(ISNUMBER(C829)),C829&lt;1,C829&gt;MaxKisi,C829&lt;&gt;INT(C829)),"HATA: kişi sayısı geçersiz",IF(OR(NOT(ISNUMBER(G829)),G829&lt;0),"HATA: tutar geçersiz",IF(B829&lt;&gt;TRIM(B829),"HATA: isimde baştaki/sondaki boşluk",IF(COUNTIF(KaynakAralik,H829)=0,"HATA: kaynak listede yok",IF(AND(F829&lt;&gt;"Bekleniyor",F829&lt;&gt;"Geldi",F829&lt;&gt;"İptal"),"HATA: giriş durumu geçersiz",IF(AND(F829&lt;&gt;"İptal",COUNTIFS($A$6:$A$1005,A829,$D$6:$D$1005,"&lt;"&amp;E829,$E$6:$E$1005,"&gt;"&amp;D829,$F$6:$F$1005,"&lt;&gt;İptal")&gt;1),"HATA: oda bu tarihlerde çakışıyor",IF(AND(F829="Bekleniyor",D829&lt;RaporTarihi),"HATA: giriş günü geçti, Geldi veya İptal yapın","OK"))))))))))))</f>
        <v/>
      </c>
      <c r="L829" s="25">
        <f>IF(AND(ISNUMBER(A829),F829&lt;&gt;"İptal",ISNUMBER(D829),ISNUMBER(E829),D829&lt;=RaporTarihi,E829&gt;RaporTarihi),A829,"")</f>
        <v/>
      </c>
    </row>
    <row r="830">
      <c r="A830" s="22" t="n"/>
      <c r="B830" s="22" t="n"/>
      <c r="C830" s="22" t="n"/>
      <c r="D830" s="23" t="n"/>
      <c r="E830" s="23" t="n"/>
      <c r="F830" s="22" t="n"/>
      <c r="G830" s="24" t="n"/>
      <c r="H830" s="22" t="n"/>
      <c r="I830" s="25">
        <f>IF(AND(ISNUMBER(D830),ISNUMBER(E830)),E830-D830,"")</f>
        <v/>
      </c>
      <c r="J830" s="26">
        <f>IF(AND(ISNUMBER(I830),ISNUMBER(G830)),IF(I830&gt;0,G830/I830,""),"")</f>
        <v/>
      </c>
      <c r="K830" s="25">
        <f>IF(COUNTA(A830:H830)=0,"",IF(OR(A830="",B830="",C830="",D830="",E830="",F830="",G830="",H830=""),"HATA: eksik bilgi",IF(COUNTIF(OdaListesi,A830)=0,"HATA: geçersiz oda no",IF(OR(NOT(ISNUMBER(D830)),NOT(ISNUMBER(E830))),"HATA: tarih geçersiz",IF(E830&lt;=D830,"HATA: çıkış girişten sonra olmalı",IF(OR(NOT(ISNUMBER(C830)),C830&lt;1,C830&gt;MaxKisi,C830&lt;&gt;INT(C830)),"HATA: kişi sayısı geçersiz",IF(OR(NOT(ISNUMBER(G830)),G830&lt;0),"HATA: tutar geçersiz",IF(B830&lt;&gt;TRIM(B830),"HATA: isimde baştaki/sondaki boşluk",IF(COUNTIF(KaynakAralik,H830)=0,"HATA: kaynak listede yok",IF(AND(F830&lt;&gt;"Bekleniyor",F830&lt;&gt;"Geldi",F830&lt;&gt;"İptal"),"HATA: giriş durumu geçersiz",IF(AND(F830&lt;&gt;"İptal",COUNTIFS($A$6:$A$1005,A830,$D$6:$D$1005,"&lt;"&amp;E830,$E$6:$E$1005,"&gt;"&amp;D830,$F$6:$F$1005,"&lt;&gt;İptal")&gt;1),"HATA: oda bu tarihlerde çakışıyor",IF(AND(F830="Bekleniyor",D830&lt;RaporTarihi),"HATA: giriş günü geçti, Geldi veya İptal yapın","OK"))))))))))))</f>
        <v/>
      </c>
      <c r="L830" s="25">
        <f>IF(AND(ISNUMBER(A830),F830&lt;&gt;"İptal",ISNUMBER(D830),ISNUMBER(E830),D830&lt;=RaporTarihi,E830&gt;RaporTarihi),A830,"")</f>
        <v/>
      </c>
    </row>
    <row r="831">
      <c r="A831" s="22" t="n"/>
      <c r="B831" s="22" t="n"/>
      <c r="C831" s="22" t="n"/>
      <c r="D831" s="23" t="n"/>
      <c r="E831" s="23" t="n"/>
      <c r="F831" s="22" t="n"/>
      <c r="G831" s="24" t="n"/>
      <c r="H831" s="22" t="n"/>
      <c r="I831" s="25">
        <f>IF(AND(ISNUMBER(D831),ISNUMBER(E831)),E831-D831,"")</f>
        <v/>
      </c>
      <c r="J831" s="26">
        <f>IF(AND(ISNUMBER(I831),ISNUMBER(G831)),IF(I831&gt;0,G831/I831,""),"")</f>
        <v/>
      </c>
      <c r="K831" s="25">
        <f>IF(COUNTA(A831:H831)=0,"",IF(OR(A831="",B831="",C831="",D831="",E831="",F831="",G831="",H831=""),"HATA: eksik bilgi",IF(COUNTIF(OdaListesi,A831)=0,"HATA: geçersiz oda no",IF(OR(NOT(ISNUMBER(D831)),NOT(ISNUMBER(E831))),"HATA: tarih geçersiz",IF(E831&lt;=D831,"HATA: çıkış girişten sonra olmalı",IF(OR(NOT(ISNUMBER(C831)),C831&lt;1,C831&gt;MaxKisi,C831&lt;&gt;INT(C831)),"HATA: kişi sayısı geçersiz",IF(OR(NOT(ISNUMBER(G831)),G831&lt;0),"HATA: tutar geçersiz",IF(B831&lt;&gt;TRIM(B831),"HATA: isimde baştaki/sondaki boşluk",IF(COUNTIF(KaynakAralik,H831)=0,"HATA: kaynak listede yok",IF(AND(F831&lt;&gt;"Bekleniyor",F831&lt;&gt;"Geldi",F831&lt;&gt;"İptal"),"HATA: giriş durumu geçersiz",IF(AND(F831&lt;&gt;"İptal",COUNTIFS($A$6:$A$1005,A831,$D$6:$D$1005,"&lt;"&amp;E831,$E$6:$E$1005,"&gt;"&amp;D831,$F$6:$F$1005,"&lt;&gt;İptal")&gt;1),"HATA: oda bu tarihlerde çakışıyor",IF(AND(F831="Bekleniyor",D831&lt;RaporTarihi),"HATA: giriş günü geçti, Geldi veya İptal yapın","OK"))))))))))))</f>
        <v/>
      </c>
      <c r="L831" s="25">
        <f>IF(AND(ISNUMBER(A831),F831&lt;&gt;"İptal",ISNUMBER(D831),ISNUMBER(E831),D831&lt;=RaporTarihi,E831&gt;RaporTarihi),A831,"")</f>
        <v/>
      </c>
    </row>
    <row r="832">
      <c r="A832" s="22" t="n"/>
      <c r="B832" s="22" t="n"/>
      <c r="C832" s="22" t="n"/>
      <c r="D832" s="23" t="n"/>
      <c r="E832" s="23" t="n"/>
      <c r="F832" s="22" t="n"/>
      <c r="G832" s="24" t="n"/>
      <c r="H832" s="22" t="n"/>
      <c r="I832" s="25">
        <f>IF(AND(ISNUMBER(D832),ISNUMBER(E832)),E832-D832,"")</f>
        <v/>
      </c>
      <c r="J832" s="26">
        <f>IF(AND(ISNUMBER(I832),ISNUMBER(G832)),IF(I832&gt;0,G832/I832,""),"")</f>
        <v/>
      </c>
      <c r="K832" s="25">
        <f>IF(COUNTA(A832:H832)=0,"",IF(OR(A832="",B832="",C832="",D832="",E832="",F832="",G832="",H832=""),"HATA: eksik bilgi",IF(COUNTIF(OdaListesi,A832)=0,"HATA: geçersiz oda no",IF(OR(NOT(ISNUMBER(D832)),NOT(ISNUMBER(E832))),"HATA: tarih geçersiz",IF(E832&lt;=D832,"HATA: çıkış girişten sonra olmalı",IF(OR(NOT(ISNUMBER(C832)),C832&lt;1,C832&gt;MaxKisi,C832&lt;&gt;INT(C832)),"HATA: kişi sayısı geçersiz",IF(OR(NOT(ISNUMBER(G832)),G832&lt;0),"HATA: tutar geçersiz",IF(B832&lt;&gt;TRIM(B832),"HATA: isimde baştaki/sondaki boşluk",IF(COUNTIF(KaynakAralik,H832)=0,"HATA: kaynak listede yok",IF(AND(F832&lt;&gt;"Bekleniyor",F832&lt;&gt;"Geldi",F832&lt;&gt;"İptal"),"HATA: giriş durumu geçersiz",IF(AND(F832&lt;&gt;"İptal",COUNTIFS($A$6:$A$1005,A832,$D$6:$D$1005,"&lt;"&amp;E832,$E$6:$E$1005,"&gt;"&amp;D832,$F$6:$F$1005,"&lt;&gt;İptal")&gt;1),"HATA: oda bu tarihlerde çakışıyor",IF(AND(F832="Bekleniyor",D832&lt;RaporTarihi),"HATA: giriş günü geçti, Geldi veya İptal yapın","OK"))))))))))))</f>
        <v/>
      </c>
      <c r="L832" s="25">
        <f>IF(AND(ISNUMBER(A832),F832&lt;&gt;"İptal",ISNUMBER(D832),ISNUMBER(E832),D832&lt;=RaporTarihi,E832&gt;RaporTarihi),A832,"")</f>
        <v/>
      </c>
    </row>
    <row r="833">
      <c r="A833" s="22" t="n"/>
      <c r="B833" s="22" t="n"/>
      <c r="C833" s="22" t="n"/>
      <c r="D833" s="23" t="n"/>
      <c r="E833" s="23" t="n"/>
      <c r="F833" s="22" t="n"/>
      <c r="G833" s="24" t="n"/>
      <c r="H833" s="22" t="n"/>
      <c r="I833" s="25">
        <f>IF(AND(ISNUMBER(D833),ISNUMBER(E833)),E833-D833,"")</f>
        <v/>
      </c>
      <c r="J833" s="26">
        <f>IF(AND(ISNUMBER(I833),ISNUMBER(G833)),IF(I833&gt;0,G833/I833,""),"")</f>
        <v/>
      </c>
      <c r="K833" s="25">
        <f>IF(COUNTA(A833:H833)=0,"",IF(OR(A833="",B833="",C833="",D833="",E833="",F833="",G833="",H833=""),"HATA: eksik bilgi",IF(COUNTIF(OdaListesi,A833)=0,"HATA: geçersiz oda no",IF(OR(NOT(ISNUMBER(D833)),NOT(ISNUMBER(E833))),"HATA: tarih geçersiz",IF(E833&lt;=D833,"HATA: çıkış girişten sonra olmalı",IF(OR(NOT(ISNUMBER(C833)),C833&lt;1,C833&gt;MaxKisi,C833&lt;&gt;INT(C833)),"HATA: kişi sayısı geçersiz",IF(OR(NOT(ISNUMBER(G833)),G833&lt;0),"HATA: tutar geçersiz",IF(B833&lt;&gt;TRIM(B833),"HATA: isimde baştaki/sondaki boşluk",IF(COUNTIF(KaynakAralik,H833)=0,"HATA: kaynak listede yok",IF(AND(F833&lt;&gt;"Bekleniyor",F833&lt;&gt;"Geldi",F833&lt;&gt;"İptal"),"HATA: giriş durumu geçersiz",IF(AND(F833&lt;&gt;"İptal",COUNTIFS($A$6:$A$1005,A833,$D$6:$D$1005,"&lt;"&amp;E833,$E$6:$E$1005,"&gt;"&amp;D833,$F$6:$F$1005,"&lt;&gt;İptal")&gt;1),"HATA: oda bu tarihlerde çakışıyor",IF(AND(F833="Bekleniyor",D833&lt;RaporTarihi),"HATA: giriş günü geçti, Geldi veya İptal yapın","OK"))))))))))))</f>
        <v/>
      </c>
      <c r="L833" s="25">
        <f>IF(AND(ISNUMBER(A833),F833&lt;&gt;"İptal",ISNUMBER(D833),ISNUMBER(E833),D833&lt;=RaporTarihi,E833&gt;RaporTarihi),A833,"")</f>
        <v/>
      </c>
    </row>
    <row r="834">
      <c r="A834" s="22" t="n"/>
      <c r="B834" s="22" t="n"/>
      <c r="C834" s="22" t="n"/>
      <c r="D834" s="23" t="n"/>
      <c r="E834" s="23" t="n"/>
      <c r="F834" s="22" t="n"/>
      <c r="G834" s="24" t="n"/>
      <c r="H834" s="22" t="n"/>
      <c r="I834" s="25">
        <f>IF(AND(ISNUMBER(D834),ISNUMBER(E834)),E834-D834,"")</f>
        <v/>
      </c>
      <c r="J834" s="26">
        <f>IF(AND(ISNUMBER(I834),ISNUMBER(G834)),IF(I834&gt;0,G834/I834,""),"")</f>
        <v/>
      </c>
      <c r="K834" s="25">
        <f>IF(COUNTA(A834:H834)=0,"",IF(OR(A834="",B834="",C834="",D834="",E834="",F834="",G834="",H834=""),"HATA: eksik bilgi",IF(COUNTIF(OdaListesi,A834)=0,"HATA: geçersiz oda no",IF(OR(NOT(ISNUMBER(D834)),NOT(ISNUMBER(E834))),"HATA: tarih geçersiz",IF(E834&lt;=D834,"HATA: çıkış girişten sonra olmalı",IF(OR(NOT(ISNUMBER(C834)),C834&lt;1,C834&gt;MaxKisi,C834&lt;&gt;INT(C834)),"HATA: kişi sayısı geçersiz",IF(OR(NOT(ISNUMBER(G834)),G834&lt;0),"HATA: tutar geçersiz",IF(B834&lt;&gt;TRIM(B834),"HATA: isimde baştaki/sondaki boşluk",IF(COUNTIF(KaynakAralik,H834)=0,"HATA: kaynak listede yok",IF(AND(F834&lt;&gt;"Bekleniyor",F834&lt;&gt;"Geldi",F834&lt;&gt;"İptal"),"HATA: giriş durumu geçersiz",IF(AND(F834&lt;&gt;"İptal",COUNTIFS($A$6:$A$1005,A834,$D$6:$D$1005,"&lt;"&amp;E834,$E$6:$E$1005,"&gt;"&amp;D834,$F$6:$F$1005,"&lt;&gt;İptal")&gt;1),"HATA: oda bu tarihlerde çakışıyor",IF(AND(F834="Bekleniyor",D834&lt;RaporTarihi),"HATA: giriş günü geçti, Geldi veya İptal yapın","OK"))))))))))))</f>
        <v/>
      </c>
      <c r="L834" s="25">
        <f>IF(AND(ISNUMBER(A834),F834&lt;&gt;"İptal",ISNUMBER(D834),ISNUMBER(E834),D834&lt;=RaporTarihi,E834&gt;RaporTarihi),A834,"")</f>
        <v/>
      </c>
    </row>
    <row r="835">
      <c r="A835" s="22" t="n"/>
      <c r="B835" s="22" t="n"/>
      <c r="C835" s="22" t="n"/>
      <c r="D835" s="23" t="n"/>
      <c r="E835" s="23" t="n"/>
      <c r="F835" s="22" t="n"/>
      <c r="G835" s="24" t="n"/>
      <c r="H835" s="22" t="n"/>
      <c r="I835" s="25">
        <f>IF(AND(ISNUMBER(D835),ISNUMBER(E835)),E835-D835,"")</f>
        <v/>
      </c>
      <c r="J835" s="26">
        <f>IF(AND(ISNUMBER(I835),ISNUMBER(G835)),IF(I835&gt;0,G835/I835,""),"")</f>
        <v/>
      </c>
      <c r="K835" s="25">
        <f>IF(COUNTA(A835:H835)=0,"",IF(OR(A835="",B835="",C835="",D835="",E835="",F835="",G835="",H835=""),"HATA: eksik bilgi",IF(COUNTIF(OdaListesi,A835)=0,"HATA: geçersiz oda no",IF(OR(NOT(ISNUMBER(D835)),NOT(ISNUMBER(E835))),"HATA: tarih geçersiz",IF(E835&lt;=D835,"HATA: çıkış girişten sonra olmalı",IF(OR(NOT(ISNUMBER(C835)),C835&lt;1,C835&gt;MaxKisi,C835&lt;&gt;INT(C835)),"HATA: kişi sayısı geçersiz",IF(OR(NOT(ISNUMBER(G835)),G835&lt;0),"HATA: tutar geçersiz",IF(B835&lt;&gt;TRIM(B835),"HATA: isimde baştaki/sondaki boşluk",IF(COUNTIF(KaynakAralik,H835)=0,"HATA: kaynak listede yok",IF(AND(F835&lt;&gt;"Bekleniyor",F835&lt;&gt;"Geldi",F835&lt;&gt;"İptal"),"HATA: giriş durumu geçersiz",IF(AND(F835&lt;&gt;"İptal",COUNTIFS($A$6:$A$1005,A835,$D$6:$D$1005,"&lt;"&amp;E835,$E$6:$E$1005,"&gt;"&amp;D835,$F$6:$F$1005,"&lt;&gt;İptal")&gt;1),"HATA: oda bu tarihlerde çakışıyor",IF(AND(F835="Bekleniyor",D835&lt;RaporTarihi),"HATA: giriş günü geçti, Geldi veya İptal yapın","OK"))))))))))))</f>
        <v/>
      </c>
      <c r="L835" s="25">
        <f>IF(AND(ISNUMBER(A835),F835&lt;&gt;"İptal",ISNUMBER(D835),ISNUMBER(E835),D835&lt;=RaporTarihi,E835&gt;RaporTarihi),A835,"")</f>
        <v/>
      </c>
    </row>
    <row r="836">
      <c r="A836" s="22" t="n"/>
      <c r="B836" s="22" t="n"/>
      <c r="C836" s="22" t="n"/>
      <c r="D836" s="23" t="n"/>
      <c r="E836" s="23" t="n"/>
      <c r="F836" s="22" t="n"/>
      <c r="G836" s="24" t="n"/>
      <c r="H836" s="22" t="n"/>
      <c r="I836" s="25">
        <f>IF(AND(ISNUMBER(D836),ISNUMBER(E836)),E836-D836,"")</f>
        <v/>
      </c>
      <c r="J836" s="26">
        <f>IF(AND(ISNUMBER(I836),ISNUMBER(G836)),IF(I836&gt;0,G836/I836,""),"")</f>
        <v/>
      </c>
      <c r="K836" s="25">
        <f>IF(COUNTA(A836:H836)=0,"",IF(OR(A836="",B836="",C836="",D836="",E836="",F836="",G836="",H836=""),"HATA: eksik bilgi",IF(COUNTIF(OdaListesi,A836)=0,"HATA: geçersiz oda no",IF(OR(NOT(ISNUMBER(D836)),NOT(ISNUMBER(E836))),"HATA: tarih geçersiz",IF(E836&lt;=D836,"HATA: çıkış girişten sonra olmalı",IF(OR(NOT(ISNUMBER(C836)),C836&lt;1,C836&gt;MaxKisi,C836&lt;&gt;INT(C836)),"HATA: kişi sayısı geçersiz",IF(OR(NOT(ISNUMBER(G836)),G836&lt;0),"HATA: tutar geçersiz",IF(B836&lt;&gt;TRIM(B836),"HATA: isimde baştaki/sondaki boşluk",IF(COUNTIF(KaynakAralik,H836)=0,"HATA: kaynak listede yok",IF(AND(F836&lt;&gt;"Bekleniyor",F836&lt;&gt;"Geldi",F836&lt;&gt;"İptal"),"HATA: giriş durumu geçersiz",IF(AND(F836&lt;&gt;"İptal",COUNTIFS($A$6:$A$1005,A836,$D$6:$D$1005,"&lt;"&amp;E836,$E$6:$E$1005,"&gt;"&amp;D836,$F$6:$F$1005,"&lt;&gt;İptal")&gt;1),"HATA: oda bu tarihlerde çakışıyor",IF(AND(F836="Bekleniyor",D836&lt;RaporTarihi),"HATA: giriş günü geçti, Geldi veya İptal yapın","OK"))))))))))))</f>
        <v/>
      </c>
      <c r="L836" s="25">
        <f>IF(AND(ISNUMBER(A836),F836&lt;&gt;"İptal",ISNUMBER(D836),ISNUMBER(E836),D836&lt;=RaporTarihi,E836&gt;RaporTarihi),A836,"")</f>
        <v/>
      </c>
    </row>
    <row r="837">
      <c r="A837" s="22" t="n"/>
      <c r="B837" s="22" t="n"/>
      <c r="C837" s="22" t="n"/>
      <c r="D837" s="23" t="n"/>
      <c r="E837" s="23" t="n"/>
      <c r="F837" s="22" t="n"/>
      <c r="G837" s="24" t="n"/>
      <c r="H837" s="22" t="n"/>
      <c r="I837" s="25">
        <f>IF(AND(ISNUMBER(D837),ISNUMBER(E837)),E837-D837,"")</f>
        <v/>
      </c>
      <c r="J837" s="26">
        <f>IF(AND(ISNUMBER(I837),ISNUMBER(G837)),IF(I837&gt;0,G837/I837,""),"")</f>
        <v/>
      </c>
      <c r="K837" s="25">
        <f>IF(COUNTA(A837:H837)=0,"",IF(OR(A837="",B837="",C837="",D837="",E837="",F837="",G837="",H837=""),"HATA: eksik bilgi",IF(COUNTIF(OdaListesi,A837)=0,"HATA: geçersiz oda no",IF(OR(NOT(ISNUMBER(D837)),NOT(ISNUMBER(E837))),"HATA: tarih geçersiz",IF(E837&lt;=D837,"HATA: çıkış girişten sonra olmalı",IF(OR(NOT(ISNUMBER(C837)),C837&lt;1,C837&gt;MaxKisi,C837&lt;&gt;INT(C837)),"HATA: kişi sayısı geçersiz",IF(OR(NOT(ISNUMBER(G837)),G837&lt;0),"HATA: tutar geçersiz",IF(B837&lt;&gt;TRIM(B837),"HATA: isimde baştaki/sondaki boşluk",IF(COUNTIF(KaynakAralik,H837)=0,"HATA: kaynak listede yok",IF(AND(F837&lt;&gt;"Bekleniyor",F837&lt;&gt;"Geldi",F837&lt;&gt;"İptal"),"HATA: giriş durumu geçersiz",IF(AND(F837&lt;&gt;"İptal",COUNTIFS($A$6:$A$1005,A837,$D$6:$D$1005,"&lt;"&amp;E837,$E$6:$E$1005,"&gt;"&amp;D837,$F$6:$F$1005,"&lt;&gt;İptal")&gt;1),"HATA: oda bu tarihlerde çakışıyor",IF(AND(F837="Bekleniyor",D837&lt;RaporTarihi),"HATA: giriş günü geçti, Geldi veya İptal yapın","OK"))))))))))))</f>
        <v/>
      </c>
      <c r="L837" s="25">
        <f>IF(AND(ISNUMBER(A837),F837&lt;&gt;"İptal",ISNUMBER(D837),ISNUMBER(E837),D837&lt;=RaporTarihi,E837&gt;RaporTarihi),A837,"")</f>
        <v/>
      </c>
    </row>
    <row r="838">
      <c r="A838" s="22" t="n"/>
      <c r="B838" s="22" t="n"/>
      <c r="C838" s="22" t="n"/>
      <c r="D838" s="23" t="n"/>
      <c r="E838" s="23" t="n"/>
      <c r="F838" s="22" t="n"/>
      <c r="G838" s="24" t="n"/>
      <c r="H838" s="22" t="n"/>
      <c r="I838" s="25">
        <f>IF(AND(ISNUMBER(D838),ISNUMBER(E838)),E838-D838,"")</f>
        <v/>
      </c>
      <c r="J838" s="26">
        <f>IF(AND(ISNUMBER(I838),ISNUMBER(G838)),IF(I838&gt;0,G838/I838,""),"")</f>
        <v/>
      </c>
      <c r="K838" s="25">
        <f>IF(COUNTA(A838:H838)=0,"",IF(OR(A838="",B838="",C838="",D838="",E838="",F838="",G838="",H838=""),"HATA: eksik bilgi",IF(COUNTIF(OdaListesi,A838)=0,"HATA: geçersiz oda no",IF(OR(NOT(ISNUMBER(D838)),NOT(ISNUMBER(E838))),"HATA: tarih geçersiz",IF(E838&lt;=D838,"HATA: çıkış girişten sonra olmalı",IF(OR(NOT(ISNUMBER(C838)),C838&lt;1,C838&gt;MaxKisi,C838&lt;&gt;INT(C838)),"HATA: kişi sayısı geçersiz",IF(OR(NOT(ISNUMBER(G838)),G838&lt;0),"HATA: tutar geçersiz",IF(B838&lt;&gt;TRIM(B838),"HATA: isimde baştaki/sondaki boşluk",IF(COUNTIF(KaynakAralik,H838)=0,"HATA: kaynak listede yok",IF(AND(F838&lt;&gt;"Bekleniyor",F838&lt;&gt;"Geldi",F838&lt;&gt;"İptal"),"HATA: giriş durumu geçersiz",IF(AND(F838&lt;&gt;"İptal",COUNTIFS($A$6:$A$1005,A838,$D$6:$D$1005,"&lt;"&amp;E838,$E$6:$E$1005,"&gt;"&amp;D838,$F$6:$F$1005,"&lt;&gt;İptal")&gt;1),"HATA: oda bu tarihlerde çakışıyor",IF(AND(F838="Bekleniyor",D838&lt;RaporTarihi),"HATA: giriş günü geçti, Geldi veya İptal yapın","OK"))))))))))))</f>
        <v/>
      </c>
      <c r="L838" s="25">
        <f>IF(AND(ISNUMBER(A838),F838&lt;&gt;"İptal",ISNUMBER(D838),ISNUMBER(E838),D838&lt;=RaporTarihi,E838&gt;RaporTarihi),A838,"")</f>
        <v/>
      </c>
    </row>
    <row r="839">
      <c r="A839" s="22" t="n"/>
      <c r="B839" s="22" t="n"/>
      <c r="C839" s="22" t="n"/>
      <c r="D839" s="23" t="n"/>
      <c r="E839" s="23" t="n"/>
      <c r="F839" s="22" t="n"/>
      <c r="G839" s="24" t="n"/>
      <c r="H839" s="22" t="n"/>
      <c r="I839" s="25">
        <f>IF(AND(ISNUMBER(D839),ISNUMBER(E839)),E839-D839,"")</f>
        <v/>
      </c>
      <c r="J839" s="26">
        <f>IF(AND(ISNUMBER(I839),ISNUMBER(G839)),IF(I839&gt;0,G839/I839,""),"")</f>
        <v/>
      </c>
      <c r="K839" s="25">
        <f>IF(COUNTA(A839:H839)=0,"",IF(OR(A839="",B839="",C839="",D839="",E839="",F839="",G839="",H839=""),"HATA: eksik bilgi",IF(COUNTIF(OdaListesi,A839)=0,"HATA: geçersiz oda no",IF(OR(NOT(ISNUMBER(D839)),NOT(ISNUMBER(E839))),"HATA: tarih geçersiz",IF(E839&lt;=D839,"HATA: çıkış girişten sonra olmalı",IF(OR(NOT(ISNUMBER(C839)),C839&lt;1,C839&gt;MaxKisi,C839&lt;&gt;INT(C839)),"HATA: kişi sayısı geçersiz",IF(OR(NOT(ISNUMBER(G839)),G839&lt;0),"HATA: tutar geçersiz",IF(B839&lt;&gt;TRIM(B839),"HATA: isimde baştaki/sondaki boşluk",IF(COUNTIF(KaynakAralik,H839)=0,"HATA: kaynak listede yok",IF(AND(F839&lt;&gt;"Bekleniyor",F839&lt;&gt;"Geldi",F839&lt;&gt;"İptal"),"HATA: giriş durumu geçersiz",IF(AND(F839&lt;&gt;"İptal",COUNTIFS($A$6:$A$1005,A839,$D$6:$D$1005,"&lt;"&amp;E839,$E$6:$E$1005,"&gt;"&amp;D839,$F$6:$F$1005,"&lt;&gt;İptal")&gt;1),"HATA: oda bu tarihlerde çakışıyor",IF(AND(F839="Bekleniyor",D839&lt;RaporTarihi),"HATA: giriş günü geçti, Geldi veya İptal yapın","OK"))))))))))))</f>
        <v/>
      </c>
      <c r="L839" s="25">
        <f>IF(AND(ISNUMBER(A839),F839&lt;&gt;"İptal",ISNUMBER(D839),ISNUMBER(E839),D839&lt;=RaporTarihi,E839&gt;RaporTarihi),A839,"")</f>
        <v/>
      </c>
    </row>
    <row r="840">
      <c r="A840" s="22" t="n"/>
      <c r="B840" s="22" t="n"/>
      <c r="C840" s="22" t="n"/>
      <c r="D840" s="23" t="n"/>
      <c r="E840" s="23" t="n"/>
      <c r="F840" s="22" t="n"/>
      <c r="G840" s="24" t="n"/>
      <c r="H840" s="22" t="n"/>
      <c r="I840" s="25">
        <f>IF(AND(ISNUMBER(D840),ISNUMBER(E840)),E840-D840,"")</f>
        <v/>
      </c>
      <c r="J840" s="26">
        <f>IF(AND(ISNUMBER(I840),ISNUMBER(G840)),IF(I840&gt;0,G840/I840,""),"")</f>
        <v/>
      </c>
      <c r="K840" s="25">
        <f>IF(COUNTA(A840:H840)=0,"",IF(OR(A840="",B840="",C840="",D840="",E840="",F840="",G840="",H840=""),"HATA: eksik bilgi",IF(COUNTIF(OdaListesi,A840)=0,"HATA: geçersiz oda no",IF(OR(NOT(ISNUMBER(D840)),NOT(ISNUMBER(E840))),"HATA: tarih geçersiz",IF(E840&lt;=D840,"HATA: çıkış girişten sonra olmalı",IF(OR(NOT(ISNUMBER(C840)),C840&lt;1,C840&gt;MaxKisi,C840&lt;&gt;INT(C840)),"HATA: kişi sayısı geçersiz",IF(OR(NOT(ISNUMBER(G840)),G840&lt;0),"HATA: tutar geçersiz",IF(B840&lt;&gt;TRIM(B840),"HATA: isimde baştaki/sondaki boşluk",IF(COUNTIF(KaynakAralik,H840)=0,"HATA: kaynak listede yok",IF(AND(F840&lt;&gt;"Bekleniyor",F840&lt;&gt;"Geldi",F840&lt;&gt;"İptal"),"HATA: giriş durumu geçersiz",IF(AND(F840&lt;&gt;"İptal",COUNTIFS($A$6:$A$1005,A840,$D$6:$D$1005,"&lt;"&amp;E840,$E$6:$E$1005,"&gt;"&amp;D840,$F$6:$F$1005,"&lt;&gt;İptal")&gt;1),"HATA: oda bu tarihlerde çakışıyor",IF(AND(F840="Bekleniyor",D840&lt;RaporTarihi),"HATA: giriş günü geçti, Geldi veya İptal yapın","OK"))))))))))))</f>
        <v/>
      </c>
      <c r="L840" s="25">
        <f>IF(AND(ISNUMBER(A840),F840&lt;&gt;"İptal",ISNUMBER(D840),ISNUMBER(E840),D840&lt;=RaporTarihi,E840&gt;RaporTarihi),A840,"")</f>
        <v/>
      </c>
    </row>
    <row r="841">
      <c r="A841" s="22" t="n"/>
      <c r="B841" s="22" t="n"/>
      <c r="C841" s="22" t="n"/>
      <c r="D841" s="23" t="n"/>
      <c r="E841" s="23" t="n"/>
      <c r="F841" s="22" t="n"/>
      <c r="G841" s="24" t="n"/>
      <c r="H841" s="22" t="n"/>
      <c r="I841" s="25">
        <f>IF(AND(ISNUMBER(D841),ISNUMBER(E841)),E841-D841,"")</f>
        <v/>
      </c>
      <c r="J841" s="26">
        <f>IF(AND(ISNUMBER(I841),ISNUMBER(G841)),IF(I841&gt;0,G841/I841,""),"")</f>
        <v/>
      </c>
      <c r="K841" s="25">
        <f>IF(COUNTA(A841:H841)=0,"",IF(OR(A841="",B841="",C841="",D841="",E841="",F841="",G841="",H841=""),"HATA: eksik bilgi",IF(COUNTIF(OdaListesi,A841)=0,"HATA: geçersiz oda no",IF(OR(NOT(ISNUMBER(D841)),NOT(ISNUMBER(E841))),"HATA: tarih geçersiz",IF(E841&lt;=D841,"HATA: çıkış girişten sonra olmalı",IF(OR(NOT(ISNUMBER(C841)),C841&lt;1,C841&gt;MaxKisi,C841&lt;&gt;INT(C841)),"HATA: kişi sayısı geçersiz",IF(OR(NOT(ISNUMBER(G841)),G841&lt;0),"HATA: tutar geçersiz",IF(B841&lt;&gt;TRIM(B841),"HATA: isimde baştaki/sondaki boşluk",IF(COUNTIF(KaynakAralik,H841)=0,"HATA: kaynak listede yok",IF(AND(F841&lt;&gt;"Bekleniyor",F841&lt;&gt;"Geldi",F841&lt;&gt;"İptal"),"HATA: giriş durumu geçersiz",IF(AND(F841&lt;&gt;"İptal",COUNTIFS($A$6:$A$1005,A841,$D$6:$D$1005,"&lt;"&amp;E841,$E$6:$E$1005,"&gt;"&amp;D841,$F$6:$F$1005,"&lt;&gt;İptal")&gt;1),"HATA: oda bu tarihlerde çakışıyor",IF(AND(F841="Bekleniyor",D841&lt;RaporTarihi),"HATA: giriş günü geçti, Geldi veya İptal yapın","OK"))))))))))))</f>
        <v/>
      </c>
      <c r="L841" s="25">
        <f>IF(AND(ISNUMBER(A841),F841&lt;&gt;"İptal",ISNUMBER(D841),ISNUMBER(E841),D841&lt;=RaporTarihi,E841&gt;RaporTarihi),A841,"")</f>
        <v/>
      </c>
    </row>
    <row r="842">
      <c r="A842" s="22" t="n"/>
      <c r="B842" s="22" t="n"/>
      <c r="C842" s="22" t="n"/>
      <c r="D842" s="23" t="n"/>
      <c r="E842" s="23" t="n"/>
      <c r="F842" s="22" t="n"/>
      <c r="G842" s="24" t="n"/>
      <c r="H842" s="22" t="n"/>
      <c r="I842" s="25">
        <f>IF(AND(ISNUMBER(D842),ISNUMBER(E842)),E842-D842,"")</f>
        <v/>
      </c>
      <c r="J842" s="26">
        <f>IF(AND(ISNUMBER(I842),ISNUMBER(G842)),IF(I842&gt;0,G842/I842,""),"")</f>
        <v/>
      </c>
      <c r="K842" s="25">
        <f>IF(COUNTA(A842:H842)=0,"",IF(OR(A842="",B842="",C842="",D842="",E842="",F842="",G842="",H842=""),"HATA: eksik bilgi",IF(COUNTIF(OdaListesi,A842)=0,"HATA: geçersiz oda no",IF(OR(NOT(ISNUMBER(D842)),NOT(ISNUMBER(E842))),"HATA: tarih geçersiz",IF(E842&lt;=D842,"HATA: çıkış girişten sonra olmalı",IF(OR(NOT(ISNUMBER(C842)),C842&lt;1,C842&gt;MaxKisi,C842&lt;&gt;INT(C842)),"HATA: kişi sayısı geçersiz",IF(OR(NOT(ISNUMBER(G842)),G842&lt;0),"HATA: tutar geçersiz",IF(B842&lt;&gt;TRIM(B842),"HATA: isimde baştaki/sondaki boşluk",IF(COUNTIF(KaynakAralik,H842)=0,"HATA: kaynak listede yok",IF(AND(F842&lt;&gt;"Bekleniyor",F842&lt;&gt;"Geldi",F842&lt;&gt;"İptal"),"HATA: giriş durumu geçersiz",IF(AND(F842&lt;&gt;"İptal",COUNTIFS($A$6:$A$1005,A842,$D$6:$D$1005,"&lt;"&amp;E842,$E$6:$E$1005,"&gt;"&amp;D842,$F$6:$F$1005,"&lt;&gt;İptal")&gt;1),"HATA: oda bu tarihlerde çakışıyor",IF(AND(F842="Bekleniyor",D842&lt;RaporTarihi),"HATA: giriş günü geçti, Geldi veya İptal yapın","OK"))))))))))))</f>
        <v/>
      </c>
      <c r="L842" s="25">
        <f>IF(AND(ISNUMBER(A842),F842&lt;&gt;"İptal",ISNUMBER(D842),ISNUMBER(E842),D842&lt;=RaporTarihi,E842&gt;RaporTarihi),A842,"")</f>
        <v/>
      </c>
    </row>
    <row r="843">
      <c r="A843" s="22" t="n"/>
      <c r="B843" s="22" t="n"/>
      <c r="C843" s="22" t="n"/>
      <c r="D843" s="23" t="n"/>
      <c r="E843" s="23" t="n"/>
      <c r="F843" s="22" t="n"/>
      <c r="G843" s="24" t="n"/>
      <c r="H843" s="22" t="n"/>
      <c r="I843" s="25">
        <f>IF(AND(ISNUMBER(D843),ISNUMBER(E843)),E843-D843,"")</f>
        <v/>
      </c>
      <c r="J843" s="26">
        <f>IF(AND(ISNUMBER(I843),ISNUMBER(G843)),IF(I843&gt;0,G843/I843,""),"")</f>
        <v/>
      </c>
      <c r="K843" s="25">
        <f>IF(COUNTA(A843:H843)=0,"",IF(OR(A843="",B843="",C843="",D843="",E843="",F843="",G843="",H843=""),"HATA: eksik bilgi",IF(COUNTIF(OdaListesi,A843)=0,"HATA: geçersiz oda no",IF(OR(NOT(ISNUMBER(D843)),NOT(ISNUMBER(E843))),"HATA: tarih geçersiz",IF(E843&lt;=D843,"HATA: çıkış girişten sonra olmalı",IF(OR(NOT(ISNUMBER(C843)),C843&lt;1,C843&gt;MaxKisi,C843&lt;&gt;INT(C843)),"HATA: kişi sayısı geçersiz",IF(OR(NOT(ISNUMBER(G843)),G843&lt;0),"HATA: tutar geçersiz",IF(B843&lt;&gt;TRIM(B843),"HATA: isimde baştaki/sondaki boşluk",IF(COUNTIF(KaynakAralik,H843)=0,"HATA: kaynak listede yok",IF(AND(F843&lt;&gt;"Bekleniyor",F843&lt;&gt;"Geldi",F843&lt;&gt;"İptal"),"HATA: giriş durumu geçersiz",IF(AND(F843&lt;&gt;"İptal",COUNTIFS($A$6:$A$1005,A843,$D$6:$D$1005,"&lt;"&amp;E843,$E$6:$E$1005,"&gt;"&amp;D843,$F$6:$F$1005,"&lt;&gt;İptal")&gt;1),"HATA: oda bu tarihlerde çakışıyor",IF(AND(F843="Bekleniyor",D843&lt;RaporTarihi),"HATA: giriş günü geçti, Geldi veya İptal yapın","OK"))))))))))))</f>
        <v/>
      </c>
      <c r="L843" s="25">
        <f>IF(AND(ISNUMBER(A843),F843&lt;&gt;"İptal",ISNUMBER(D843),ISNUMBER(E843),D843&lt;=RaporTarihi,E843&gt;RaporTarihi),A843,"")</f>
        <v/>
      </c>
    </row>
    <row r="844">
      <c r="A844" s="22" t="n"/>
      <c r="B844" s="22" t="n"/>
      <c r="C844" s="22" t="n"/>
      <c r="D844" s="23" t="n"/>
      <c r="E844" s="23" t="n"/>
      <c r="F844" s="22" t="n"/>
      <c r="G844" s="24" t="n"/>
      <c r="H844" s="22" t="n"/>
      <c r="I844" s="25">
        <f>IF(AND(ISNUMBER(D844),ISNUMBER(E844)),E844-D844,"")</f>
        <v/>
      </c>
      <c r="J844" s="26">
        <f>IF(AND(ISNUMBER(I844),ISNUMBER(G844)),IF(I844&gt;0,G844/I844,""),"")</f>
        <v/>
      </c>
      <c r="K844" s="25">
        <f>IF(COUNTA(A844:H844)=0,"",IF(OR(A844="",B844="",C844="",D844="",E844="",F844="",G844="",H844=""),"HATA: eksik bilgi",IF(COUNTIF(OdaListesi,A844)=0,"HATA: geçersiz oda no",IF(OR(NOT(ISNUMBER(D844)),NOT(ISNUMBER(E844))),"HATA: tarih geçersiz",IF(E844&lt;=D844,"HATA: çıkış girişten sonra olmalı",IF(OR(NOT(ISNUMBER(C844)),C844&lt;1,C844&gt;MaxKisi,C844&lt;&gt;INT(C844)),"HATA: kişi sayısı geçersiz",IF(OR(NOT(ISNUMBER(G844)),G844&lt;0),"HATA: tutar geçersiz",IF(B844&lt;&gt;TRIM(B844),"HATA: isimde baştaki/sondaki boşluk",IF(COUNTIF(KaynakAralik,H844)=0,"HATA: kaynak listede yok",IF(AND(F844&lt;&gt;"Bekleniyor",F844&lt;&gt;"Geldi",F844&lt;&gt;"İptal"),"HATA: giriş durumu geçersiz",IF(AND(F844&lt;&gt;"İptal",COUNTIFS($A$6:$A$1005,A844,$D$6:$D$1005,"&lt;"&amp;E844,$E$6:$E$1005,"&gt;"&amp;D844,$F$6:$F$1005,"&lt;&gt;İptal")&gt;1),"HATA: oda bu tarihlerde çakışıyor",IF(AND(F844="Bekleniyor",D844&lt;RaporTarihi),"HATA: giriş günü geçti, Geldi veya İptal yapın","OK"))))))))))))</f>
        <v/>
      </c>
      <c r="L844" s="25">
        <f>IF(AND(ISNUMBER(A844),F844&lt;&gt;"İptal",ISNUMBER(D844),ISNUMBER(E844),D844&lt;=RaporTarihi,E844&gt;RaporTarihi),A844,"")</f>
        <v/>
      </c>
    </row>
    <row r="845">
      <c r="A845" s="22" t="n"/>
      <c r="B845" s="22" t="n"/>
      <c r="C845" s="22" t="n"/>
      <c r="D845" s="23" t="n"/>
      <c r="E845" s="23" t="n"/>
      <c r="F845" s="22" t="n"/>
      <c r="G845" s="24" t="n"/>
      <c r="H845" s="22" t="n"/>
      <c r="I845" s="25">
        <f>IF(AND(ISNUMBER(D845),ISNUMBER(E845)),E845-D845,"")</f>
        <v/>
      </c>
      <c r="J845" s="26">
        <f>IF(AND(ISNUMBER(I845),ISNUMBER(G845)),IF(I845&gt;0,G845/I845,""),"")</f>
        <v/>
      </c>
      <c r="K845" s="25">
        <f>IF(COUNTA(A845:H845)=0,"",IF(OR(A845="",B845="",C845="",D845="",E845="",F845="",G845="",H845=""),"HATA: eksik bilgi",IF(COUNTIF(OdaListesi,A845)=0,"HATA: geçersiz oda no",IF(OR(NOT(ISNUMBER(D845)),NOT(ISNUMBER(E845))),"HATA: tarih geçersiz",IF(E845&lt;=D845,"HATA: çıkış girişten sonra olmalı",IF(OR(NOT(ISNUMBER(C845)),C845&lt;1,C845&gt;MaxKisi,C845&lt;&gt;INT(C845)),"HATA: kişi sayısı geçersiz",IF(OR(NOT(ISNUMBER(G845)),G845&lt;0),"HATA: tutar geçersiz",IF(B845&lt;&gt;TRIM(B845),"HATA: isimde baştaki/sondaki boşluk",IF(COUNTIF(KaynakAralik,H845)=0,"HATA: kaynak listede yok",IF(AND(F845&lt;&gt;"Bekleniyor",F845&lt;&gt;"Geldi",F845&lt;&gt;"İptal"),"HATA: giriş durumu geçersiz",IF(AND(F845&lt;&gt;"İptal",COUNTIFS($A$6:$A$1005,A845,$D$6:$D$1005,"&lt;"&amp;E845,$E$6:$E$1005,"&gt;"&amp;D845,$F$6:$F$1005,"&lt;&gt;İptal")&gt;1),"HATA: oda bu tarihlerde çakışıyor",IF(AND(F845="Bekleniyor",D845&lt;RaporTarihi),"HATA: giriş günü geçti, Geldi veya İptal yapın","OK"))))))))))))</f>
        <v/>
      </c>
      <c r="L845" s="25">
        <f>IF(AND(ISNUMBER(A845),F845&lt;&gt;"İptal",ISNUMBER(D845),ISNUMBER(E845),D845&lt;=RaporTarihi,E845&gt;RaporTarihi),A845,"")</f>
        <v/>
      </c>
    </row>
    <row r="846">
      <c r="A846" s="22" t="n"/>
      <c r="B846" s="22" t="n"/>
      <c r="C846" s="22" t="n"/>
      <c r="D846" s="23" t="n"/>
      <c r="E846" s="23" t="n"/>
      <c r="F846" s="22" t="n"/>
      <c r="G846" s="24" t="n"/>
      <c r="H846" s="22" t="n"/>
      <c r="I846" s="25">
        <f>IF(AND(ISNUMBER(D846),ISNUMBER(E846)),E846-D846,"")</f>
        <v/>
      </c>
      <c r="J846" s="26">
        <f>IF(AND(ISNUMBER(I846),ISNUMBER(G846)),IF(I846&gt;0,G846/I846,""),"")</f>
        <v/>
      </c>
      <c r="K846" s="25">
        <f>IF(COUNTA(A846:H846)=0,"",IF(OR(A846="",B846="",C846="",D846="",E846="",F846="",G846="",H846=""),"HATA: eksik bilgi",IF(COUNTIF(OdaListesi,A846)=0,"HATA: geçersiz oda no",IF(OR(NOT(ISNUMBER(D846)),NOT(ISNUMBER(E846))),"HATA: tarih geçersiz",IF(E846&lt;=D846,"HATA: çıkış girişten sonra olmalı",IF(OR(NOT(ISNUMBER(C846)),C846&lt;1,C846&gt;MaxKisi,C846&lt;&gt;INT(C846)),"HATA: kişi sayısı geçersiz",IF(OR(NOT(ISNUMBER(G846)),G846&lt;0),"HATA: tutar geçersiz",IF(B846&lt;&gt;TRIM(B846),"HATA: isimde baştaki/sondaki boşluk",IF(COUNTIF(KaynakAralik,H846)=0,"HATA: kaynak listede yok",IF(AND(F846&lt;&gt;"Bekleniyor",F846&lt;&gt;"Geldi",F846&lt;&gt;"İptal"),"HATA: giriş durumu geçersiz",IF(AND(F846&lt;&gt;"İptal",COUNTIFS($A$6:$A$1005,A846,$D$6:$D$1005,"&lt;"&amp;E846,$E$6:$E$1005,"&gt;"&amp;D846,$F$6:$F$1005,"&lt;&gt;İptal")&gt;1),"HATA: oda bu tarihlerde çakışıyor",IF(AND(F846="Bekleniyor",D846&lt;RaporTarihi),"HATA: giriş günü geçti, Geldi veya İptal yapın","OK"))))))))))))</f>
        <v/>
      </c>
      <c r="L846" s="25">
        <f>IF(AND(ISNUMBER(A846),F846&lt;&gt;"İptal",ISNUMBER(D846),ISNUMBER(E846),D846&lt;=RaporTarihi,E846&gt;RaporTarihi),A846,"")</f>
        <v/>
      </c>
    </row>
    <row r="847">
      <c r="A847" s="22" t="n"/>
      <c r="B847" s="22" t="n"/>
      <c r="C847" s="22" t="n"/>
      <c r="D847" s="23" t="n"/>
      <c r="E847" s="23" t="n"/>
      <c r="F847" s="22" t="n"/>
      <c r="G847" s="24" t="n"/>
      <c r="H847" s="22" t="n"/>
      <c r="I847" s="25">
        <f>IF(AND(ISNUMBER(D847),ISNUMBER(E847)),E847-D847,"")</f>
        <v/>
      </c>
      <c r="J847" s="26">
        <f>IF(AND(ISNUMBER(I847),ISNUMBER(G847)),IF(I847&gt;0,G847/I847,""),"")</f>
        <v/>
      </c>
      <c r="K847" s="25">
        <f>IF(COUNTA(A847:H847)=0,"",IF(OR(A847="",B847="",C847="",D847="",E847="",F847="",G847="",H847=""),"HATA: eksik bilgi",IF(COUNTIF(OdaListesi,A847)=0,"HATA: geçersiz oda no",IF(OR(NOT(ISNUMBER(D847)),NOT(ISNUMBER(E847))),"HATA: tarih geçersiz",IF(E847&lt;=D847,"HATA: çıkış girişten sonra olmalı",IF(OR(NOT(ISNUMBER(C847)),C847&lt;1,C847&gt;MaxKisi,C847&lt;&gt;INT(C847)),"HATA: kişi sayısı geçersiz",IF(OR(NOT(ISNUMBER(G847)),G847&lt;0),"HATA: tutar geçersiz",IF(B847&lt;&gt;TRIM(B847),"HATA: isimde baştaki/sondaki boşluk",IF(COUNTIF(KaynakAralik,H847)=0,"HATA: kaynak listede yok",IF(AND(F847&lt;&gt;"Bekleniyor",F847&lt;&gt;"Geldi",F847&lt;&gt;"İptal"),"HATA: giriş durumu geçersiz",IF(AND(F847&lt;&gt;"İptal",COUNTIFS($A$6:$A$1005,A847,$D$6:$D$1005,"&lt;"&amp;E847,$E$6:$E$1005,"&gt;"&amp;D847,$F$6:$F$1005,"&lt;&gt;İptal")&gt;1),"HATA: oda bu tarihlerde çakışıyor",IF(AND(F847="Bekleniyor",D847&lt;RaporTarihi),"HATA: giriş günü geçti, Geldi veya İptal yapın","OK"))))))))))))</f>
        <v/>
      </c>
      <c r="L847" s="25">
        <f>IF(AND(ISNUMBER(A847),F847&lt;&gt;"İptal",ISNUMBER(D847),ISNUMBER(E847),D847&lt;=RaporTarihi,E847&gt;RaporTarihi),A847,"")</f>
        <v/>
      </c>
    </row>
    <row r="848">
      <c r="A848" s="22" t="n"/>
      <c r="B848" s="22" t="n"/>
      <c r="C848" s="22" t="n"/>
      <c r="D848" s="23" t="n"/>
      <c r="E848" s="23" t="n"/>
      <c r="F848" s="22" t="n"/>
      <c r="G848" s="24" t="n"/>
      <c r="H848" s="22" t="n"/>
      <c r="I848" s="25">
        <f>IF(AND(ISNUMBER(D848),ISNUMBER(E848)),E848-D848,"")</f>
        <v/>
      </c>
      <c r="J848" s="26">
        <f>IF(AND(ISNUMBER(I848),ISNUMBER(G848)),IF(I848&gt;0,G848/I848,""),"")</f>
        <v/>
      </c>
      <c r="K848" s="25">
        <f>IF(COUNTA(A848:H848)=0,"",IF(OR(A848="",B848="",C848="",D848="",E848="",F848="",G848="",H848=""),"HATA: eksik bilgi",IF(COUNTIF(OdaListesi,A848)=0,"HATA: geçersiz oda no",IF(OR(NOT(ISNUMBER(D848)),NOT(ISNUMBER(E848))),"HATA: tarih geçersiz",IF(E848&lt;=D848,"HATA: çıkış girişten sonra olmalı",IF(OR(NOT(ISNUMBER(C848)),C848&lt;1,C848&gt;MaxKisi,C848&lt;&gt;INT(C848)),"HATA: kişi sayısı geçersiz",IF(OR(NOT(ISNUMBER(G848)),G848&lt;0),"HATA: tutar geçersiz",IF(B848&lt;&gt;TRIM(B848),"HATA: isimde baştaki/sondaki boşluk",IF(COUNTIF(KaynakAralik,H848)=0,"HATA: kaynak listede yok",IF(AND(F848&lt;&gt;"Bekleniyor",F848&lt;&gt;"Geldi",F848&lt;&gt;"İptal"),"HATA: giriş durumu geçersiz",IF(AND(F848&lt;&gt;"İptal",COUNTIFS($A$6:$A$1005,A848,$D$6:$D$1005,"&lt;"&amp;E848,$E$6:$E$1005,"&gt;"&amp;D848,$F$6:$F$1005,"&lt;&gt;İptal")&gt;1),"HATA: oda bu tarihlerde çakışıyor",IF(AND(F848="Bekleniyor",D848&lt;RaporTarihi),"HATA: giriş günü geçti, Geldi veya İptal yapın","OK"))))))))))))</f>
        <v/>
      </c>
      <c r="L848" s="25">
        <f>IF(AND(ISNUMBER(A848),F848&lt;&gt;"İptal",ISNUMBER(D848),ISNUMBER(E848),D848&lt;=RaporTarihi,E848&gt;RaporTarihi),A848,"")</f>
        <v/>
      </c>
    </row>
    <row r="849">
      <c r="A849" s="22" t="n"/>
      <c r="B849" s="22" t="n"/>
      <c r="C849" s="22" t="n"/>
      <c r="D849" s="23" t="n"/>
      <c r="E849" s="23" t="n"/>
      <c r="F849" s="22" t="n"/>
      <c r="G849" s="24" t="n"/>
      <c r="H849" s="22" t="n"/>
      <c r="I849" s="25">
        <f>IF(AND(ISNUMBER(D849),ISNUMBER(E849)),E849-D849,"")</f>
        <v/>
      </c>
      <c r="J849" s="26">
        <f>IF(AND(ISNUMBER(I849),ISNUMBER(G849)),IF(I849&gt;0,G849/I849,""),"")</f>
        <v/>
      </c>
      <c r="K849" s="25">
        <f>IF(COUNTA(A849:H849)=0,"",IF(OR(A849="",B849="",C849="",D849="",E849="",F849="",G849="",H849=""),"HATA: eksik bilgi",IF(COUNTIF(OdaListesi,A849)=0,"HATA: geçersiz oda no",IF(OR(NOT(ISNUMBER(D849)),NOT(ISNUMBER(E849))),"HATA: tarih geçersiz",IF(E849&lt;=D849,"HATA: çıkış girişten sonra olmalı",IF(OR(NOT(ISNUMBER(C849)),C849&lt;1,C849&gt;MaxKisi,C849&lt;&gt;INT(C849)),"HATA: kişi sayısı geçersiz",IF(OR(NOT(ISNUMBER(G849)),G849&lt;0),"HATA: tutar geçersiz",IF(B849&lt;&gt;TRIM(B849),"HATA: isimde baştaki/sondaki boşluk",IF(COUNTIF(KaynakAralik,H849)=0,"HATA: kaynak listede yok",IF(AND(F849&lt;&gt;"Bekleniyor",F849&lt;&gt;"Geldi",F849&lt;&gt;"İptal"),"HATA: giriş durumu geçersiz",IF(AND(F849&lt;&gt;"İptal",COUNTIFS($A$6:$A$1005,A849,$D$6:$D$1005,"&lt;"&amp;E849,$E$6:$E$1005,"&gt;"&amp;D849,$F$6:$F$1005,"&lt;&gt;İptal")&gt;1),"HATA: oda bu tarihlerde çakışıyor",IF(AND(F849="Bekleniyor",D849&lt;RaporTarihi),"HATA: giriş günü geçti, Geldi veya İptal yapın","OK"))))))))))))</f>
        <v/>
      </c>
      <c r="L849" s="25">
        <f>IF(AND(ISNUMBER(A849),F849&lt;&gt;"İptal",ISNUMBER(D849),ISNUMBER(E849),D849&lt;=RaporTarihi,E849&gt;RaporTarihi),A849,"")</f>
        <v/>
      </c>
    </row>
    <row r="850">
      <c r="A850" s="22" t="n"/>
      <c r="B850" s="22" t="n"/>
      <c r="C850" s="22" t="n"/>
      <c r="D850" s="23" t="n"/>
      <c r="E850" s="23" t="n"/>
      <c r="F850" s="22" t="n"/>
      <c r="G850" s="24" t="n"/>
      <c r="H850" s="22" t="n"/>
      <c r="I850" s="25">
        <f>IF(AND(ISNUMBER(D850),ISNUMBER(E850)),E850-D850,"")</f>
        <v/>
      </c>
      <c r="J850" s="26">
        <f>IF(AND(ISNUMBER(I850),ISNUMBER(G850)),IF(I850&gt;0,G850/I850,""),"")</f>
        <v/>
      </c>
      <c r="K850" s="25">
        <f>IF(COUNTA(A850:H850)=0,"",IF(OR(A850="",B850="",C850="",D850="",E850="",F850="",G850="",H850=""),"HATA: eksik bilgi",IF(COUNTIF(OdaListesi,A850)=0,"HATA: geçersiz oda no",IF(OR(NOT(ISNUMBER(D850)),NOT(ISNUMBER(E850))),"HATA: tarih geçersiz",IF(E850&lt;=D850,"HATA: çıkış girişten sonra olmalı",IF(OR(NOT(ISNUMBER(C850)),C850&lt;1,C850&gt;MaxKisi,C850&lt;&gt;INT(C850)),"HATA: kişi sayısı geçersiz",IF(OR(NOT(ISNUMBER(G850)),G850&lt;0),"HATA: tutar geçersiz",IF(B850&lt;&gt;TRIM(B850),"HATA: isimde baştaki/sondaki boşluk",IF(COUNTIF(KaynakAralik,H850)=0,"HATA: kaynak listede yok",IF(AND(F850&lt;&gt;"Bekleniyor",F850&lt;&gt;"Geldi",F850&lt;&gt;"İptal"),"HATA: giriş durumu geçersiz",IF(AND(F850&lt;&gt;"İptal",COUNTIFS($A$6:$A$1005,A850,$D$6:$D$1005,"&lt;"&amp;E850,$E$6:$E$1005,"&gt;"&amp;D850,$F$6:$F$1005,"&lt;&gt;İptal")&gt;1),"HATA: oda bu tarihlerde çakışıyor",IF(AND(F850="Bekleniyor",D850&lt;RaporTarihi),"HATA: giriş günü geçti, Geldi veya İptal yapın","OK"))))))))))))</f>
        <v/>
      </c>
      <c r="L850" s="25">
        <f>IF(AND(ISNUMBER(A850),F850&lt;&gt;"İptal",ISNUMBER(D850),ISNUMBER(E850),D850&lt;=RaporTarihi,E850&gt;RaporTarihi),A850,"")</f>
        <v/>
      </c>
    </row>
    <row r="851">
      <c r="A851" s="22" t="n"/>
      <c r="B851" s="22" t="n"/>
      <c r="C851" s="22" t="n"/>
      <c r="D851" s="23" t="n"/>
      <c r="E851" s="23" t="n"/>
      <c r="F851" s="22" t="n"/>
      <c r="G851" s="24" t="n"/>
      <c r="H851" s="22" t="n"/>
      <c r="I851" s="25">
        <f>IF(AND(ISNUMBER(D851),ISNUMBER(E851)),E851-D851,"")</f>
        <v/>
      </c>
      <c r="J851" s="26">
        <f>IF(AND(ISNUMBER(I851),ISNUMBER(G851)),IF(I851&gt;0,G851/I851,""),"")</f>
        <v/>
      </c>
      <c r="K851" s="25">
        <f>IF(COUNTA(A851:H851)=0,"",IF(OR(A851="",B851="",C851="",D851="",E851="",F851="",G851="",H851=""),"HATA: eksik bilgi",IF(COUNTIF(OdaListesi,A851)=0,"HATA: geçersiz oda no",IF(OR(NOT(ISNUMBER(D851)),NOT(ISNUMBER(E851))),"HATA: tarih geçersiz",IF(E851&lt;=D851,"HATA: çıkış girişten sonra olmalı",IF(OR(NOT(ISNUMBER(C851)),C851&lt;1,C851&gt;MaxKisi,C851&lt;&gt;INT(C851)),"HATA: kişi sayısı geçersiz",IF(OR(NOT(ISNUMBER(G851)),G851&lt;0),"HATA: tutar geçersiz",IF(B851&lt;&gt;TRIM(B851),"HATA: isimde baştaki/sondaki boşluk",IF(COUNTIF(KaynakAralik,H851)=0,"HATA: kaynak listede yok",IF(AND(F851&lt;&gt;"Bekleniyor",F851&lt;&gt;"Geldi",F851&lt;&gt;"İptal"),"HATA: giriş durumu geçersiz",IF(AND(F851&lt;&gt;"İptal",COUNTIFS($A$6:$A$1005,A851,$D$6:$D$1005,"&lt;"&amp;E851,$E$6:$E$1005,"&gt;"&amp;D851,$F$6:$F$1005,"&lt;&gt;İptal")&gt;1),"HATA: oda bu tarihlerde çakışıyor",IF(AND(F851="Bekleniyor",D851&lt;RaporTarihi),"HATA: giriş günü geçti, Geldi veya İptal yapın","OK"))))))))))))</f>
        <v/>
      </c>
      <c r="L851" s="25">
        <f>IF(AND(ISNUMBER(A851),F851&lt;&gt;"İptal",ISNUMBER(D851),ISNUMBER(E851),D851&lt;=RaporTarihi,E851&gt;RaporTarihi),A851,"")</f>
        <v/>
      </c>
    </row>
    <row r="852">
      <c r="A852" s="22" t="n"/>
      <c r="B852" s="22" t="n"/>
      <c r="C852" s="22" t="n"/>
      <c r="D852" s="23" t="n"/>
      <c r="E852" s="23" t="n"/>
      <c r="F852" s="22" t="n"/>
      <c r="G852" s="24" t="n"/>
      <c r="H852" s="22" t="n"/>
      <c r="I852" s="25">
        <f>IF(AND(ISNUMBER(D852),ISNUMBER(E852)),E852-D852,"")</f>
        <v/>
      </c>
      <c r="J852" s="26">
        <f>IF(AND(ISNUMBER(I852),ISNUMBER(G852)),IF(I852&gt;0,G852/I852,""),"")</f>
        <v/>
      </c>
      <c r="K852" s="25">
        <f>IF(COUNTA(A852:H852)=0,"",IF(OR(A852="",B852="",C852="",D852="",E852="",F852="",G852="",H852=""),"HATA: eksik bilgi",IF(COUNTIF(OdaListesi,A852)=0,"HATA: geçersiz oda no",IF(OR(NOT(ISNUMBER(D852)),NOT(ISNUMBER(E852))),"HATA: tarih geçersiz",IF(E852&lt;=D852,"HATA: çıkış girişten sonra olmalı",IF(OR(NOT(ISNUMBER(C852)),C852&lt;1,C852&gt;MaxKisi,C852&lt;&gt;INT(C852)),"HATA: kişi sayısı geçersiz",IF(OR(NOT(ISNUMBER(G852)),G852&lt;0),"HATA: tutar geçersiz",IF(B852&lt;&gt;TRIM(B852),"HATA: isimde baştaki/sondaki boşluk",IF(COUNTIF(KaynakAralik,H852)=0,"HATA: kaynak listede yok",IF(AND(F852&lt;&gt;"Bekleniyor",F852&lt;&gt;"Geldi",F852&lt;&gt;"İptal"),"HATA: giriş durumu geçersiz",IF(AND(F852&lt;&gt;"İptal",COUNTIFS($A$6:$A$1005,A852,$D$6:$D$1005,"&lt;"&amp;E852,$E$6:$E$1005,"&gt;"&amp;D852,$F$6:$F$1005,"&lt;&gt;İptal")&gt;1),"HATA: oda bu tarihlerde çakışıyor",IF(AND(F852="Bekleniyor",D852&lt;RaporTarihi),"HATA: giriş günü geçti, Geldi veya İptal yapın","OK"))))))))))))</f>
        <v/>
      </c>
      <c r="L852" s="25">
        <f>IF(AND(ISNUMBER(A852),F852&lt;&gt;"İptal",ISNUMBER(D852),ISNUMBER(E852),D852&lt;=RaporTarihi,E852&gt;RaporTarihi),A852,"")</f>
        <v/>
      </c>
    </row>
    <row r="853">
      <c r="A853" s="22" t="n"/>
      <c r="B853" s="22" t="n"/>
      <c r="C853" s="22" t="n"/>
      <c r="D853" s="23" t="n"/>
      <c r="E853" s="23" t="n"/>
      <c r="F853" s="22" t="n"/>
      <c r="G853" s="24" t="n"/>
      <c r="H853" s="22" t="n"/>
      <c r="I853" s="25">
        <f>IF(AND(ISNUMBER(D853),ISNUMBER(E853)),E853-D853,"")</f>
        <v/>
      </c>
      <c r="J853" s="26">
        <f>IF(AND(ISNUMBER(I853),ISNUMBER(G853)),IF(I853&gt;0,G853/I853,""),"")</f>
        <v/>
      </c>
      <c r="K853" s="25">
        <f>IF(COUNTA(A853:H853)=0,"",IF(OR(A853="",B853="",C853="",D853="",E853="",F853="",G853="",H853=""),"HATA: eksik bilgi",IF(COUNTIF(OdaListesi,A853)=0,"HATA: geçersiz oda no",IF(OR(NOT(ISNUMBER(D853)),NOT(ISNUMBER(E853))),"HATA: tarih geçersiz",IF(E853&lt;=D853,"HATA: çıkış girişten sonra olmalı",IF(OR(NOT(ISNUMBER(C853)),C853&lt;1,C853&gt;MaxKisi,C853&lt;&gt;INT(C853)),"HATA: kişi sayısı geçersiz",IF(OR(NOT(ISNUMBER(G853)),G853&lt;0),"HATA: tutar geçersiz",IF(B853&lt;&gt;TRIM(B853),"HATA: isimde baştaki/sondaki boşluk",IF(COUNTIF(KaynakAralik,H853)=0,"HATA: kaynak listede yok",IF(AND(F853&lt;&gt;"Bekleniyor",F853&lt;&gt;"Geldi",F853&lt;&gt;"İptal"),"HATA: giriş durumu geçersiz",IF(AND(F853&lt;&gt;"İptal",COUNTIFS($A$6:$A$1005,A853,$D$6:$D$1005,"&lt;"&amp;E853,$E$6:$E$1005,"&gt;"&amp;D853,$F$6:$F$1005,"&lt;&gt;İptal")&gt;1),"HATA: oda bu tarihlerde çakışıyor",IF(AND(F853="Bekleniyor",D853&lt;RaporTarihi),"HATA: giriş günü geçti, Geldi veya İptal yapın","OK"))))))))))))</f>
        <v/>
      </c>
      <c r="L853" s="25">
        <f>IF(AND(ISNUMBER(A853),F853&lt;&gt;"İptal",ISNUMBER(D853),ISNUMBER(E853),D853&lt;=RaporTarihi,E853&gt;RaporTarihi),A853,"")</f>
        <v/>
      </c>
    </row>
    <row r="854">
      <c r="A854" s="22" t="n"/>
      <c r="B854" s="22" t="n"/>
      <c r="C854" s="22" t="n"/>
      <c r="D854" s="23" t="n"/>
      <c r="E854" s="23" t="n"/>
      <c r="F854" s="22" t="n"/>
      <c r="G854" s="24" t="n"/>
      <c r="H854" s="22" t="n"/>
      <c r="I854" s="25">
        <f>IF(AND(ISNUMBER(D854),ISNUMBER(E854)),E854-D854,"")</f>
        <v/>
      </c>
      <c r="J854" s="26">
        <f>IF(AND(ISNUMBER(I854),ISNUMBER(G854)),IF(I854&gt;0,G854/I854,""),"")</f>
        <v/>
      </c>
      <c r="K854" s="25">
        <f>IF(COUNTA(A854:H854)=0,"",IF(OR(A854="",B854="",C854="",D854="",E854="",F854="",G854="",H854=""),"HATA: eksik bilgi",IF(COUNTIF(OdaListesi,A854)=0,"HATA: geçersiz oda no",IF(OR(NOT(ISNUMBER(D854)),NOT(ISNUMBER(E854))),"HATA: tarih geçersiz",IF(E854&lt;=D854,"HATA: çıkış girişten sonra olmalı",IF(OR(NOT(ISNUMBER(C854)),C854&lt;1,C854&gt;MaxKisi,C854&lt;&gt;INT(C854)),"HATA: kişi sayısı geçersiz",IF(OR(NOT(ISNUMBER(G854)),G854&lt;0),"HATA: tutar geçersiz",IF(B854&lt;&gt;TRIM(B854),"HATA: isimde baştaki/sondaki boşluk",IF(COUNTIF(KaynakAralik,H854)=0,"HATA: kaynak listede yok",IF(AND(F854&lt;&gt;"Bekleniyor",F854&lt;&gt;"Geldi",F854&lt;&gt;"İptal"),"HATA: giriş durumu geçersiz",IF(AND(F854&lt;&gt;"İptal",COUNTIFS($A$6:$A$1005,A854,$D$6:$D$1005,"&lt;"&amp;E854,$E$6:$E$1005,"&gt;"&amp;D854,$F$6:$F$1005,"&lt;&gt;İptal")&gt;1),"HATA: oda bu tarihlerde çakışıyor",IF(AND(F854="Bekleniyor",D854&lt;RaporTarihi),"HATA: giriş günü geçti, Geldi veya İptal yapın","OK"))))))))))))</f>
        <v/>
      </c>
      <c r="L854" s="25">
        <f>IF(AND(ISNUMBER(A854),F854&lt;&gt;"İptal",ISNUMBER(D854),ISNUMBER(E854),D854&lt;=RaporTarihi,E854&gt;RaporTarihi),A854,"")</f>
        <v/>
      </c>
    </row>
    <row r="855">
      <c r="A855" s="22" t="n"/>
      <c r="B855" s="22" t="n"/>
      <c r="C855" s="22" t="n"/>
      <c r="D855" s="23" t="n"/>
      <c r="E855" s="23" t="n"/>
      <c r="F855" s="22" t="n"/>
      <c r="G855" s="24" t="n"/>
      <c r="H855" s="22" t="n"/>
      <c r="I855" s="25">
        <f>IF(AND(ISNUMBER(D855),ISNUMBER(E855)),E855-D855,"")</f>
        <v/>
      </c>
      <c r="J855" s="26">
        <f>IF(AND(ISNUMBER(I855),ISNUMBER(G855)),IF(I855&gt;0,G855/I855,""),"")</f>
        <v/>
      </c>
      <c r="K855" s="25">
        <f>IF(COUNTA(A855:H855)=0,"",IF(OR(A855="",B855="",C855="",D855="",E855="",F855="",G855="",H855=""),"HATA: eksik bilgi",IF(COUNTIF(OdaListesi,A855)=0,"HATA: geçersiz oda no",IF(OR(NOT(ISNUMBER(D855)),NOT(ISNUMBER(E855))),"HATA: tarih geçersiz",IF(E855&lt;=D855,"HATA: çıkış girişten sonra olmalı",IF(OR(NOT(ISNUMBER(C855)),C855&lt;1,C855&gt;MaxKisi,C855&lt;&gt;INT(C855)),"HATA: kişi sayısı geçersiz",IF(OR(NOT(ISNUMBER(G855)),G855&lt;0),"HATA: tutar geçersiz",IF(B855&lt;&gt;TRIM(B855),"HATA: isimde baştaki/sondaki boşluk",IF(COUNTIF(KaynakAralik,H855)=0,"HATA: kaynak listede yok",IF(AND(F855&lt;&gt;"Bekleniyor",F855&lt;&gt;"Geldi",F855&lt;&gt;"İptal"),"HATA: giriş durumu geçersiz",IF(AND(F855&lt;&gt;"İptal",COUNTIFS($A$6:$A$1005,A855,$D$6:$D$1005,"&lt;"&amp;E855,$E$6:$E$1005,"&gt;"&amp;D855,$F$6:$F$1005,"&lt;&gt;İptal")&gt;1),"HATA: oda bu tarihlerde çakışıyor",IF(AND(F855="Bekleniyor",D855&lt;RaporTarihi),"HATA: giriş günü geçti, Geldi veya İptal yapın","OK"))))))))))))</f>
        <v/>
      </c>
      <c r="L855" s="25">
        <f>IF(AND(ISNUMBER(A855),F855&lt;&gt;"İptal",ISNUMBER(D855),ISNUMBER(E855),D855&lt;=RaporTarihi,E855&gt;RaporTarihi),A855,"")</f>
        <v/>
      </c>
    </row>
    <row r="856">
      <c r="A856" s="22" t="n"/>
      <c r="B856" s="22" t="n"/>
      <c r="C856" s="22" t="n"/>
      <c r="D856" s="23" t="n"/>
      <c r="E856" s="23" t="n"/>
      <c r="F856" s="22" t="n"/>
      <c r="G856" s="24" t="n"/>
      <c r="H856" s="22" t="n"/>
      <c r="I856" s="25">
        <f>IF(AND(ISNUMBER(D856),ISNUMBER(E856)),E856-D856,"")</f>
        <v/>
      </c>
      <c r="J856" s="26">
        <f>IF(AND(ISNUMBER(I856),ISNUMBER(G856)),IF(I856&gt;0,G856/I856,""),"")</f>
        <v/>
      </c>
      <c r="K856" s="25">
        <f>IF(COUNTA(A856:H856)=0,"",IF(OR(A856="",B856="",C856="",D856="",E856="",F856="",G856="",H856=""),"HATA: eksik bilgi",IF(COUNTIF(OdaListesi,A856)=0,"HATA: geçersiz oda no",IF(OR(NOT(ISNUMBER(D856)),NOT(ISNUMBER(E856))),"HATA: tarih geçersiz",IF(E856&lt;=D856,"HATA: çıkış girişten sonra olmalı",IF(OR(NOT(ISNUMBER(C856)),C856&lt;1,C856&gt;MaxKisi,C856&lt;&gt;INT(C856)),"HATA: kişi sayısı geçersiz",IF(OR(NOT(ISNUMBER(G856)),G856&lt;0),"HATA: tutar geçersiz",IF(B856&lt;&gt;TRIM(B856),"HATA: isimde baştaki/sondaki boşluk",IF(COUNTIF(KaynakAralik,H856)=0,"HATA: kaynak listede yok",IF(AND(F856&lt;&gt;"Bekleniyor",F856&lt;&gt;"Geldi",F856&lt;&gt;"İptal"),"HATA: giriş durumu geçersiz",IF(AND(F856&lt;&gt;"İptal",COUNTIFS($A$6:$A$1005,A856,$D$6:$D$1005,"&lt;"&amp;E856,$E$6:$E$1005,"&gt;"&amp;D856,$F$6:$F$1005,"&lt;&gt;İptal")&gt;1),"HATA: oda bu tarihlerde çakışıyor",IF(AND(F856="Bekleniyor",D856&lt;RaporTarihi),"HATA: giriş günü geçti, Geldi veya İptal yapın","OK"))))))))))))</f>
        <v/>
      </c>
      <c r="L856" s="25">
        <f>IF(AND(ISNUMBER(A856),F856&lt;&gt;"İptal",ISNUMBER(D856),ISNUMBER(E856),D856&lt;=RaporTarihi,E856&gt;RaporTarihi),A856,"")</f>
        <v/>
      </c>
    </row>
    <row r="857">
      <c r="A857" s="22" t="n"/>
      <c r="B857" s="22" t="n"/>
      <c r="C857" s="22" t="n"/>
      <c r="D857" s="23" t="n"/>
      <c r="E857" s="23" t="n"/>
      <c r="F857" s="22" t="n"/>
      <c r="G857" s="24" t="n"/>
      <c r="H857" s="22" t="n"/>
      <c r="I857" s="25">
        <f>IF(AND(ISNUMBER(D857),ISNUMBER(E857)),E857-D857,"")</f>
        <v/>
      </c>
      <c r="J857" s="26">
        <f>IF(AND(ISNUMBER(I857),ISNUMBER(G857)),IF(I857&gt;0,G857/I857,""),"")</f>
        <v/>
      </c>
      <c r="K857" s="25">
        <f>IF(COUNTA(A857:H857)=0,"",IF(OR(A857="",B857="",C857="",D857="",E857="",F857="",G857="",H857=""),"HATA: eksik bilgi",IF(COUNTIF(OdaListesi,A857)=0,"HATA: geçersiz oda no",IF(OR(NOT(ISNUMBER(D857)),NOT(ISNUMBER(E857))),"HATA: tarih geçersiz",IF(E857&lt;=D857,"HATA: çıkış girişten sonra olmalı",IF(OR(NOT(ISNUMBER(C857)),C857&lt;1,C857&gt;MaxKisi,C857&lt;&gt;INT(C857)),"HATA: kişi sayısı geçersiz",IF(OR(NOT(ISNUMBER(G857)),G857&lt;0),"HATA: tutar geçersiz",IF(B857&lt;&gt;TRIM(B857),"HATA: isimde baştaki/sondaki boşluk",IF(COUNTIF(KaynakAralik,H857)=0,"HATA: kaynak listede yok",IF(AND(F857&lt;&gt;"Bekleniyor",F857&lt;&gt;"Geldi",F857&lt;&gt;"İptal"),"HATA: giriş durumu geçersiz",IF(AND(F857&lt;&gt;"İptal",COUNTIFS($A$6:$A$1005,A857,$D$6:$D$1005,"&lt;"&amp;E857,$E$6:$E$1005,"&gt;"&amp;D857,$F$6:$F$1005,"&lt;&gt;İptal")&gt;1),"HATA: oda bu tarihlerde çakışıyor",IF(AND(F857="Bekleniyor",D857&lt;RaporTarihi),"HATA: giriş günü geçti, Geldi veya İptal yapın","OK"))))))))))))</f>
        <v/>
      </c>
      <c r="L857" s="25">
        <f>IF(AND(ISNUMBER(A857),F857&lt;&gt;"İptal",ISNUMBER(D857),ISNUMBER(E857),D857&lt;=RaporTarihi,E857&gt;RaporTarihi),A857,"")</f>
        <v/>
      </c>
    </row>
    <row r="858">
      <c r="A858" s="22" t="n"/>
      <c r="B858" s="22" t="n"/>
      <c r="C858" s="22" t="n"/>
      <c r="D858" s="23" t="n"/>
      <c r="E858" s="23" t="n"/>
      <c r="F858" s="22" t="n"/>
      <c r="G858" s="24" t="n"/>
      <c r="H858" s="22" t="n"/>
      <c r="I858" s="25">
        <f>IF(AND(ISNUMBER(D858),ISNUMBER(E858)),E858-D858,"")</f>
        <v/>
      </c>
      <c r="J858" s="26">
        <f>IF(AND(ISNUMBER(I858),ISNUMBER(G858)),IF(I858&gt;0,G858/I858,""),"")</f>
        <v/>
      </c>
      <c r="K858" s="25">
        <f>IF(COUNTA(A858:H858)=0,"",IF(OR(A858="",B858="",C858="",D858="",E858="",F858="",G858="",H858=""),"HATA: eksik bilgi",IF(COUNTIF(OdaListesi,A858)=0,"HATA: geçersiz oda no",IF(OR(NOT(ISNUMBER(D858)),NOT(ISNUMBER(E858))),"HATA: tarih geçersiz",IF(E858&lt;=D858,"HATA: çıkış girişten sonra olmalı",IF(OR(NOT(ISNUMBER(C858)),C858&lt;1,C858&gt;MaxKisi,C858&lt;&gt;INT(C858)),"HATA: kişi sayısı geçersiz",IF(OR(NOT(ISNUMBER(G858)),G858&lt;0),"HATA: tutar geçersiz",IF(B858&lt;&gt;TRIM(B858),"HATA: isimde baştaki/sondaki boşluk",IF(COUNTIF(KaynakAralik,H858)=0,"HATA: kaynak listede yok",IF(AND(F858&lt;&gt;"Bekleniyor",F858&lt;&gt;"Geldi",F858&lt;&gt;"İptal"),"HATA: giriş durumu geçersiz",IF(AND(F858&lt;&gt;"İptal",COUNTIFS($A$6:$A$1005,A858,$D$6:$D$1005,"&lt;"&amp;E858,$E$6:$E$1005,"&gt;"&amp;D858,$F$6:$F$1005,"&lt;&gt;İptal")&gt;1),"HATA: oda bu tarihlerde çakışıyor",IF(AND(F858="Bekleniyor",D858&lt;RaporTarihi),"HATA: giriş günü geçti, Geldi veya İptal yapın","OK"))))))))))))</f>
        <v/>
      </c>
      <c r="L858" s="25">
        <f>IF(AND(ISNUMBER(A858),F858&lt;&gt;"İptal",ISNUMBER(D858),ISNUMBER(E858),D858&lt;=RaporTarihi,E858&gt;RaporTarihi),A858,"")</f>
        <v/>
      </c>
    </row>
    <row r="859">
      <c r="A859" s="22" t="n"/>
      <c r="B859" s="22" t="n"/>
      <c r="C859" s="22" t="n"/>
      <c r="D859" s="23" t="n"/>
      <c r="E859" s="23" t="n"/>
      <c r="F859" s="22" t="n"/>
      <c r="G859" s="24" t="n"/>
      <c r="H859" s="22" t="n"/>
      <c r="I859" s="25">
        <f>IF(AND(ISNUMBER(D859),ISNUMBER(E859)),E859-D859,"")</f>
        <v/>
      </c>
      <c r="J859" s="26">
        <f>IF(AND(ISNUMBER(I859),ISNUMBER(G859)),IF(I859&gt;0,G859/I859,""),"")</f>
        <v/>
      </c>
      <c r="K859" s="25">
        <f>IF(COUNTA(A859:H859)=0,"",IF(OR(A859="",B859="",C859="",D859="",E859="",F859="",G859="",H859=""),"HATA: eksik bilgi",IF(COUNTIF(OdaListesi,A859)=0,"HATA: geçersiz oda no",IF(OR(NOT(ISNUMBER(D859)),NOT(ISNUMBER(E859))),"HATA: tarih geçersiz",IF(E859&lt;=D859,"HATA: çıkış girişten sonra olmalı",IF(OR(NOT(ISNUMBER(C859)),C859&lt;1,C859&gt;MaxKisi,C859&lt;&gt;INT(C859)),"HATA: kişi sayısı geçersiz",IF(OR(NOT(ISNUMBER(G859)),G859&lt;0),"HATA: tutar geçersiz",IF(B859&lt;&gt;TRIM(B859),"HATA: isimde baştaki/sondaki boşluk",IF(COUNTIF(KaynakAralik,H859)=0,"HATA: kaynak listede yok",IF(AND(F859&lt;&gt;"Bekleniyor",F859&lt;&gt;"Geldi",F859&lt;&gt;"İptal"),"HATA: giriş durumu geçersiz",IF(AND(F859&lt;&gt;"İptal",COUNTIFS($A$6:$A$1005,A859,$D$6:$D$1005,"&lt;"&amp;E859,$E$6:$E$1005,"&gt;"&amp;D859,$F$6:$F$1005,"&lt;&gt;İptal")&gt;1),"HATA: oda bu tarihlerde çakışıyor",IF(AND(F859="Bekleniyor",D859&lt;RaporTarihi),"HATA: giriş günü geçti, Geldi veya İptal yapın","OK"))))))))))))</f>
        <v/>
      </c>
      <c r="L859" s="25">
        <f>IF(AND(ISNUMBER(A859),F859&lt;&gt;"İptal",ISNUMBER(D859),ISNUMBER(E859),D859&lt;=RaporTarihi,E859&gt;RaporTarihi),A859,"")</f>
        <v/>
      </c>
    </row>
    <row r="860">
      <c r="A860" s="22" t="n"/>
      <c r="B860" s="22" t="n"/>
      <c r="C860" s="22" t="n"/>
      <c r="D860" s="23" t="n"/>
      <c r="E860" s="23" t="n"/>
      <c r="F860" s="22" t="n"/>
      <c r="G860" s="24" t="n"/>
      <c r="H860" s="22" t="n"/>
      <c r="I860" s="25">
        <f>IF(AND(ISNUMBER(D860),ISNUMBER(E860)),E860-D860,"")</f>
        <v/>
      </c>
      <c r="J860" s="26">
        <f>IF(AND(ISNUMBER(I860),ISNUMBER(G860)),IF(I860&gt;0,G860/I860,""),"")</f>
        <v/>
      </c>
      <c r="K860" s="25">
        <f>IF(COUNTA(A860:H860)=0,"",IF(OR(A860="",B860="",C860="",D860="",E860="",F860="",G860="",H860=""),"HATA: eksik bilgi",IF(COUNTIF(OdaListesi,A860)=0,"HATA: geçersiz oda no",IF(OR(NOT(ISNUMBER(D860)),NOT(ISNUMBER(E860))),"HATA: tarih geçersiz",IF(E860&lt;=D860,"HATA: çıkış girişten sonra olmalı",IF(OR(NOT(ISNUMBER(C860)),C860&lt;1,C860&gt;MaxKisi,C860&lt;&gt;INT(C860)),"HATA: kişi sayısı geçersiz",IF(OR(NOT(ISNUMBER(G860)),G860&lt;0),"HATA: tutar geçersiz",IF(B860&lt;&gt;TRIM(B860),"HATA: isimde baştaki/sondaki boşluk",IF(COUNTIF(KaynakAralik,H860)=0,"HATA: kaynak listede yok",IF(AND(F860&lt;&gt;"Bekleniyor",F860&lt;&gt;"Geldi",F860&lt;&gt;"İptal"),"HATA: giriş durumu geçersiz",IF(AND(F860&lt;&gt;"İptal",COUNTIFS($A$6:$A$1005,A860,$D$6:$D$1005,"&lt;"&amp;E860,$E$6:$E$1005,"&gt;"&amp;D860,$F$6:$F$1005,"&lt;&gt;İptal")&gt;1),"HATA: oda bu tarihlerde çakışıyor",IF(AND(F860="Bekleniyor",D860&lt;RaporTarihi),"HATA: giriş günü geçti, Geldi veya İptal yapın","OK"))))))))))))</f>
        <v/>
      </c>
      <c r="L860" s="25">
        <f>IF(AND(ISNUMBER(A860),F860&lt;&gt;"İptal",ISNUMBER(D860),ISNUMBER(E860),D860&lt;=RaporTarihi,E860&gt;RaporTarihi),A860,"")</f>
        <v/>
      </c>
    </row>
    <row r="861">
      <c r="A861" s="22" t="n"/>
      <c r="B861" s="22" t="n"/>
      <c r="C861" s="22" t="n"/>
      <c r="D861" s="23" t="n"/>
      <c r="E861" s="23" t="n"/>
      <c r="F861" s="22" t="n"/>
      <c r="G861" s="24" t="n"/>
      <c r="H861" s="22" t="n"/>
      <c r="I861" s="25">
        <f>IF(AND(ISNUMBER(D861),ISNUMBER(E861)),E861-D861,"")</f>
        <v/>
      </c>
      <c r="J861" s="26">
        <f>IF(AND(ISNUMBER(I861),ISNUMBER(G861)),IF(I861&gt;0,G861/I861,""),"")</f>
        <v/>
      </c>
      <c r="K861" s="25">
        <f>IF(COUNTA(A861:H861)=0,"",IF(OR(A861="",B861="",C861="",D861="",E861="",F861="",G861="",H861=""),"HATA: eksik bilgi",IF(COUNTIF(OdaListesi,A861)=0,"HATA: geçersiz oda no",IF(OR(NOT(ISNUMBER(D861)),NOT(ISNUMBER(E861))),"HATA: tarih geçersiz",IF(E861&lt;=D861,"HATA: çıkış girişten sonra olmalı",IF(OR(NOT(ISNUMBER(C861)),C861&lt;1,C861&gt;MaxKisi,C861&lt;&gt;INT(C861)),"HATA: kişi sayısı geçersiz",IF(OR(NOT(ISNUMBER(G861)),G861&lt;0),"HATA: tutar geçersiz",IF(B861&lt;&gt;TRIM(B861),"HATA: isimde baştaki/sondaki boşluk",IF(COUNTIF(KaynakAralik,H861)=0,"HATA: kaynak listede yok",IF(AND(F861&lt;&gt;"Bekleniyor",F861&lt;&gt;"Geldi",F861&lt;&gt;"İptal"),"HATA: giriş durumu geçersiz",IF(AND(F861&lt;&gt;"İptal",COUNTIFS($A$6:$A$1005,A861,$D$6:$D$1005,"&lt;"&amp;E861,$E$6:$E$1005,"&gt;"&amp;D861,$F$6:$F$1005,"&lt;&gt;İptal")&gt;1),"HATA: oda bu tarihlerde çakışıyor",IF(AND(F861="Bekleniyor",D861&lt;RaporTarihi),"HATA: giriş günü geçti, Geldi veya İptal yapın","OK"))))))))))))</f>
        <v/>
      </c>
      <c r="L861" s="25">
        <f>IF(AND(ISNUMBER(A861),F861&lt;&gt;"İptal",ISNUMBER(D861),ISNUMBER(E861),D861&lt;=RaporTarihi,E861&gt;RaporTarihi),A861,"")</f>
        <v/>
      </c>
    </row>
    <row r="862">
      <c r="A862" s="22" t="n"/>
      <c r="B862" s="22" t="n"/>
      <c r="C862" s="22" t="n"/>
      <c r="D862" s="23" t="n"/>
      <c r="E862" s="23" t="n"/>
      <c r="F862" s="22" t="n"/>
      <c r="G862" s="24" t="n"/>
      <c r="H862" s="22" t="n"/>
      <c r="I862" s="25">
        <f>IF(AND(ISNUMBER(D862),ISNUMBER(E862)),E862-D862,"")</f>
        <v/>
      </c>
      <c r="J862" s="26">
        <f>IF(AND(ISNUMBER(I862),ISNUMBER(G862)),IF(I862&gt;0,G862/I862,""),"")</f>
        <v/>
      </c>
      <c r="K862" s="25">
        <f>IF(COUNTA(A862:H862)=0,"",IF(OR(A862="",B862="",C862="",D862="",E862="",F862="",G862="",H862=""),"HATA: eksik bilgi",IF(COUNTIF(OdaListesi,A862)=0,"HATA: geçersiz oda no",IF(OR(NOT(ISNUMBER(D862)),NOT(ISNUMBER(E862))),"HATA: tarih geçersiz",IF(E862&lt;=D862,"HATA: çıkış girişten sonra olmalı",IF(OR(NOT(ISNUMBER(C862)),C862&lt;1,C862&gt;MaxKisi,C862&lt;&gt;INT(C862)),"HATA: kişi sayısı geçersiz",IF(OR(NOT(ISNUMBER(G862)),G862&lt;0),"HATA: tutar geçersiz",IF(B862&lt;&gt;TRIM(B862),"HATA: isimde baştaki/sondaki boşluk",IF(COUNTIF(KaynakAralik,H862)=0,"HATA: kaynak listede yok",IF(AND(F862&lt;&gt;"Bekleniyor",F862&lt;&gt;"Geldi",F862&lt;&gt;"İptal"),"HATA: giriş durumu geçersiz",IF(AND(F862&lt;&gt;"İptal",COUNTIFS($A$6:$A$1005,A862,$D$6:$D$1005,"&lt;"&amp;E862,$E$6:$E$1005,"&gt;"&amp;D862,$F$6:$F$1005,"&lt;&gt;İptal")&gt;1),"HATA: oda bu tarihlerde çakışıyor",IF(AND(F862="Bekleniyor",D862&lt;RaporTarihi),"HATA: giriş günü geçti, Geldi veya İptal yapın","OK"))))))))))))</f>
        <v/>
      </c>
      <c r="L862" s="25">
        <f>IF(AND(ISNUMBER(A862),F862&lt;&gt;"İptal",ISNUMBER(D862),ISNUMBER(E862),D862&lt;=RaporTarihi,E862&gt;RaporTarihi),A862,"")</f>
        <v/>
      </c>
    </row>
    <row r="863">
      <c r="A863" s="22" t="n"/>
      <c r="B863" s="22" t="n"/>
      <c r="C863" s="22" t="n"/>
      <c r="D863" s="23" t="n"/>
      <c r="E863" s="23" t="n"/>
      <c r="F863" s="22" t="n"/>
      <c r="G863" s="24" t="n"/>
      <c r="H863" s="22" t="n"/>
      <c r="I863" s="25">
        <f>IF(AND(ISNUMBER(D863),ISNUMBER(E863)),E863-D863,"")</f>
        <v/>
      </c>
      <c r="J863" s="26">
        <f>IF(AND(ISNUMBER(I863),ISNUMBER(G863)),IF(I863&gt;0,G863/I863,""),"")</f>
        <v/>
      </c>
      <c r="K863" s="25">
        <f>IF(COUNTA(A863:H863)=0,"",IF(OR(A863="",B863="",C863="",D863="",E863="",F863="",G863="",H863=""),"HATA: eksik bilgi",IF(COUNTIF(OdaListesi,A863)=0,"HATA: geçersiz oda no",IF(OR(NOT(ISNUMBER(D863)),NOT(ISNUMBER(E863))),"HATA: tarih geçersiz",IF(E863&lt;=D863,"HATA: çıkış girişten sonra olmalı",IF(OR(NOT(ISNUMBER(C863)),C863&lt;1,C863&gt;MaxKisi,C863&lt;&gt;INT(C863)),"HATA: kişi sayısı geçersiz",IF(OR(NOT(ISNUMBER(G863)),G863&lt;0),"HATA: tutar geçersiz",IF(B863&lt;&gt;TRIM(B863),"HATA: isimde baştaki/sondaki boşluk",IF(COUNTIF(KaynakAralik,H863)=0,"HATA: kaynak listede yok",IF(AND(F863&lt;&gt;"Bekleniyor",F863&lt;&gt;"Geldi",F863&lt;&gt;"İptal"),"HATA: giriş durumu geçersiz",IF(AND(F863&lt;&gt;"İptal",COUNTIFS($A$6:$A$1005,A863,$D$6:$D$1005,"&lt;"&amp;E863,$E$6:$E$1005,"&gt;"&amp;D863,$F$6:$F$1005,"&lt;&gt;İptal")&gt;1),"HATA: oda bu tarihlerde çakışıyor",IF(AND(F863="Bekleniyor",D863&lt;RaporTarihi),"HATA: giriş günü geçti, Geldi veya İptal yapın","OK"))))))))))))</f>
        <v/>
      </c>
      <c r="L863" s="25">
        <f>IF(AND(ISNUMBER(A863),F863&lt;&gt;"İptal",ISNUMBER(D863),ISNUMBER(E863),D863&lt;=RaporTarihi,E863&gt;RaporTarihi),A863,"")</f>
        <v/>
      </c>
    </row>
    <row r="864">
      <c r="A864" s="22" t="n"/>
      <c r="B864" s="22" t="n"/>
      <c r="C864" s="22" t="n"/>
      <c r="D864" s="23" t="n"/>
      <c r="E864" s="23" t="n"/>
      <c r="F864" s="22" t="n"/>
      <c r="G864" s="24" t="n"/>
      <c r="H864" s="22" t="n"/>
      <c r="I864" s="25">
        <f>IF(AND(ISNUMBER(D864),ISNUMBER(E864)),E864-D864,"")</f>
        <v/>
      </c>
      <c r="J864" s="26">
        <f>IF(AND(ISNUMBER(I864),ISNUMBER(G864)),IF(I864&gt;0,G864/I864,""),"")</f>
        <v/>
      </c>
      <c r="K864" s="25">
        <f>IF(COUNTA(A864:H864)=0,"",IF(OR(A864="",B864="",C864="",D864="",E864="",F864="",G864="",H864=""),"HATA: eksik bilgi",IF(COUNTIF(OdaListesi,A864)=0,"HATA: geçersiz oda no",IF(OR(NOT(ISNUMBER(D864)),NOT(ISNUMBER(E864))),"HATA: tarih geçersiz",IF(E864&lt;=D864,"HATA: çıkış girişten sonra olmalı",IF(OR(NOT(ISNUMBER(C864)),C864&lt;1,C864&gt;MaxKisi,C864&lt;&gt;INT(C864)),"HATA: kişi sayısı geçersiz",IF(OR(NOT(ISNUMBER(G864)),G864&lt;0),"HATA: tutar geçersiz",IF(B864&lt;&gt;TRIM(B864),"HATA: isimde baştaki/sondaki boşluk",IF(COUNTIF(KaynakAralik,H864)=0,"HATA: kaynak listede yok",IF(AND(F864&lt;&gt;"Bekleniyor",F864&lt;&gt;"Geldi",F864&lt;&gt;"İptal"),"HATA: giriş durumu geçersiz",IF(AND(F864&lt;&gt;"İptal",COUNTIFS($A$6:$A$1005,A864,$D$6:$D$1005,"&lt;"&amp;E864,$E$6:$E$1005,"&gt;"&amp;D864,$F$6:$F$1005,"&lt;&gt;İptal")&gt;1),"HATA: oda bu tarihlerde çakışıyor",IF(AND(F864="Bekleniyor",D864&lt;RaporTarihi),"HATA: giriş günü geçti, Geldi veya İptal yapın","OK"))))))))))))</f>
        <v/>
      </c>
      <c r="L864" s="25">
        <f>IF(AND(ISNUMBER(A864),F864&lt;&gt;"İptal",ISNUMBER(D864),ISNUMBER(E864),D864&lt;=RaporTarihi,E864&gt;RaporTarihi),A864,"")</f>
        <v/>
      </c>
    </row>
    <row r="865">
      <c r="A865" s="22" t="n"/>
      <c r="B865" s="22" t="n"/>
      <c r="C865" s="22" t="n"/>
      <c r="D865" s="23" t="n"/>
      <c r="E865" s="23" t="n"/>
      <c r="F865" s="22" t="n"/>
      <c r="G865" s="24" t="n"/>
      <c r="H865" s="22" t="n"/>
      <c r="I865" s="25">
        <f>IF(AND(ISNUMBER(D865),ISNUMBER(E865)),E865-D865,"")</f>
        <v/>
      </c>
      <c r="J865" s="26">
        <f>IF(AND(ISNUMBER(I865),ISNUMBER(G865)),IF(I865&gt;0,G865/I865,""),"")</f>
        <v/>
      </c>
      <c r="K865" s="25">
        <f>IF(COUNTA(A865:H865)=0,"",IF(OR(A865="",B865="",C865="",D865="",E865="",F865="",G865="",H865=""),"HATA: eksik bilgi",IF(COUNTIF(OdaListesi,A865)=0,"HATA: geçersiz oda no",IF(OR(NOT(ISNUMBER(D865)),NOT(ISNUMBER(E865))),"HATA: tarih geçersiz",IF(E865&lt;=D865,"HATA: çıkış girişten sonra olmalı",IF(OR(NOT(ISNUMBER(C865)),C865&lt;1,C865&gt;MaxKisi,C865&lt;&gt;INT(C865)),"HATA: kişi sayısı geçersiz",IF(OR(NOT(ISNUMBER(G865)),G865&lt;0),"HATA: tutar geçersiz",IF(B865&lt;&gt;TRIM(B865),"HATA: isimde baştaki/sondaki boşluk",IF(COUNTIF(KaynakAralik,H865)=0,"HATA: kaynak listede yok",IF(AND(F865&lt;&gt;"Bekleniyor",F865&lt;&gt;"Geldi",F865&lt;&gt;"İptal"),"HATA: giriş durumu geçersiz",IF(AND(F865&lt;&gt;"İptal",COUNTIFS($A$6:$A$1005,A865,$D$6:$D$1005,"&lt;"&amp;E865,$E$6:$E$1005,"&gt;"&amp;D865,$F$6:$F$1005,"&lt;&gt;İptal")&gt;1),"HATA: oda bu tarihlerde çakışıyor",IF(AND(F865="Bekleniyor",D865&lt;RaporTarihi),"HATA: giriş günü geçti, Geldi veya İptal yapın","OK"))))))))))))</f>
        <v/>
      </c>
      <c r="L865" s="25">
        <f>IF(AND(ISNUMBER(A865),F865&lt;&gt;"İptal",ISNUMBER(D865),ISNUMBER(E865),D865&lt;=RaporTarihi,E865&gt;RaporTarihi),A865,"")</f>
        <v/>
      </c>
    </row>
    <row r="866">
      <c r="A866" s="22" t="n"/>
      <c r="B866" s="22" t="n"/>
      <c r="C866" s="22" t="n"/>
      <c r="D866" s="23" t="n"/>
      <c r="E866" s="23" t="n"/>
      <c r="F866" s="22" t="n"/>
      <c r="G866" s="24" t="n"/>
      <c r="H866" s="22" t="n"/>
      <c r="I866" s="25">
        <f>IF(AND(ISNUMBER(D866),ISNUMBER(E866)),E866-D866,"")</f>
        <v/>
      </c>
      <c r="J866" s="26">
        <f>IF(AND(ISNUMBER(I866),ISNUMBER(G866)),IF(I866&gt;0,G866/I866,""),"")</f>
        <v/>
      </c>
      <c r="K866" s="25">
        <f>IF(COUNTA(A866:H866)=0,"",IF(OR(A866="",B866="",C866="",D866="",E866="",F866="",G866="",H866=""),"HATA: eksik bilgi",IF(COUNTIF(OdaListesi,A866)=0,"HATA: geçersiz oda no",IF(OR(NOT(ISNUMBER(D866)),NOT(ISNUMBER(E866))),"HATA: tarih geçersiz",IF(E866&lt;=D866,"HATA: çıkış girişten sonra olmalı",IF(OR(NOT(ISNUMBER(C866)),C866&lt;1,C866&gt;MaxKisi,C866&lt;&gt;INT(C866)),"HATA: kişi sayısı geçersiz",IF(OR(NOT(ISNUMBER(G866)),G866&lt;0),"HATA: tutar geçersiz",IF(B866&lt;&gt;TRIM(B866),"HATA: isimde baştaki/sondaki boşluk",IF(COUNTIF(KaynakAralik,H866)=0,"HATA: kaynak listede yok",IF(AND(F866&lt;&gt;"Bekleniyor",F866&lt;&gt;"Geldi",F866&lt;&gt;"İptal"),"HATA: giriş durumu geçersiz",IF(AND(F866&lt;&gt;"İptal",COUNTIFS($A$6:$A$1005,A866,$D$6:$D$1005,"&lt;"&amp;E866,$E$6:$E$1005,"&gt;"&amp;D866,$F$6:$F$1005,"&lt;&gt;İptal")&gt;1),"HATA: oda bu tarihlerde çakışıyor",IF(AND(F866="Bekleniyor",D866&lt;RaporTarihi),"HATA: giriş günü geçti, Geldi veya İptal yapın","OK"))))))))))))</f>
        <v/>
      </c>
      <c r="L866" s="25">
        <f>IF(AND(ISNUMBER(A866),F866&lt;&gt;"İptal",ISNUMBER(D866),ISNUMBER(E866),D866&lt;=RaporTarihi,E866&gt;RaporTarihi),A866,"")</f>
        <v/>
      </c>
    </row>
    <row r="867">
      <c r="A867" s="22" t="n"/>
      <c r="B867" s="22" t="n"/>
      <c r="C867" s="22" t="n"/>
      <c r="D867" s="23" t="n"/>
      <c r="E867" s="23" t="n"/>
      <c r="F867" s="22" t="n"/>
      <c r="G867" s="24" t="n"/>
      <c r="H867" s="22" t="n"/>
      <c r="I867" s="25">
        <f>IF(AND(ISNUMBER(D867),ISNUMBER(E867)),E867-D867,"")</f>
        <v/>
      </c>
      <c r="J867" s="26">
        <f>IF(AND(ISNUMBER(I867),ISNUMBER(G867)),IF(I867&gt;0,G867/I867,""),"")</f>
        <v/>
      </c>
      <c r="K867" s="25">
        <f>IF(COUNTA(A867:H867)=0,"",IF(OR(A867="",B867="",C867="",D867="",E867="",F867="",G867="",H867=""),"HATA: eksik bilgi",IF(COUNTIF(OdaListesi,A867)=0,"HATA: geçersiz oda no",IF(OR(NOT(ISNUMBER(D867)),NOT(ISNUMBER(E867))),"HATA: tarih geçersiz",IF(E867&lt;=D867,"HATA: çıkış girişten sonra olmalı",IF(OR(NOT(ISNUMBER(C867)),C867&lt;1,C867&gt;MaxKisi,C867&lt;&gt;INT(C867)),"HATA: kişi sayısı geçersiz",IF(OR(NOT(ISNUMBER(G867)),G867&lt;0),"HATA: tutar geçersiz",IF(B867&lt;&gt;TRIM(B867),"HATA: isimde baştaki/sondaki boşluk",IF(COUNTIF(KaynakAralik,H867)=0,"HATA: kaynak listede yok",IF(AND(F867&lt;&gt;"Bekleniyor",F867&lt;&gt;"Geldi",F867&lt;&gt;"İptal"),"HATA: giriş durumu geçersiz",IF(AND(F867&lt;&gt;"İptal",COUNTIFS($A$6:$A$1005,A867,$D$6:$D$1005,"&lt;"&amp;E867,$E$6:$E$1005,"&gt;"&amp;D867,$F$6:$F$1005,"&lt;&gt;İptal")&gt;1),"HATA: oda bu tarihlerde çakışıyor",IF(AND(F867="Bekleniyor",D867&lt;RaporTarihi),"HATA: giriş günü geçti, Geldi veya İptal yapın","OK"))))))))))))</f>
        <v/>
      </c>
      <c r="L867" s="25">
        <f>IF(AND(ISNUMBER(A867),F867&lt;&gt;"İptal",ISNUMBER(D867),ISNUMBER(E867),D867&lt;=RaporTarihi,E867&gt;RaporTarihi),A867,"")</f>
        <v/>
      </c>
    </row>
    <row r="868">
      <c r="A868" s="22" t="n"/>
      <c r="B868" s="22" t="n"/>
      <c r="C868" s="22" t="n"/>
      <c r="D868" s="23" t="n"/>
      <c r="E868" s="23" t="n"/>
      <c r="F868" s="22" t="n"/>
      <c r="G868" s="24" t="n"/>
      <c r="H868" s="22" t="n"/>
      <c r="I868" s="25">
        <f>IF(AND(ISNUMBER(D868),ISNUMBER(E868)),E868-D868,"")</f>
        <v/>
      </c>
      <c r="J868" s="26">
        <f>IF(AND(ISNUMBER(I868),ISNUMBER(G868)),IF(I868&gt;0,G868/I868,""),"")</f>
        <v/>
      </c>
      <c r="K868" s="25">
        <f>IF(COUNTA(A868:H868)=0,"",IF(OR(A868="",B868="",C868="",D868="",E868="",F868="",G868="",H868=""),"HATA: eksik bilgi",IF(COUNTIF(OdaListesi,A868)=0,"HATA: geçersiz oda no",IF(OR(NOT(ISNUMBER(D868)),NOT(ISNUMBER(E868))),"HATA: tarih geçersiz",IF(E868&lt;=D868,"HATA: çıkış girişten sonra olmalı",IF(OR(NOT(ISNUMBER(C868)),C868&lt;1,C868&gt;MaxKisi,C868&lt;&gt;INT(C868)),"HATA: kişi sayısı geçersiz",IF(OR(NOT(ISNUMBER(G868)),G868&lt;0),"HATA: tutar geçersiz",IF(B868&lt;&gt;TRIM(B868),"HATA: isimde baştaki/sondaki boşluk",IF(COUNTIF(KaynakAralik,H868)=0,"HATA: kaynak listede yok",IF(AND(F868&lt;&gt;"Bekleniyor",F868&lt;&gt;"Geldi",F868&lt;&gt;"İptal"),"HATA: giriş durumu geçersiz",IF(AND(F868&lt;&gt;"İptal",COUNTIFS($A$6:$A$1005,A868,$D$6:$D$1005,"&lt;"&amp;E868,$E$6:$E$1005,"&gt;"&amp;D868,$F$6:$F$1005,"&lt;&gt;İptal")&gt;1),"HATA: oda bu tarihlerde çakışıyor",IF(AND(F868="Bekleniyor",D868&lt;RaporTarihi),"HATA: giriş günü geçti, Geldi veya İptal yapın","OK"))))))))))))</f>
        <v/>
      </c>
      <c r="L868" s="25">
        <f>IF(AND(ISNUMBER(A868),F868&lt;&gt;"İptal",ISNUMBER(D868),ISNUMBER(E868),D868&lt;=RaporTarihi,E868&gt;RaporTarihi),A868,"")</f>
        <v/>
      </c>
    </row>
    <row r="869">
      <c r="A869" s="22" t="n"/>
      <c r="B869" s="22" t="n"/>
      <c r="C869" s="22" t="n"/>
      <c r="D869" s="23" t="n"/>
      <c r="E869" s="23" t="n"/>
      <c r="F869" s="22" t="n"/>
      <c r="G869" s="24" t="n"/>
      <c r="H869" s="22" t="n"/>
      <c r="I869" s="25">
        <f>IF(AND(ISNUMBER(D869),ISNUMBER(E869)),E869-D869,"")</f>
        <v/>
      </c>
      <c r="J869" s="26">
        <f>IF(AND(ISNUMBER(I869),ISNUMBER(G869)),IF(I869&gt;0,G869/I869,""),"")</f>
        <v/>
      </c>
      <c r="K869" s="25">
        <f>IF(COUNTA(A869:H869)=0,"",IF(OR(A869="",B869="",C869="",D869="",E869="",F869="",G869="",H869=""),"HATA: eksik bilgi",IF(COUNTIF(OdaListesi,A869)=0,"HATA: geçersiz oda no",IF(OR(NOT(ISNUMBER(D869)),NOT(ISNUMBER(E869))),"HATA: tarih geçersiz",IF(E869&lt;=D869,"HATA: çıkış girişten sonra olmalı",IF(OR(NOT(ISNUMBER(C869)),C869&lt;1,C869&gt;MaxKisi,C869&lt;&gt;INT(C869)),"HATA: kişi sayısı geçersiz",IF(OR(NOT(ISNUMBER(G869)),G869&lt;0),"HATA: tutar geçersiz",IF(B869&lt;&gt;TRIM(B869),"HATA: isimde baştaki/sondaki boşluk",IF(COUNTIF(KaynakAralik,H869)=0,"HATA: kaynak listede yok",IF(AND(F869&lt;&gt;"Bekleniyor",F869&lt;&gt;"Geldi",F869&lt;&gt;"İptal"),"HATA: giriş durumu geçersiz",IF(AND(F869&lt;&gt;"İptal",COUNTIFS($A$6:$A$1005,A869,$D$6:$D$1005,"&lt;"&amp;E869,$E$6:$E$1005,"&gt;"&amp;D869,$F$6:$F$1005,"&lt;&gt;İptal")&gt;1),"HATA: oda bu tarihlerde çakışıyor",IF(AND(F869="Bekleniyor",D869&lt;RaporTarihi),"HATA: giriş günü geçti, Geldi veya İptal yapın","OK"))))))))))))</f>
        <v/>
      </c>
      <c r="L869" s="25">
        <f>IF(AND(ISNUMBER(A869),F869&lt;&gt;"İptal",ISNUMBER(D869),ISNUMBER(E869),D869&lt;=RaporTarihi,E869&gt;RaporTarihi),A869,"")</f>
        <v/>
      </c>
    </row>
    <row r="870">
      <c r="A870" s="22" t="n"/>
      <c r="B870" s="22" t="n"/>
      <c r="C870" s="22" t="n"/>
      <c r="D870" s="23" t="n"/>
      <c r="E870" s="23" t="n"/>
      <c r="F870" s="22" t="n"/>
      <c r="G870" s="24" t="n"/>
      <c r="H870" s="22" t="n"/>
      <c r="I870" s="25">
        <f>IF(AND(ISNUMBER(D870),ISNUMBER(E870)),E870-D870,"")</f>
        <v/>
      </c>
      <c r="J870" s="26">
        <f>IF(AND(ISNUMBER(I870),ISNUMBER(G870)),IF(I870&gt;0,G870/I870,""),"")</f>
        <v/>
      </c>
      <c r="K870" s="25">
        <f>IF(COUNTA(A870:H870)=0,"",IF(OR(A870="",B870="",C870="",D870="",E870="",F870="",G870="",H870=""),"HATA: eksik bilgi",IF(COUNTIF(OdaListesi,A870)=0,"HATA: geçersiz oda no",IF(OR(NOT(ISNUMBER(D870)),NOT(ISNUMBER(E870))),"HATA: tarih geçersiz",IF(E870&lt;=D870,"HATA: çıkış girişten sonra olmalı",IF(OR(NOT(ISNUMBER(C870)),C870&lt;1,C870&gt;MaxKisi,C870&lt;&gt;INT(C870)),"HATA: kişi sayısı geçersiz",IF(OR(NOT(ISNUMBER(G870)),G870&lt;0),"HATA: tutar geçersiz",IF(B870&lt;&gt;TRIM(B870),"HATA: isimde baştaki/sondaki boşluk",IF(COUNTIF(KaynakAralik,H870)=0,"HATA: kaynak listede yok",IF(AND(F870&lt;&gt;"Bekleniyor",F870&lt;&gt;"Geldi",F870&lt;&gt;"İptal"),"HATA: giriş durumu geçersiz",IF(AND(F870&lt;&gt;"İptal",COUNTIFS($A$6:$A$1005,A870,$D$6:$D$1005,"&lt;"&amp;E870,$E$6:$E$1005,"&gt;"&amp;D870,$F$6:$F$1005,"&lt;&gt;İptal")&gt;1),"HATA: oda bu tarihlerde çakışıyor",IF(AND(F870="Bekleniyor",D870&lt;RaporTarihi),"HATA: giriş günü geçti, Geldi veya İptal yapın","OK"))))))))))))</f>
        <v/>
      </c>
      <c r="L870" s="25">
        <f>IF(AND(ISNUMBER(A870),F870&lt;&gt;"İptal",ISNUMBER(D870),ISNUMBER(E870),D870&lt;=RaporTarihi,E870&gt;RaporTarihi),A870,"")</f>
        <v/>
      </c>
    </row>
    <row r="871">
      <c r="A871" s="22" t="n"/>
      <c r="B871" s="22" t="n"/>
      <c r="C871" s="22" t="n"/>
      <c r="D871" s="23" t="n"/>
      <c r="E871" s="23" t="n"/>
      <c r="F871" s="22" t="n"/>
      <c r="G871" s="24" t="n"/>
      <c r="H871" s="22" t="n"/>
      <c r="I871" s="25">
        <f>IF(AND(ISNUMBER(D871),ISNUMBER(E871)),E871-D871,"")</f>
        <v/>
      </c>
      <c r="J871" s="26">
        <f>IF(AND(ISNUMBER(I871),ISNUMBER(G871)),IF(I871&gt;0,G871/I871,""),"")</f>
        <v/>
      </c>
      <c r="K871" s="25">
        <f>IF(COUNTA(A871:H871)=0,"",IF(OR(A871="",B871="",C871="",D871="",E871="",F871="",G871="",H871=""),"HATA: eksik bilgi",IF(COUNTIF(OdaListesi,A871)=0,"HATA: geçersiz oda no",IF(OR(NOT(ISNUMBER(D871)),NOT(ISNUMBER(E871))),"HATA: tarih geçersiz",IF(E871&lt;=D871,"HATA: çıkış girişten sonra olmalı",IF(OR(NOT(ISNUMBER(C871)),C871&lt;1,C871&gt;MaxKisi,C871&lt;&gt;INT(C871)),"HATA: kişi sayısı geçersiz",IF(OR(NOT(ISNUMBER(G871)),G871&lt;0),"HATA: tutar geçersiz",IF(B871&lt;&gt;TRIM(B871),"HATA: isimde baştaki/sondaki boşluk",IF(COUNTIF(KaynakAralik,H871)=0,"HATA: kaynak listede yok",IF(AND(F871&lt;&gt;"Bekleniyor",F871&lt;&gt;"Geldi",F871&lt;&gt;"İptal"),"HATA: giriş durumu geçersiz",IF(AND(F871&lt;&gt;"İptal",COUNTIFS($A$6:$A$1005,A871,$D$6:$D$1005,"&lt;"&amp;E871,$E$6:$E$1005,"&gt;"&amp;D871,$F$6:$F$1005,"&lt;&gt;İptal")&gt;1),"HATA: oda bu tarihlerde çakışıyor",IF(AND(F871="Bekleniyor",D871&lt;RaporTarihi),"HATA: giriş günü geçti, Geldi veya İptal yapın","OK"))))))))))))</f>
        <v/>
      </c>
      <c r="L871" s="25">
        <f>IF(AND(ISNUMBER(A871),F871&lt;&gt;"İptal",ISNUMBER(D871),ISNUMBER(E871),D871&lt;=RaporTarihi,E871&gt;RaporTarihi),A871,"")</f>
        <v/>
      </c>
    </row>
    <row r="872">
      <c r="A872" s="22" t="n"/>
      <c r="B872" s="22" t="n"/>
      <c r="C872" s="22" t="n"/>
      <c r="D872" s="23" t="n"/>
      <c r="E872" s="23" t="n"/>
      <c r="F872" s="22" t="n"/>
      <c r="G872" s="24" t="n"/>
      <c r="H872" s="22" t="n"/>
      <c r="I872" s="25">
        <f>IF(AND(ISNUMBER(D872),ISNUMBER(E872)),E872-D872,"")</f>
        <v/>
      </c>
      <c r="J872" s="26">
        <f>IF(AND(ISNUMBER(I872),ISNUMBER(G872)),IF(I872&gt;0,G872/I872,""),"")</f>
        <v/>
      </c>
      <c r="K872" s="25">
        <f>IF(COUNTA(A872:H872)=0,"",IF(OR(A872="",B872="",C872="",D872="",E872="",F872="",G872="",H872=""),"HATA: eksik bilgi",IF(COUNTIF(OdaListesi,A872)=0,"HATA: geçersiz oda no",IF(OR(NOT(ISNUMBER(D872)),NOT(ISNUMBER(E872))),"HATA: tarih geçersiz",IF(E872&lt;=D872,"HATA: çıkış girişten sonra olmalı",IF(OR(NOT(ISNUMBER(C872)),C872&lt;1,C872&gt;MaxKisi,C872&lt;&gt;INT(C872)),"HATA: kişi sayısı geçersiz",IF(OR(NOT(ISNUMBER(G872)),G872&lt;0),"HATA: tutar geçersiz",IF(B872&lt;&gt;TRIM(B872),"HATA: isimde baştaki/sondaki boşluk",IF(COUNTIF(KaynakAralik,H872)=0,"HATA: kaynak listede yok",IF(AND(F872&lt;&gt;"Bekleniyor",F872&lt;&gt;"Geldi",F872&lt;&gt;"İptal"),"HATA: giriş durumu geçersiz",IF(AND(F872&lt;&gt;"İptal",COUNTIFS($A$6:$A$1005,A872,$D$6:$D$1005,"&lt;"&amp;E872,$E$6:$E$1005,"&gt;"&amp;D872,$F$6:$F$1005,"&lt;&gt;İptal")&gt;1),"HATA: oda bu tarihlerde çakışıyor",IF(AND(F872="Bekleniyor",D872&lt;RaporTarihi),"HATA: giriş günü geçti, Geldi veya İptal yapın","OK"))))))))))))</f>
        <v/>
      </c>
      <c r="L872" s="25">
        <f>IF(AND(ISNUMBER(A872),F872&lt;&gt;"İptal",ISNUMBER(D872),ISNUMBER(E872),D872&lt;=RaporTarihi,E872&gt;RaporTarihi),A872,"")</f>
        <v/>
      </c>
    </row>
    <row r="873">
      <c r="A873" s="22" t="n"/>
      <c r="B873" s="22" t="n"/>
      <c r="C873" s="22" t="n"/>
      <c r="D873" s="23" t="n"/>
      <c r="E873" s="23" t="n"/>
      <c r="F873" s="22" t="n"/>
      <c r="G873" s="24" t="n"/>
      <c r="H873" s="22" t="n"/>
      <c r="I873" s="25">
        <f>IF(AND(ISNUMBER(D873),ISNUMBER(E873)),E873-D873,"")</f>
        <v/>
      </c>
      <c r="J873" s="26">
        <f>IF(AND(ISNUMBER(I873),ISNUMBER(G873)),IF(I873&gt;0,G873/I873,""),"")</f>
        <v/>
      </c>
      <c r="K873" s="25">
        <f>IF(COUNTA(A873:H873)=0,"",IF(OR(A873="",B873="",C873="",D873="",E873="",F873="",G873="",H873=""),"HATA: eksik bilgi",IF(COUNTIF(OdaListesi,A873)=0,"HATA: geçersiz oda no",IF(OR(NOT(ISNUMBER(D873)),NOT(ISNUMBER(E873))),"HATA: tarih geçersiz",IF(E873&lt;=D873,"HATA: çıkış girişten sonra olmalı",IF(OR(NOT(ISNUMBER(C873)),C873&lt;1,C873&gt;MaxKisi,C873&lt;&gt;INT(C873)),"HATA: kişi sayısı geçersiz",IF(OR(NOT(ISNUMBER(G873)),G873&lt;0),"HATA: tutar geçersiz",IF(B873&lt;&gt;TRIM(B873),"HATA: isimde baştaki/sondaki boşluk",IF(COUNTIF(KaynakAralik,H873)=0,"HATA: kaynak listede yok",IF(AND(F873&lt;&gt;"Bekleniyor",F873&lt;&gt;"Geldi",F873&lt;&gt;"İptal"),"HATA: giriş durumu geçersiz",IF(AND(F873&lt;&gt;"İptal",COUNTIFS($A$6:$A$1005,A873,$D$6:$D$1005,"&lt;"&amp;E873,$E$6:$E$1005,"&gt;"&amp;D873,$F$6:$F$1005,"&lt;&gt;İptal")&gt;1),"HATA: oda bu tarihlerde çakışıyor",IF(AND(F873="Bekleniyor",D873&lt;RaporTarihi),"HATA: giriş günü geçti, Geldi veya İptal yapın","OK"))))))))))))</f>
        <v/>
      </c>
      <c r="L873" s="25">
        <f>IF(AND(ISNUMBER(A873),F873&lt;&gt;"İptal",ISNUMBER(D873),ISNUMBER(E873),D873&lt;=RaporTarihi,E873&gt;RaporTarihi),A873,"")</f>
        <v/>
      </c>
    </row>
    <row r="874">
      <c r="A874" s="22" t="n"/>
      <c r="B874" s="22" t="n"/>
      <c r="C874" s="22" t="n"/>
      <c r="D874" s="23" t="n"/>
      <c r="E874" s="23" t="n"/>
      <c r="F874" s="22" t="n"/>
      <c r="G874" s="24" t="n"/>
      <c r="H874" s="22" t="n"/>
      <c r="I874" s="25">
        <f>IF(AND(ISNUMBER(D874),ISNUMBER(E874)),E874-D874,"")</f>
        <v/>
      </c>
      <c r="J874" s="26">
        <f>IF(AND(ISNUMBER(I874),ISNUMBER(G874)),IF(I874&gt;0,G874/I874,""),"")</f>
        <v/>
      </c>
      <c r="K874" s="25">
        <f>IF(COUNTA(A874:H874)=0,"",IF(OR(A874="",B874="",C874="",D874="",E874="",F874="",G874="",H874=""),"HATA: eksik bilgi",IF(COUNTIF(OdaListesi,A874)=0,"HATA: geçersiz oda no",IF(OR(NOT(ISNUMBER(D874)),NOT(ISNUMBER(E874))),"HATA: tarih geçersiz",IF(E874&lt;=D874,"HATA: çıkış girişten sonra olmalı",IF(OR(NOT(ISNUMBER(C874)),C874&lt;1,C874&gt;MaxKisi,C874&lt;&gt;INT(C874)),"HATA: kişi sayısı geçersiz",IF(OR(NOT(ISNUMBER(G874)),G874&lt;0),"HATA: tutar geçersiz",IF(B874&lt;&gt;TRIM(B874),"HATA: isimde baştaki/sondaki boşluk",IF(COUNTIF(KaynakAralik,H874)=0,"HATA: kaynak listede yok",IF(AND(F874&lt;&gt;"Bekleniyor",F874&lt;&gt;"Geldi",F874&lt;&gt;"İptal"),"HATA: giriş durumu geçersiz",IF(AND(F874&lt;&gt;"İptal",COUNTIFS($A$6:$A$1005,A874,$D$6:$D$1005,"&lt;"&amp;E874,$E$6:$E$1005,"&gt;"&amp;D874,$F$6:$F$1005,"&lt;&gt;İptal")&gt;1),"HATA: oda bu tarihlerde çakışıyor",IF(AND(F874="Bekleniyor",D874&lt;RaporTarihi),"HATA: giriş günü geçti, Geldi veya İptal yapın","OK"))))))))))))</f>
        <v/>
      </c>
      <c r="L874" s="25">
        <f>IF(AND(ISNUMBER(A874),F874&lt;&gt;"İptal",ISNUMBER(D874),ISNUMBER(E874),D874&lt;=RaporTarihi,E874&gt;RaporTarihi),A874,"")</f>
        <v/>
      </c>
    </row>
    <row r="875">
      <c r="A875" s="22" t="n"/>
      <c r="B875" s="22" t="n"/>
      <c r="C875" s="22" t="n"/>
      <c r="D875" s="23" t="n"/>
      <c r="E875" s="23" t="n"/>
      <c r="F875" s="22" t="n"/>
      <c r="G875" s="24" t="n"/>
      <c r="H875" s="22" t="n"/>
      <c r="I875" s="25">
        <f>IF(AND(ISNUMBER(D875),ISNUMBER(E875)),E875-D875,"")</f>
        <v/>
      </c>
      <c r="J875" s="26">
        <f>IF(AND(ISNUMBER(I875),ISNUMBER(G875)),IF(I875&gt;0,G875/I875,""),"")</f>
        <v/>
      </c>
      <c r="K875" s="25">
        <f>IF(COUNTA(A875:H875)=0,"",IF(OR(A875="",B875="",C875="",D875="",E875="",F875="",G875="",H875=""),"HATA: eksik bilgi",IF(COUNTIF(OdaListesi,A875)=0,"HATA: geçersiz oda no",IF(OR(NOT(ISNUMBER(D875)),NOT(ISNUMBER(E875))),"HATA: tarih geçersiz",IF(E875&lt;=D875,"HATA: çıkış girişten sonra olmalı",IF(OR(NOT(ISNUMBER(C875)),C875&lt;1,C875&gt;MaxKisi,C875&lt;&gt;INT(C875)),"HATA: kişi sayısı geçersiz",IF(OR(NOT(ISNUMBER(G875)),G875&lt;0),"HATA: tutar geçersiz",IF(B875&lt;&gt;TRIM(B875),"HATA: isimde baştaki/sondaki boşluk",IF(COUNTIF(KaynakAralik,H875)=0,"HATA: kaynak listede yok",IF(AND(F875&lt;&gt;"Bekleniyor",F875&lt;&gt;"Geldi",F875&lt;&gt;"İptal"),"HATA: giriş durumu geçersiz",IF(AND(F875&lt;&gt;"İptal",COUNTIFS($A$6:$A$1005,A875,$D$6:$D$1005,"&lt;"&amp;E875,$E$6:$E$1005,"&gt;"&amp;D875,$F$6:$F$1005,"&lt;&gt;İptal")&gt;1),"HATA: oda bu tarihlerde çakışıyor",IF(AND(F875="Bekleniyor",D875&lt;RaporTarihi),"HATA: giriş günü geçti, Geldi veya İptal yapın","OK"))))))))))))</f>
        <v/>
      </c>
      <c r="L875" s="25">
        <f>IF(AND(ISNUMBER(A875),F875&lt;&gt;"İptal",ISNUMBER(D875),ISNUMBER(E875),D875&lt;=RaporTarihi,E875&gt;RaporTarihi),A875,"")</f>
        <v/>
      </c>
    </row>
    <row r="876">
      <c r="A876" s="22" t="n"/>
      <c r="B876" s="22" t="n"/>
      <c r="C876" s="22" t="n"/>
      <c r="D876" s="23" t="n"/>
      <c r="E876" s="23" t="n"/>
      <c r="F876" s="22" t="n"/>
      <c r="G876" s="24" t="n"/>
      <c r="H876" s="22" t="n"/>
      <c r="I876" s="25">
        <f>IF(AND(ISNUMBER(D876),ISNUMBER(E876)),E876-D876,"")</f>
        <v/>
      </c>
      <c r="J876" s="26">
        <f>IF(AND(ISNUMBER(I876),ISNUMBER(G876)),IF(I876&gt;0,G876/I876,""),"")</f>
        <v/>
      </c>
      <c r="K876" s="25">
        <f>IF(COUNTA(A876:H876)=0,"",IF(OR(A876="",B876="",C876="",D876="",E876="",F876="",G876="",H876=""),"HATA: eksik bilgi",IF(COUNTIF(OdaListesi,A876)=0,"HATA: geçersiz oda no",IF(OR(NOT(ISNUMBER(D876)),NOT(ISNUMBER(E876))),"HATA: tarih geçersiz",IF(E876&lt;=D876,"HATA: çıkış girişten sonra olmalı",IF(OR(NOT(ISNUMBER(C876)),C876&lt;1,C876&gt;MaxKisi,C876&lt;&gt;INT(C876)),"HATA: kişi sayısı geçersiz",IF(OR(NOT(ISNUMBER(G876)),G876&lt;0),"HATA: tutar geçersiz",IF(B876&lt;&gt;TRIM(B876),"HATA: isimde baştaki/sondaki boşluk",IF(COUNTIF(KaynakAralik,H876)=0,"HATA: kaynak listede yok",IF(AND(F876&lt;&gt;"Bekleniyor",F876&lt;&gt;"Geldi",F876&lt;&gt;"İptal"),"HATA: giriş durumu geçersiz",IF(AND(F876&lt;&gt;"İptal",COUNTIFS($A$6:$A$1005,A876,$D$6:$D$1005,"&lt;"&amp;E876,$E$6:$E$1005,"&gt;"&amp;D876,$F$6:$F$1005,"&lt;&gt;İptal")&gt;1),"HATA: oda bu tarihlerde çakışıyor",IF(AND(F876="Bekleniyor",D876&lt;RaporTarihi),"HATA: giriş günü geçti, Geldi veya İptal yapın","OK"))))))))))))</f>
        <v/>
      </c>
      <c r="L876" s="25">
        <f>IF(AND(ISNUMBER(A876),F876&lt;&gt;"İptal",ISNUMBER(D876),ISNUMBER(E876),D876&lt;=RaporTarihi,E876&gt;RaporTarihi),A876,"")</f>
        <v/>
      </c>
    </row>
    <row r="877">
      <c r="A877" s="22" t="n"/>
      <c r="B877" s="22" t="n"/>
      <c r="C877" s="22" t="n"/>
      <c r="D877" s="23" t="n"/>
      <c r="E877" s="23" t="n"/>
      <c r="F877" s="22" t="n"/>
      <c r="G877" s="24" t="n"/>
      <c r="H877" s="22" t="n"/>
      <c r="I877" s="25">
        <f>IF(AND(ISNUMBER(D877),ISNUMBER(E877)),E877-D877,"")</f>
        <v/>
      </c>
      <c r="J877" s="26">
        <f>IF(AND(ISNUMBER(I877),ISNUMBER(G877)),IF(I877&gt;0,G877/I877,""),"")</f>
        <v/>
      </c>
      <c r="K877" s="25">
        <f>IF(COUNTA(A877:H877)=0,"",IF(OR(A877="",B877="",C877="",D877="",E877="",F877="",G877="",H877=""),"HATA: eksik bilgi",IF(COUNTIF(OdaListesi,A877)=0,"HATA: geçersiz oda no",IF(OR(NOT(ISNUMBER(D877)),NOT(ISNUMBER(E877))),"HATA: tarih geçersiz",IF(E877&lt;=D877,"HATA: çıkış girişten sonra olmalı",IF(OR(NOT(ISNUMBER(C877)),C877&lt;1,C877&gt;MaxKisi,C877&lt;&gt;INT(C877)),"HATA: kişi sayısı geçersiz",IF(OR(NOT(ISNUMBER(G877)),G877&lt;0),"HATA: tutar geçersiz",IF(B877&lt;&gt;TRIM(B877),"HATA: isimde baştaki/sondaki boşluk",IF(COUNTIF(KaynakAralik,H877)=0,"HATA: kaynak listede yok",IF(AND(F877&lt;&gt;"Bekleniyor",F877&lt;&gt;"Geldi",F877&lt;&gt;"İptal"),"HATA: giriş durumu geçersiz",IF(AND(F877&lt;&gt;"İptal",COUNTIFS($A$6:$A$1005,A877,$D$6:$D$1005,"&lt;"&amp;E877,$E$6:$E$1005,"&gt;"&amp;D877,$F$6:$F$1005,"&lt;&gt;İptal")&gt;1),"HATA: oda bu tarihlerde çakışıyor",IF(AND(F877="Bekleniyor",D877&lt;RaporTarihi),"HATA: giriş günü geçti, Geldi veya İptal yapın","OK"))))))))))))</f>
        <v/>
      </c>
      <c r="L877" s="25">
        <f>IF(AND(ISNUMBER(A877),F877&lt;&gt;"İptal",ISNUMBER(D877),ISNUMBER(E877),D877&lt;=RaporTarihi,E877&gt;RaporTarihi),A877,"")</f>
        <v/>
      </c>
    </row>
    <row r="878">
      <c r="A878" s="22" t="n"/>
      <c r="B878" s="22" t="n"/>
      <c r="C878" s="22" t="n"/>
      <c r="D878" s="23" t="n"/>
      <c r="E878" s="23" t="n"/>
      <c r="F878" s="22" t="n"/>
      <c r="G878" s="24" t="n"/>
      <c r="H878" s="22" t="n"/>
      <c r="I878" s="25">
        <f>IF(AND(ISNUMBER(D878),ISNUMBER(E878)),E878-D878,"")</f>
        <v/>
      </c>
      <c r="J878" s="26">
        <f>IF(AND(ISNUMBER(I878),ISNUMBER(G878)),IF(I878&gt;0,G878/I878,""),"")</f>
        <v/>
      </c>
      <c r="K878" s="25">
        <f>IF(COUNTA(A878:H878)=0,"",IF(OR(A878="",B878="",C878="",D878="",E878="",F878="",G878="",H878=""),"HATA: eksik bilgi",IF(COUNTIF(OdaListesi,A878)=0,"HATA: geçersiz oda no",IF(OR(NOT(ISNUMBER(D878)),NOT(ISNUMBER(E878))),"HATA: tarih geçersiz",IF(E878&lt;=D878,"HATA: çıkış girişten sonra olmalı",IF(OR(NOT(ISNUMBER(C878)),C878&lt;1,C878&gt;MaxKisi,C878&lt;&gt;INT(C878)),"HATA: kişi sayısı geçersiz",IF(OR(NOT(ISNUMBER(G878)),G878&lt;0),"HATA: tutar geçersiz",IF(B878&lt;&gt;TRIM(B878),"HATA: isimde baştaki/sondaki boşluk",IF(COUNTIF(KaynakAralik,H878)=0,"HATA: kaynak listede yok",IF(AND(F878&lt;&gt;"Bekleniyor",F878&lt;&gt;"Geldi",F878&lt;&gt;"İptal"),"HATA: giriş durumu geçersiz",IF(AND(F878&lt;&gt;"İptal",COUNTIFS($A$6:$A$1005,A878,$D$6:$D$1005,"&lt;"&amp;E878,$E$6:$E$1005,"&gt;"&amp;D878,$F$6:$F$1005,"&lt;&gt;İptal")&gt;1),"HATA: oda bu tarihlerde çakışıyor",IF(AND(F878="Bekleniyor",D878&lt;RaporTarihi),"HATA: giriş günü geçti, Geldi veya İptal yapın","OK"))))))))))))</f>
        <v/>
      </c>
      <c r="L878" s="25">
        <f>IF(AND(ISNUMBER(A878),F878&lt;&gt;"İptal",ISNUMBER(D878),ISNUMBER(E878),D878&lt;=RaporTarihi,E878&gt;RaporTarihi),A878,"")</f>
        <v/>
      </c>
    </row>
    <row r="879">
      <c r="A879" s="22" t="n"/>
      <c r="B879" s="22" t="n"/>
      <c r="C879" s="22" t="n"/>
      <c r="D879" s="23" t="n"/>
      <c r="E879" s="23" t="n"/>
      <c r="F879" s="22" t="n"/>
      <c r="G879" s="24" t="n"/>
      <c r="H879" s="22" t="n"/>
      <c r="I879" s="25">
        <f>IF(AND(ISNUMBER(D879),ISNUMBER(E879)),E879-D879,"")</f>
        <v/>
      </c>
      <c r="J879" s="26">
        <f>IF(AND(ISNUMBER(I879),ISNUMBER(G879)),IF(I879&gt;0,G879/I879,""),"")</f>
        <v/>
      </c>
      <c r="K879" s="25">
        <f>IF(COUNTA(A879:H879)=0,"",IF(OR(A879="",B879="",C879="",D879="",E879="",F879="",G879="",H879=""),"HATA: eksik bilgi",IF(COUNTIF(OdaListesi,A879)=0,"HATA: geçersiz oda no",IF(OR(NOT(ISNUMBER(D879)),NOT(ISNUMBER(E879))),"HATA: tarih geçersiz",IF(E879&lt;=D879,"HATA: çıkış girişten sonra olmalı",IF(OR(NOT(ISNUMBER(C879)),C879&lt;1,C879&gt;MaxKisi,C879&lt;&gt;INT(C879)),"HATA: kişi sayısı geçersiz",IF(OR(NOT(ISNUMBER(G879)),G879&lt;0),"HATA: tutar geçersiz",IF(B879&lt;&gt;TRIM(B879),"HATA: isimde baştaki/sondaki boşluk",IF(COUNTIF(KaynakAralik,H879)=0,"HATA: kaynak listede yok",IF(AND(F879&lt;&gt;"Bekleniyor",F879&lt;&gt;"Geldi",F879&lt;&gt;"İptal"),"HATA: giriş durumu geçersiz",IF(AND(F879&lt;&gt;"İptal",COUNTIFS($A$6:$A$1005,A879,$D$6:$D$1005,"&lt;"&amp;E879,$E$6:$E$1005,"&gt;"&amp;D879,$F$6:$F$1005,"&lt;&gt;İptal")&gt;1),"HATA: oda bu tarihlerde çakışıyor",IF(AND(F879="Bekleniyor",D879&lt;RaporTarihi),"HATA: giriş günü geçti, Geldi veya İptal yapın","OK"))))))))))))</f>
        <v/>
      </c>
      <c r="L879" s="25">
        <f>IF(AND(ISNUMBER(A879),F879&lt;&gt;"İptal",ISNUMBER(D879),ISNUMBER(E879),D879&lt;=RaporTarihi,E879&gt;RaporTarihi),A879,"")</f>
        <v/>
      </c>
    </row>
    <row r="880">
      <c r="A880" s="22" t="n"/>
      <c r="B880" s="22" t="n"/>
      <c r="C880" s="22" t="n"/>
      <c r="D880" s="23" t="n"/>
      <c r="E880" s="23" t="n"/>
      <c r="F880" s="22" t="n"/>
      <c r="G880" s="24" t="n"/>
      <c r="H880" s="22" t="n"/>
      <c r="I880" s="25">
        <f>IF(AND(ISNUMBER(D880),ISNUMBER(E880)),E880-D880,"")</f>
        <v/>
      </c>
      <c r="J880" s="26">
        <f>IF(AND(ISNUMBER(I880),ISNUMBER(G880)),IF(I880&gt;0,G880/I880,""),"")</f>
        <v/>
      </c>
      <c r="K880" s="25">
        <f>IF(COUNTA(A880:H880)=0,"",IF(OR(A880="",B880="",C880="",D880="",E880="",F880="",G880="",H880=""),"HATA: eksik bilgi",IF(COUNTIF(OdaListesi,A880)=0,"HATA: geçersiz oda no",IF(OR(NOT(ISNUMBER(D880)),NOT(ISNUMBER(E880))),"HATA: tarih geçersiz",IF(E880&lt;=D880,"HATA: çıkış girişten sonra olmalı",IF(OR(NOT(ISNUMBER(C880)),C880&lt;1,C880&gt;MaxKisi,C880&lt;&gt;INT(C880)),"HATA: kişi sayısı geçersiz",IF(OR(NOT(ISNUMBER(G880)),G880&lt;0),"HATA: tutar geçersiz",IF(B880&lt;&gt;TRIM(B880),"HATA: isimde baştaki/sondaki boşluk",IF(COUNTIF(KaynakAralik,H880)=0,"HATA: kaynak listede yok",IF(AND(F880&lt;&gt;"Bekleniyor",F880&lt;&gt;"Geldi",F880&lt;&gt;"İptal"),"HATA: giriş durumu geçersiz",IF(AND(F880&lt;&gt;"İptal",COUNTIFS($A$6:$A$1005,A880,$D$6:$D$1005,"&lt;"&amp;E880,$E$6:$E$1005,"&gt;"&amp;D880,$F$6:$F$1005,"&lt;&gt;İptal")&gt;1),"HATA: oda bu tarihlerde çakışıyor",IF(AND(F880="Bekleniyor",D880&lt;RaporTarihi),"HATA: giriş günü geçti, Geldi veya İptal yapın","OK"))))))))))))</f>
        <v/>
      </c>
      <c r="L880" s="25">
        <f>IF(AND(ISNUMBER(A880),F880&lt;&gt;"İptal",ISNUMBER(D880),ISNUMBER(E880),D880&lt;=RaporTarihi,E880&gt;RaporTarihi),A880,"")</f>
        <v/>
      </c>
    </row>
    <row r="881">
      <c r="A881" s="22" t="n"/>
      <c r="B881" s="22" t="n"/>
      <c r="C881" s="22" t="n"/>
      <c r="D881" s="23" t="n"/>
      <c r="E881" s="23" t="n"/>
      <c r="F881" s="22" t="n"/>
      <c r="G881" s="24" t="n"/>
      <c r="H881" s="22" t="n"/>
      <c r="I881" s="25">
        <f>IF(AND(ISNUMBER(D881),ISNUMBER(E881)),E881-D881,"")</f>
        <v/>
      </c>
      <c r="J881" s="26">
        <f>IF(AND(ISNUMBER(I881),ISNUMBER(G881)),IF(I881&gt;0,G881/I881,""),"")</f>
        <v/>
      </c>
      <c r="K881" s="25">
        <f>IF(COUNTA(A881:H881)=0,"",IF(OR(A881="",B881="",C881="",D881="",E881="",F881="",G881="",H881=""),"HATA: eksik bilgi",IF(COUNTIF(OdaListesi,A881)=0,"HATA: geçersiz oda no",IF(OR(NOT(ISNUMBER(D881)),NOT(ISNUMBER(E881))),"HATA: tarih geçersiz",IF(E881&lt;=D881,"HATA: çıkış girişten sonra olmalı",IF(OR(NOT(ISNUMBER(C881)),C881&lt;1,C881&gt;MaxKisi,C881&lt;&gt;INT(C881)),"HATA: kişi sayısı geçersiz",IF(OR(NOT(ISNUMBER(G881)),G881&lt;0),"HATA: tutar geçersiz",IF(B881&lt;&gt;TRIM(B881),"HATA: isimde baştaki/sondaki boşluk",IF(COUNTIF(KaynakAralik,H881)=0,"HATA: kaynak listede yok",IF(AND(F881&lt;&gt;"Bekleniyor",F881&lt;&gt;"Geldi",F881&lt;&gt;"İptal"),"HATA: giriş durumu geçersiz",IF(AND(F881&lt;&gt;"İptal",COUNTIFS($A$6:$A$1005,A881,$D$6:$D$1005,"&lt;"&amp;E881,$E$6:$E$1005,"&gt;"&amp;D881,$F$6:$F$1005,"&lt;&gt;İptal")&gt;1),"HATA: oda bu tarihlerde çakışıyor",IF(AND(F881="Bekleniyor",D881&lt;RaporTarihi),"HATA: giriş günü geçti, Geldi veya İptal yapın","OK"))))))))))))</f>
        <v/>
      </c>
      <c r="L881" s="25">
        <f>IF(AND(ISNUMBER(A881),F881&lt;&gt;"İptal",ISNUMBER(D881),ISNUMBER(E881),D881&lt;=RaporTarihi,E881&gt;RaporTarihi),A881,"")</f>
        <v/>
      </c>
    </row>
    <row r="882">
      <c r="A882" s="22" t="n"/>
      <c r="B882" s="22" t="n"/>
      <c r="C882" s="22" t="n"/>
      <c r="D882" s="23" t="n"/>
      <c r="E882" s="23" t="n"/>
      <c r="F882" s="22" t="n"/>
      <c r="G882" s="24" t="n"/>
      <c r="H882" s="22" t="n"/>
      <c r="I882" s="25">
        <f>IF(AND(ISNUMBER(D882),ISNUMBER(E882)),E882-D882,"")</f>
        <v/>
      </c>
      <c r="J882" s="26">
        <f>IF(AND(ISNUMBER(I882),ISNUMBER(G882)),IF(I882&gt;0,G882/I882,""),"")</f>
        <v/>
      </c>
      <c r="K882" s="25">
        <f>IF(COUNTA(A882:H882)=0,"",IF(OR(A882="",B882="",C882="",D882="",E882="",F882="",G882="",H882=""),"HATA: eksik bilgi",IF(COUNTIF(OdaListesi,A882)=0,"HATA: geçersiz oda no",IF(OR(NOT(ISNUMBER(D882)),NOT(ISNUMBER(E882))),"HATA: tarih geçersiz",IF(E882&lt;=D882,"HATA: çıkış girişten sonra olmalı",IF(OR(NOT(ISNUMBER(C882)),C882&lt;1,C882&gt;MaxKisi,C882&lt;&gt;INT(C882)),"HATA: kişi sayısı geçersiz",IF(OR(NOT(ISNUMBER(G882)),G882&lt;0),"HATA: tutar geçersiz",IF(B882&lt;&gt;TRIM(B882),"HATA: isimde baştaki/sondaki boşluk",IF(COUNTIF(KaynakAralik,H882)=0,"HATA: kaynak listede yok",IF(AND(F882&lt;&gt;"Bekleniyor",F882&lt;&gt;"Geldi",F882&lt;&gt;"İptal"),"HATA: giriş durumu geçersiz",IF(AND(F882&lt;&gt;"İptal",COUNTIFS($A$6:$A$1005,A882,$D$6:$D$1005,"&lt;"&amp;E882,$E$6:$E$1005,"&gt;"&amp;D882,$F$6:$F$1005,"&lt;&gt;İptal")&gt;1),"HATA: oda bu tarihlerde çakışıyor",IF(AND(F882="Bekleniyor",D882&lt;RaporTarihi),"HATA: giriş günü geçti, Geldi veya İptal yapın","OK"))))))))))))</f>
        <v/>
      </c>
      <c r="L882" s="25">
        <f>IF(AND(ISNUMBER(A882),F882&lt;&gt;"İptal",ISNUMBER(D882),ISNUMBER(E882),D882&lt;=RaporTarihi,E882&gt;RaporTarihi),A882,"")</f>
        <v/>
      </c>
    </row>
    <row r="883">
      <c r="A883" s="22" t="n"/>
      <c r="B883" s="22" t="n"/>
      <c r="C883" s="22" t="n"/>
      <c r="D883" s="23" t="n"/>
      <c r="E883" s="23" t="n"/>
      <c r="F883" s="22" t="n"/>
      <c r="G883" s="24" t="n"/>
      <c r="H883" s="22" t="n"/>
      <c r="I883" s="25">
        <f>IF(AND(ISNUMBER(D883),ISNUMBER(E883)),E883-D883,"")</f>
        <v/>
      </c>
      <c r="J883" s="26">
        <f>IF(AND(ISNUMBER(I883),ISNUMBER(G883)),IF(I883&gt;0,G883/I883,""),"")</f>
        <v/>
      </c>
      <c r="K883" s="25">
        <f>IF(COUNTA(A883:H883)=0,"",IF(OR(A883="",B883="",C883="",D883="",E883="",F883="",G883="",H883=""),"HATA: eksik bilgi",IF(COUNTIF(OdaListesi,A883)=0,"HATA: geçersiz oda no",IF(OR(NOT(ISNUMBER(D883)),NOT(ISNUMBER(E883))),"HATA: tarih geçersiz",IF(E883&lt;=D883,"HATA: çıkış girişten sonra olmalı",IF(OR(NOT(ISNUMBER(C883)),C883&lt;1,C883&gt;MaxKisi,C883&lt;&gt;INT(C883)),"HATA: kişi sayısı geçersiz",IF(OR(NOT(ISNUMBER(G883)),G883&lt;0),"HATA: tutar geçersiz",IF(B883&lt;&gt;TRIM(B883),"HATA: isimde baştaki/sondaki boşluk",IF(COUNTIF(KaynakAralik,H883)=0,"HATA: kaynak listede yok",IF(AND(F883&lt;&gt;"Bekleniyor",F883&lt;&gt;"Geldi",F883&lt;&gt;"İptal"),"HATA: giriş durumu geçersiz",IF(AND(F883&lt;&gt;"İptal",COUNTIFS($A$6:$A$1005,A883,$D$6:$D$1005,"&lt;"&amp;E883,$E$6:$E$1005,"&gt;"&amp;D883,$F$6:$F$1005,"&lt;&gt;İptal")&gt;1),"HATA: oda bu tarihlerde çakışıyor",IF(AND(F883="Bekleniyor",D883&lt;RaporTarihi),"HATA: giriş günü geçti, Geldi veya İptal yapın","OK"))))))))))))</f>
        <v/>
      </c>
      <c r="L883" s="25">
        <f>IF(AND(ISNUMBER(A883),F883&lt;&gt;"İptal",ISNUMBER(D883),ISNUMBER(E883),D883&lt;=RaporTarihi,E883&gt;RaporTarihi),A883,"")</f>
        <v/>
      </c>
    </row>
    <row r="884">
      <c r="A884" s="22" t="n"/>
      <c r="B884" s="22" t="n"/>
      <c r="C884" s="22" t="n"/>
      <c r="D884" s="23" t="n"/>
      <c r="E884" s="23" t="n"/>
      <c r="F884" s="22" t="n"/>
      <c r="G884" s="24" t="n"/>
      <c r="H884" s="22" t="n"/>
      <c r="I884" s="25">
        <f>IF(AND(ISNUMBER(D884),ISNUMBER(E884)),E884-D884,"")</f>
        <v/>
      </c>
      <c r="J884" s="26">
        <f>IF(AND(ISNUMBER(I884),ISNUMBER(G884)),IF(I884&gt;0,G884/I884,""),"")</f>
        <v/>
      </c>
      <c r="K884" s="25">
        <f>IF(COUNTA(A884:H884)=0,"",IF(OR(A884="",B884="",C884="",D884="",E884="",F884="",G884="",H884=""),"HATA: eksik bilgi",IF(COUNTIF(OdaListesi,A884)=0,"HATA: geçersiz oda no",IF(OR(NOT(ISNUMBER(D884)),NOT(ISNUMBER(E884))),"HATA: tarih geçersiz",IF(E884&lt;=D884,"HATA: çıkış girişten sonra olmalı",IF(OR(NOT(ISNUMBER(C884)),C884&lt;1,C884&gt;MaxKisi,C884&lt;&gt;INT(C884)),"HATA: kişi sayısı geçersiz",IF(OR(NOT(ISNUMBER(G884)),G884&lt;0),"HATA: tutar geçersiz",IF(B884&lt;&gt;TRIM(B884),"HATA: isimde baştaki/sondaki boşluk",IF(COUNTIF(KaynakAralik,H884)=0,"HATA: kaynak listede yok",IF(AND(F884&lt;&gt;"Bekleniyor",F884&lt;&gt;"Geldi",F884&lt;&gt;"İptal"),"HATA: giriş durumu geçersiz",IF(AND(F884&lt;&gt;"İptal",COUNTIFS($A$6:$A$1005,A884,$D$6:$D$1005,"&lt;"&amp;E884,$E$6:$E$1005,"&gt;"&amp;D884,$F$6:$F$1005,"&lt;&gt;İptal")&gt;1),"HATA: oda bu tarihlerde çakışıyor",IF(AND(F884="Bekleniyor",D884&lt;RaporTarihi),"HATA: giriş günü geçti, Geldi veya İptal yapın","OK"))))))))))))</f>
        <v/>
      </c>
      <c r="L884" s="25">
        <f>IF(AND(ISNUMBER(A884),F884&lt;&gt;"İptal",ISNUMBER(D884),ISNUMBER(E884),D884&lt;=RaporTarihi,E884&gt;RaporTarihi),A884,"")</f>
        <v/>
      </c>
    </row>
    <row r="885">
      <c r="A885" s="22" t="n"/>
      <c r="B885" s="22" t="n"/>
      <c r="C885" s="22" t="n"/>
      <c r="D885" s="23" t="n"/>
      <c r="E885" s="23" t="n"/>
      <c r="F885" s="22" t="n"/>
      <c r="G885" s="24" t="n"/>
      <c r="H885" s="22" t="n"/>
      <c r="I885" s="25">
        <f>IF(AND(ISNUMBER(D885),ISNUMBER(E885)),E885-D885,"")</f>
        <v/>
      </c>
      <c r="J885" s="26">
        <f>IF(AND(ISNUMBER(I885),ISNUMBER(G885)),IF(I885&gt;0,G885/I885,""),"")</f>
        <v/>
      </c>
      <c r="K885" s="25">
        <f>IF(COUNTA(A885:H885)=0,"",IF(OR(A885="",B885="",C885="",D885="",E885="",F885="",G885="",H885=""),"HATA: eksik bilgi",IF(COUNTIF(OdaListesi,A885)=0,"HATA: geçersiz oda no",IF(OR(NOT(ISNUMBER(D885)),NOT(ISNUMBER(E885))),"HATA: tarih geçersiz",IF(E885&lt;=D885,"HATA: çıkış girişten sonra olmalı",IF(OR(NOT(ISNUMBER(C885)),C885&lt;1,C885&gt;MaxKisi,C885&lt;&gt;INT(C885)),"HATA: kişi sayısı geçersiz",IF(OR(NOT(ISNUMBER(G885)),G885&lt;0),"HATA: tutar geçersiz",IF(B885&lt;&gt;TRIM(B885),"HATA: isimde baştaki/sondaki boşluk",IF(COUNTIF(KaynakAralik,H885)=0,"HATA: kaynak listede yok",IF(AND(F885&lt;&gt;"Bekleniyor",F885&lt;&gt;"Geldi",F885&lt;&gt;"İptal"),"HATA: giriş durumu geçersiz",IF(AND(F885&lt;&gt;"İptal",COUNTIFS($A$6:$A$1005,A885,$D$6:$D$1005,"&lt;"&amp;E885,$E$6:$E$1005,"&gt;"&amp;D885,$F$6:$F$1005,"&lt;&gt;İptal")&gt;1),"HATA: oda bu tarihlerde çakışıyor",IF(AND(F885="Bekleniyor",D885&lt;RaporTarihi),"HATA: giriş günü geçti, Geldi veya İptal yapın","OK"))))))))))))</f>
        <v/>
      </c>
      <c r="L885" s="25">
        <f>IF(AND(ISNUMBER(A885),F885&lt;&gt;"İptal",ISNUMBER(D885),ISNUMBER(E885),D885&lt;=RaporTarihi,E885&gt;RaporTarihi),A885,"")</f>
        <v/>
      </c>
    </row>
    <row r="886">
      <c r="A886" s="22" t="n"/>
      <c r="B886" s="22" t="n"/>
      <c r="C886" s="22" t="n"/>
      <c r="D886" s="23" t="n"/>
      <c r="E886" s="23" t="n"/>
      <c r="F886" s="22" t="n"/>
      <c r="G886" s="24" t="n"/>
      <c r="H886" s="22" t="n"/>
      <c r="I886" s="25">
        <f>IF(AND(ISNUMBER(D886),ISNUMBER(E886)),E886-D886,"")</f>
        <v/>
      </c>
      <c r="J886" s="26">
        <f>IF(AND(ISNUMBER(I886),ISNUMBER(G886)),IF(I886&gt;0,G886/I886,""),"")</f>
        <v/>
      </c>
      <c r="K886" s="25">
        <f>IF(COUNTA(A886:H886)=0,"",IF(OR(A886="",B886="",C886="",D886="",E886="",F886="",G886="",H886=""),"HATA: eksik bilgi",IF(COUNTIF(OdaListesi,A886)=0,"HATA: geçersiz oda no",IF(OR(NOT(ISNUMBER(D886)),NOT(ISNUMBER(E886))),"HATA: tarih geçersiz",IF(E886&lt;=D886,"HATA: çıkış girişten sonra olmalı",IF(OR(NOT(ISNUMBER(C886)),C886&lt;1,C886&gt;MaxKisi,C886&lt;&gt;INT(C886)),"HATA: kişi sayısı geçersiz",IF(OR(NOT(ISNUMBER(G886)),G886&lt;0),"HATA: tutar geçersiz",IF(B886&lt;&gt;TRIM(B886),"HATA: isimde baştaki/sondaki boşluk",IF(COUNTIF(KaynakAralik,H886)=0,"HATA: kaynak listede yok",IF(AND(F886&lt;&gt;"Bekleniyor",F886&lt;&gt;"Geldi",F886&lt;&gt;"İptal"),"HATA: giriş durumu geçersiz",IF(AND(F886&lt;&gt;"İptal",COUNTIFS($A$6:$A$1005,A886,$D$6:$D$1005,"&lt;"&amp;E886,$E$6:$E$1005,"&gt;"&amp;D886,$F$6:$F$1005,"&lt;&gt;İptal")&gt;1),"HATA: oda bu tarihlerde çakışıyor",IF(AND(F886="Bekleniyor",D886&lt;RaporTarihi),"HATA: giriş günü geçti, Geldi veya İptal yapın","OK"))))))))))))</f>
        <v/>
      </c>
      <c r="L886" s="25">
        <f>IF(AND(ISNUMBER(A886),F886&lt;&gt;"İptal",ISNUMBER(D886),ISNUMBER(E886),D886&lt;=RaporTarihi,E886&gt;RaporTarihi),A886,"")</f>
        <v/>
      </c>
    </row>
    <row r="887">
      <c r="A887" s="22" t="n"/>
      <c r="B887" s="22" t="n"/>
      <c r="C887" s="22" t="n"/>
      <c r="D887" s="23" t="n"/>
      <c r="E887" s="23" t="n"/>
      <c r="F887" s="22" t="n"/>
      <c r="G887" s="24" t="n"/>
      <c r="H887" s="22" t="n"/>
      <c r="I887" s="25">
        <f>IF(AND(ISNUMBER(D887),ISNUMBER(E887)),E887-D887,"")</f>
        <v/>
      </c>
      <c r="J887" s="26">
        <f>IF(AND(ISNUMBER(I887),ISNUMBER(G887)),IF(I887&gt;0,G887/I887,""),"")</f>
        <v/>
      </c>
      <c r="K887" s="25">
        <f>IF(COUNTA(A887:H887)=0,"",IF(OR(A887="",B887="",C887="",D887="",E887="",F887="",G887="",H887=""),"HATA: eksik bilgi",IF(COUNTIF(OdaListesi,A887)=0,"HATA: geçersiz oda no",IF(OR(NOT(ISNUMBER(D887)),NOT(ISNUMBER(E887))),"HATA: tarih geçersiz",IF(E887&lt;=D887,"HATA: çıkış girişten sonra olmalı",IF(OR(NOT(ISNUMBER(C887)),C887&lt;1,C887&gt;MaxKisi,C887&lt;&gt;INT(C887)),"HATA: kişi sayısı geçersiz",IF(OR(NOT(ISNUMBER(G887)),G887&lt;0),"HATA: tutar geçersiz",IF(B887&lt;&gt;TRIM(B887),"HATA: isimde baştaki/sondaki boşluk",IF(COUNTIF(KaynakAralik,H887)=0,"HATA: kaynak listede yok",IF(AND(F887&lt;&gt;"Bekleniyor",F887&lt;&gt;"Geldi",F887&lt;&gt;"İptal"),"HATA: giriş durumu geçersiz",IF(AND(F887&lt;&gt;"İptal",COUNTIFS($A$6:$A$1005,A887,$D$6:$D$1005,"&lt;"&amp;E887,$E$6:$E$1005,"&gt;"&amp;D887,$F$6:$F$1005,"&lt;&gt;İptal")&gt;1),"HATA: oda bu tarihlerde çakışıyor",IF(AND(F887="Bekleniyor",D887&lt;RaporTarihi),"HATA: giriş günü geçti, Geldi veya İptal yapın","OK"))))))))))))</f>
        <v/>
      </c>
      <c r="L887" s="25">
        <f>IF(AND(ISNUMBER(A887),F887&lt;&gt;"İptal",ISNUMBER(D887),ISNUMBER(E887),D887&lt;=RaporTarihi,E887&gt;RaporTarihi),A887,"")</f>
        <v/>
      </c>
    </row>
    <row r="888">
      <c r="A888" s="22" t="n"/>
      <c r="B888" s="22" t="n"/>
      <c r="C888" s="22" t="n"/>
      <c r="D888" s="23" t="n"/>
      <c r="E888" s="23" t="n"/>
      <c r="F888" s="22" t="n"/>
      <c r="G888" s="24" t="n"/>
      <c r="H888" s="22" t="n"/>
      <c r="I888" s="25">
        <f>IF(AND(ISNUMBER(D888),ISNUMBER(E888)),E888-D888,"")</f>
        <v/>
      </c>
      <c r="J888" s="26">
        <f>IF(AND(ISNUMBER(I888),ISNUMBER(G888)),IF(I888&gt;0,G888/I888,""),"")</f>
        <v/>
      </c>
      <c r="K888" s="25">
        <f>IF(COUNTA(A888:H888)=0,"",IF(OR(A888="",B888="",C888="",D888="",E888="",F888="",G888="",H888=""),"HATA: eksik bilgi",IF(COUNTIF(OdaListesi,A888)=0,"HATA: geçersiz oda no",IF(OR(NOT(ISNUMBER(D888)),NOT(ISNUMBER(E888))),"HATA: tarih geçersiz",IF(E888&lt;=D888,"HATA: çıkış girişten sonra olmalı",IF(OR(NOT(ISNUMBER(C888)),C888&lt;1,C888&gt;MaxKisi,C888&lt;&gt;INT(C888)),"HATA: kişi sayısı geçersiz",IF(OR(NOT(ISNUMBER(G888)),G888&lt;0),"HATA: tutar geçersiz",IF(B888&lt;&gt;TRIM(B888),"HATA: isimde baştaki/sondaki boşluk",IF(COUNTIF(KaynakAralik,H888)=0,"HATA: kaynak listede yok",IF(AND(F888&lt;&gt;"Bekleniyor",F888&lt;&gt;"Geldi",F888&lt;&gt;"İptal"),"HATA: giriş durumu geçersiz",IF(AND(F888&lt;&gt;"İptal",COUNTIFS($A$6:$A$1005,A888,$D$6:$D$1005,"&lt;"&amp;E888,$E$6:$E$1005,"&gt;"&amp;D888,$F$6:$F$1005,"&lt;&gt;İptal")&gt;1),"HATA: oda bu tarihlerde çakışıyor",IF(AND(F888="Bekleniyor",D888&lt;RaporTarihi),"HATA: giriş günü geçti, Geldi veya İptal yapın","OK"))))))))))))</f>
        <v/>
      </c>
      <c r="L888" s="25">
        <f>IF(AND(ISNUMBER(A888),F888&lt;&gt;"İptal",ISNUMBER(D888),ISNUMBER(E888),D888&lt;=RaporTarihi,E888&gt;RaporTarihi),A888,"")</f>
        <v/>
      </c>
    </row>
    <row r="889">
      <c r="A889" s="22" t="n"/>
      <c r="B889" s="22" t="n"/>
      <c r="C889" s="22" t="n"/>
      <c r="D889" s="23" t="n"/>
      <c r="E889" s="23" t="n"/>
      <c r="F889" s="22" t="n"/>
      <c r="G889" s="24" t="n"/>
      <c r="H889" s="22" t="n"/>
      <c r="I889" s="25">
        <f>IF(AND(ISNUMBER(D889),ISNUMBER(E889)),E889-D889,"")</f>
        <v/>
      </c>
      <c r="J889" s="26">
        <f>IF(AND(ISNUMBER(I889),ISNUMBER(G889)),IF(I889&gt;0,G889/I889,""),"")</f>
        <v/>
      </c>
      <c r="K889" s="25">
        <f>IF(COUNTA(A889:H889)=0,"",IF(OR(A889="",B889="",C889="",D889="",E889="",F889="",G889="",H889=""),"HATA: eksik bilgi",IF(COUNTIF(OdaListesi,A889)=0,"HATA: geçersiz oda no",IF(OR(NOT(ISNUMBER(D889)),NOT(ISNUMBER(E889))),"HATA: tarih geçersiz",IF(E889&lt;=D889,"HATA: çıkış girişten sonra olmalı",IF(OR(NOT(ISNUMBER(C889)),C889&lt;1,C889&gt;MaxKisi,C889&lt;&gt;INT(C889)),"HATA: kişi sayısı geçersiz",IF(OR(NOT(ISNUMBER(G889)),G889&lt;0),"HATA: tutar geçersiz",IF(B889&lt;&gt;TRIM(B889),"HATA: isimde baştaki/sondaki boşluk",IF(COUNTIF(KaynakAralik,H889)=0,"HATA: kaynak listede yok",IF(AND(F889&lt;&gt;"Bekleniyor",F889&lt;&gt;"Geldi",F889&lt;&gt;"İptal"),"HATA: giriş durumu geçersiz",IF(AND(F889&lt;&gt;"İptal",COUNTIFS($A$6:$A$1005,A889,$D$6:$D$1005,"&lt;"&amp;E889,$E$6:$E$1005,"&gt;"&amp;D889,$F$6:$F$1005,"&lt;&gt;İptal")&gt;1),"HATA: oda bu tarihlerde çakışıyor",IF(AND(F889="Bekleniyor",D889&lt;RaporTarihi),"HATA: giriş günü geçti, Geldi veya İptal yapın","OK"))))))))))))</f>
        <v/>
      </c>
      <c r="L889" s="25">
        <f>IF(AND(ISNUMBER(A889),F889&lt;&gt;"İptal",ISNUMBER(D889),ISNUMBER(E889),D889&lt;=RaporTarihi,E889&gt;RaporTarihi),A889,"")</f>
        <v/>
      </c>
    </row>
    <row r="890">
      <c r="A890" s="22" t="n"/>
      <c r="B890" s="22" t="n"/>
      <c r="C890" s="22" t="n"/>
      <c r="D890" s="23" t="n"/>
      <c r="E890" s="23" t="n"/>
      <c r="F890" s="22" t="n"/>
      <c r="G890" s="24" t="n"/>
      <c r="H890" s="22" t="n"/>
      <c r="I890" s="25">
        <f>IF(AND(ISNUMBER(D890),ISNUMBER(E890)),E890-D890,"")</f>
        <v/>
      </c>
      <c r="J890" s="26">
        <f>IF(AND(ISNUMBER(I890),ISNUMBER(G890)),IF(I890&gt;0,G890/I890,""),"")</f>
        <v/>
      </c>
      <c r="K890" s="25">
        <f>IF(COUNTA(A890:H890)=0,"",IF(OR(A890="",B890="",C890="",D890="",E890="",F890="",G890="",H890=""),"HATA: eksik bilgi",IF(COUNTIF(OdaListesi,A890)=0,"HATA: geçersiz oda no",IF(OR(NOT(ISNUMBER(D890)),NOT(ISNUMBER(E890))),"HATA: tarih geçersiz",IF(E890&lt;=D890,"HATA: çıkış girişten sonra olmalı",IF(OR(NOT(ISNUMBER(C890)),C890&lt;1,C890&gt;MaxKisi,C890&lt;&gt;INT(C890)),"HATA: kişi sayısı geçersiz",IF(OR(NOT(ISNUMBER(G890)),G890&lt;0),"HATA: tutar geçersiz",IF(B890&lt;&gt;TRIM(B890),"HATA: isimde baştaki/sondaki boşluk",IF(COUNTIF(KaynakAralik,H890)=0,"HATA: kaynak listede yok",IF(AND(F890&lt;&gt;"Bekleniyor",F890&lt;&gt;"Geldi",F890&lt;&gt;"İptal"),"HATA: giriş durumu geçersiz",IF(AND(F890&lt;&gt;"İptal",COUNTIFS($A$6:$A$1005,A890,$D$6:$D$1005,"&lt;"&amp;E890,$E$6:$E$1005,"&gt;"&amp;D890,$F$6:$F$1005,"&lt;&gt;İptal")&gt;1),"HATA: oda bu tarihlerde çakışıyor",IF(AND(F890="Bekleniyor",D890&lt;RaporTarihi),"HATA: giriş günü geçti, Geldi veya İptal yapın","OK"))))))))))))</f>
        <v/>
      </c>
      <c r="L890" s="25">
        <f>IF(AND(ISNUMBER(A890),F890&lt;&gt;"İptal",ISNUMBER(D890),ISNUMBER(E890),D890&lt;=RaporTarihi,E890&gt;RaporTarihi),A890,"")</f>
        <v/>
      </c>
    </row>
    <row r="891">
      <c r="A891" s="22" t="n"/>
      <c r="B891" s="22" t="n"/>
      <c r="C891" s="22" t="n"/>
      <c r="D891" s="23" t="n"/>
      <c r="E891" s="23" t="n"/>
      <c r="F891" s="22" t="n"/>
      <c r="G891" s="24" t="n"/>
      <c r="H891" s="22" t="n"/>
      <c r="I891" s="25">
        <f>IF(AND(ISNUMBER(D891),ISNUMBER(E891)),E891-D891,"")</f>
        <v/>
      </c>
      <c r="J891" s="26">
        <f>IF(AND(ISNUMBER(I891),ISNUMBER(G891)),IF(I891&gt;0,G891/I891,""),"")</f>
        <v/>
      </c>
      <c r="K891" s="25">
        <f>IF(COUNTA(A891:H891)=0,"",IF(OR(A891="",B891="",C891="",D891="",E891="",F891="",G891="",H891=""),"HATA: eksik bilgi",IF(COUNTIF(OdaListesi,A891)=0,"HATA: geçersiz oda no",IF(OR(NOT(ISNUMBER(D891)),NOT(ISNUMBER(E891))),"HATA: tarih geçersiz",IF(E891&lt;=D891,"HATA: çıkış girişten sonra olmalı",IF(OR(NOT(ISNUMBER(C891)),C891&lt;1,C891&gt;MaxKisi,C891&lt;&gt;INT(C891)),"HATA: kişi sayısı geçersiz",IF(OR(NOT(ISNUMBER(G891)),G891&lt;0),"HATA: tutar geçersiz",IF(B891&lt;&gt;TRIM(B891),"HATA: isimde baştaki/sondaki boşluk",IF(COUNTIF(KaynakAralik,H891)=0,"HATA: kaynak listede yok",IF(AND(F891&lt;&gt;"Bekleniyor",F891&lt;&gt;"Geldi",F891&lt;&gt;"İptal"),"HATA: giriş durumu geçersiz",IF(AND(F891&lt;&gt;"İptal",COUNTIFS($A$6:$A$1005,A891,$D$6:$D$1005,"&lt;"&amp;E891,$E$6:$E$1005,"&gt;"&amp;D891,$F$6:$F$1005,"&lt;&gt;İptal")&gt;1),"HATA: oda bu tarihlerde çakışıyor",IF(AND(F891="Bekleniyor",D891&lt;RaporTarihi),"HATA: giriş günü geçti, Geldi veya İptal yapın","OK"))))))))))))</f>
        <v/>
      </c>
      <c r="L891" s="25">
        <f>IF(AND(ISNUMBER(A891),F891&lt;&gt;"İptal",ISNUMBER(D891),ISNUMBER(E891),D891&lt;=RaporTarihi,E891&gt;RaporTarihi),A891,"")</f>
        <v/>
      </c>
    </row>
    <row r="892">
      <c r="A892" s="22" t="n"/>
      <c r="B892" s="22" t="n"/>
      <c r="C892" s="22" t="n"/>
      <c r="D892" s="23" t="n"/>
      <c r="E892" s="23" t="n"/>
      <c r="F892" s="22" t="n"/>
      <c r="G892" s="24" t="n"/>
      <c r="H892" s="22" t="n"/>
      <c r="I892" s="25">
        <f>IF(AND(ISNUMBER(D892),ISNUMBER(E892)),E892-D892,"")</f>
        <v/>
      </c>
      <c r="J892" s="26">
        <f>IF(AND(ISNUMBER(I892),ISNUMBER(G892)),IF(I892&gt;0,G892/I892,""),"")</f>
        <v/>
      </c>
      <c r="K892" s="25">
        <f>IF(COUNTA(A892:H892)=0,"",IF(OR(A892="",B892="",C892="",D892="",E892="",F892="",G892="",H892=""),"HATA: eksik bilgi",IF(COUNTIF(OdaListesi,A892)=0,"HATA: geçersiz oda no",IF(OR(NOT(ISNUMBER(D892)),NOT(ISNUMBER(E892))),"HATA: tarih geçersiz",IF(E892&lt;=D892,"HATA: çıkış girişten sonra olmalı",IF(OR(NOT(ISNUMBER(C892)),C892&lt;1,C892&gt;MaxKisi,C892&lt;&gt;INT(C892)),"HATA: kişi sayısı geçersiz",IF(OR(NOT(ISNUMBER(G892)),G892&lt;0),"HATA: tutar geçersiz",IF(B892&lt;&gt;TRIM(B892),"HATA: isimde baştaki/sondaki boşluk",IF(COUNTIF(KaynakAralik,H892)=0,"HATA: kaynak listede yok",IF(AND(F892&lt;&gt;"Bekleniyor",F892&lt;&gt;"Geldi",F892&lt;&gt;"İptal"),"HATA: giriş durumu geçersiz",IF(AND(F892&lt;&gt;"İptal",COUNTIFS($A$6:$A$1005,A892,$D$6:$D$1005,"&lt;"&amp;E892,$E$6:$E$1005,"&gt;"&amp;D892,$F$6:$F$1005,"&lt;&gt;İptal")&gt;1),"HATA: oda bu tarihlerde çakışıyor",IF(AND(F892="Bekleniyor",D892&lt;RaporTarihi),"HATA: giriş günü geçti, Geldi veya İptal yapın","OK"))))))))))))</f>
        <v/>
      </c>
      <c r="L892" s="25">
        <f>IF(AND(ISNUMBER(A892),F892&lt;&gt;"İptal",ISNUMBER(D892),ISNUMBER(E892),D892&lt;=RaporTarihi,E892&gt;RaporTarihi),A892,"")</f>
        <v/>
      </c>
    </row>
    <row r="893">
      <c r="A893" s="22" t="n"/>
      <c r="B893" s="22" t="n"/>
      <c r="C893" s="22" t="n"/>
      <c r="D893" s="23" t="n"/>
      <c r="E893" s="23" t="n"/>
      <c r="F893" s="22" t="n"/>
      <c r="G893" s="24" t="n"/>
      <c r="H893" s="22" t="n"/>
      <c r="I893" s="25">
        <f>IF(AND(ISNUMBER(D893),ISNUMBER(E893)),E893-D893,"")</f>
        <v/>
      </c>
      <c r="J893" s="26">
        <f>IF(AND(ISNUMBER(I893),ISNUMBER(G893)),IF(I893&gt;0,G893/I893,""),"")</f>
        <v/>
      </c>
      <c r="K893" s="25">
        <f>IF(COUNTA(A893:H893)=0,"",IF(OR(A893="",B893="",C893="",D893="",E893="",F893="",G893="",H893=""),"HATA: eksik bilgi",IF(COUNTIF(OdaListesi,A893)=0,"HATA: geçersiz oda no",IF(OR(NOT(ISNUMBER(D893)),NOT(ISNUMBER(E893))),"HATA: tarih geçersiz",IF(E893&lt;=D893,"HATA: çıkış girişten sonra olmalı",IF(OR(NOT(ISNUMBER(C893)),C893&lt;1,C893&gt;MaxKisi,C893&lt;&gt;INT(C893)),"HATA: kişi sayısı geçersiz",IF(OR(NOT(ISNUMBER(G893)),G893&lt;0),"HATA: tutar geçersiz",IF(B893&lt;&gt;TRIM(B893),"HATA: isimde baştaki/sondaki boşluk",IF(COUNTIF(KaynakAralik,H893)=0,"HATA: kaynak listede yok",IF(AND(F893&lt;&gt;"Bekleniyor",F893&lt;&gt;"Geldi",F893&lt;&gt;"İptal"),"HATA: giriş durumu geçersiz",IF(AND(F893&lt;&gt;"İptal",COUNTIFS($A$6:$A$1005,A893,$D$6:$D$1005,"&lt;"&amp;E893,$E$6:$E$1005,"&gt;"&amp;D893,$F$6:$F$1005,"&lt;&gt;İptal")&gt;1),"HATA: oda bu tarihlerde çakışıyor",IF(AND(F893="Bekleniyor",D893&lt;RaporTarihi),"HATA: giriş günü geçti, Geldi veya İptal yapın","OK"))))))))))))</f>
        <v/>
      </c>
      <c r="L893" s="25">
        <f>IF(AND(ISNUMBER(A893),F893&lt;&gt;"İptal",ISNUMBER(D893),ISNUMBER(E893),D893&lt;=RaporTarihi,E893&gt;RaporTarihi),A893,"")</f>
        <v/>
      </c>
    </row>
    <row r="894">
      <c r="A894" s="22" t="n"/>
      <c r="B894" s="22" t="n"/>
      <c r="C894" s="22" t="n"/>
      <c r="D894" s="23" t="n"/>
      <c r="E894" s="23" t="n"/>
      <c r="F894" s="22" t="n"/>
      <c r="G894" s="24" t="n"/>
      <c r="H894" s="22" t="n"/>
      <c r="I894" s="25">
        <f>IF(AND(ISNUMBER(D894),ISNUMBER(E894)),E894-D894,"")</f>
        <v/>
      </c>
      <c r="J894" s="26">
        <f>IF(AND(ISNUMBER(I894),ISNUMBER(G894)),IF(I894&gt;0,G894/I894,""),"")</f>
        <v/>
      </c>
      <c r="K894" s="25">
        <f>IF(COUNTA(A894:H894)=0,"",IF(OR(A894="",B894="",C894="",D894="",E894="",F894="",G894="",H894=""),"HATA: eksik bilgi",IF(COUNTIF(OdaListesi,A894)=0,"HATA: geçersiz oda no",IF(OR(NOT(ISNUMBER(D894)),NOT(ISNUMBER(E894))),"HATA: tarih geçersiz",IF(E894&lt;=D894,"HATA: çıkış girişten sonra olmalı",IF(OR(NOT(ISNUMBER(C894)),C894&lt;1,C894&gt;MaxKisi,C894&lt;&gt;INT(C894)),"HATA: kişi sayısı geçersiz",IF(OR(NOT(ISNUMBER(G894)),G894&lt;0),"HATA: tutar geçersiz",IF(B894&lt;&gt;TRIM(B894),"HATA: isimde baştaki/sondaki boşluk",IF(COUNTIF(KaynakAralik,H894)=0,"HATA: kaynak listede yok",IF(AND(F894&lt;&gt;"Bekleniyor",F894&lt;&gt;"Geldi",F894&lt;&gt;"İptal"),"HATA: giriş durumu geçersiz",IF(AND(F894&lt;&gt;"İptal",COUNTIFS($A$6:$A$1005,A894,$D$6:$D$1005,"&lt;"&amp;E894,$E$6:$E$1005,"&gt;"&amp;D894,$F$6:$F$1005,"&lt;&gt;İptal")&gt;1),"HATA: oda bu tarihlerde çakışıyor",IF(AND(F894="Bekleniyor",D894&lt;RaporTarihi),"HATA: giriş günü geçti, Geldi veya İptal yapın","OK"))))))))))))</f>
        <v/>
      </c>
      <c r="L894" s="25">
        <f>IF(AND(ISNUMBER(A894),F894&lt;&gt;"İptal",ISNUMBER(D894),ISNUMBER(E894),D894&lt;=RaporTarihi,E894&gt;RaporTarihi),A894,"")</f>
        <v/>
      </c>
    </row>
    <row r="895">
      <c r="A895" s="22" t="n"/>
      <c r="B895" s="22" t="n"/>
      <c r="C895" s="22" t="n"/>
      <c r="D895" s="23" t="n"/>
      <c r="E895" s="23" t="n"/>
      <c r="F895" s="22" t="n"/>
      <c r="G895" s="24" t="n"/>
      <c r="H895" s="22" t="n"/>
      <c r="I895" s="25">
        <f>IF(AND(ISNUMBER(D895),ISNUMBER(E895)),E895-D895,"")</f>
        <v/>
      </c>
      <c r="J895" s="26">
        <f>IF(AND(ISNUMBER(I895),ISNUMBER(G895)),IF(I895&gt;0,G895/I895,""),"")</f>
        <v/>
      </c>
      <c r="K895" s="25">
        <f>IF(COUNTA(A895:H895)=0,"",IF(OR(A895="",B895="",C895="",D895="",E895="",F895="",G895="",H895=""),"HATA: eksik bilgi",IF(COUNTIF(OdaListesi,A895)=0,"HATA: geçersiz oda no",IF(OR(NOT(ISNUMBER(D895)),NOT(ISNUMBER(E895))),"HATA: tarih geçersiz",IF(E895&lt;=D895,"HATA: çıkış girişten sonra olmalı",IF(OR(NOT(ISNUMBER(C895)),C895&lt;1,C895&gt;MaxKisi,C895&lt;&gt;INT(C895)),"HATA: kişi sayısı geçersiz",IF(OR(NOT(ISNUMBER(G895)),G895&lt;0),"HATA: tutar geçersiz",IF(B895&lt;&gt;TRIM(B895),"HATA: isimde baştaki/sondaki boşluk",IF(COUNTIF(KaynakAralik,H895)=0,"HATA: kaynak listede yok",IF(AND(F895&lt;&gt;"Bekleniyor",F895&lt;&gt;"Geldi",F895&lt;&gt;"İptal"),"HATA: giriş durumu geçersiz",IF(AND(F895&lt;&gt;"İptal",COUNTIFS($A$6:$A$1005,A895,$D$6:$D$1005,"&lt;"&amp;E895,$E$6:$E$1005,"&gt;"&amp;D895,$F$6:$F$1005,"&lt;&gt;İptal")&gt;1),"HATA: oda bu tarihlerde çakışıyor",IF(AND(F895="Bekleniyor",D895&lt;RaporTarihi),"HATA: giriş günü geçti, Geldi veya İptal yapın","OK"))))))))))))</f>
        <v/>
      </c>
      <c r="L895" s="25">
        <f>IF(AND(ISNUMBER(A895),F895&lt;&gt;"İptal",ISNUMBER(D895),ISNUMBER(E895),D895&lt;=RaporTarihi,E895&gt;RaporTarihi),A895,"")</f>
        <v/>
      </c>
    </row>
    <row r="896">
      <c r="A896" s="22" t="n"/>
      <c r="B896" s="22" t="n"/>
      <c r="C896" s="22" t="n"/>
      <c r="D896" s="23" t="n"/>
      <c r="E896" s="23" t="n"/>
      <c r="F896" s="22" t="n"/>
      <c r="G896" s="24" t="n"/>
      <c r="H896" s="22" t="n"/>
      <c r="I896" s="25">
        <f>IF(AND(ISNUMBER(D896),ISNUMBER(E896)),E896-D896,"")</f>
        <v/>
      </c>
      <c r="J896" s="26">
        <f>IF(AND(ISNUMBER(I896),ISNUMBER(G896)),IF(I896&gt;0,G896/I896,""),"")</f>
        <v/>
      </c>
      <c r="K896" s="25">
        <f>IF(COUNTA(A896:H896)=0,"",IF(OR(A896="",B896="",C896="",D896="",E896="",F896="",G896="",H896=""),"HATA: eksik bilgi",IF(COUNTIF(OdaListesi,A896)=0,"HATA: geçersiz oda no",IF(OR(NOT(ISNUMBER(D896)),NOT(ISNUMBER(E896))),"HATA: tarih geçersiz",IF(E896&lt;=D896,"HATA: çıkış girişten sonra olmalı",IF(OR(NOT(ISNUMBER(C896)),C896&lt;1,C896&gt;MaxKisi,C896&lt;&gt;INT(C896)),"HATA: kişi sayısı geçersiz",IF(OR(NOT(ISNUMBER(G896)),G896&lt;0),"HATA: tutar geçersiz",IF(B896&lt;&gt;TRIM(B896),"HATA: isimde baştaki/sondaki boşluk",IF(COUNTIF(KaynakAralik,H896)=0,"HATA: kaynak listede yok",IF(AND(F896&lt;&gt;"Bekleniyor",F896&lt;&gt;"Geldi",F896&lt;&gt;"İptal"),"HATA: giriş durumu geçersiz",IF(AND(F896&lt;&gt;"İptal",COUNTIFS($A$6:$A$1005,A896,$D$6:$D$1005,"&lt;"&amp;E896,$E$6:$E$1005,"&gt;"&amp;D896,$F$6:$F$1005,"&lt;&gt;İptal")&gt;1),"HATA: oda bu tarihlerde çakışıyor",IF(AND(F896="Bekleniyor",D896&lt;RaporTarihi),"HATA: giriş günü geçti, Geldi veya İptal yapın","OK"))))))))))))</f>
        <v/>
      </c>
      <c r="L896" s="25">
        <f>IF(AND(ISNUMBER(A896),F896&lt;&gt;"İptal",ISNUMBER(D896),ISNUMBER(E896),D896&lt;=RaporTarihi,E896&gt;RaporTarihi),A896,"")</f>
        <v/>
      </c>
    </row>
    <row r="897">
      <c r="A897" s="22" t="n"/>
      <c r="B897" s="22" t="n"/>
      <c r="C897" s="22" t="n"/>
      <c r="D897" s="23" t="n"/>
      <c r="E897" s="23" t="n"/>
      <c r="F897" s="22" t="n"/>
      <c r="G897" s="24" t="n"/>
      <c r="H897" s="22" t="n"/>
      <c r="I897" s="25">
        <f>IF(AND(ISNUMBER(D897),ISNUMBER(E897)),E897-D897,"")</f>
        <v/>
      </c>
      <c r="J897" s="26">
        <f>IF(AND(ISNUMBER(I897),ISNUMBER(G897)),IF(I897&gt;0,G897/I897,""),"")</f>
        <v/>
      </c>
      <c r="K897" s="25">
        <f>IF(COUNTA(A897:H897)=0,"",IF(OR(A897="",B897="",C897="",D897="",E897="",F897="",G897="",H897=""),"HATA: eksik bilgi",IF(COUNTIF(OdaListesi,A897)=0,"HATA: geçersiz oda no",IF(OR(NOT(ISNUMBER(D897)),NOT(ISNUMBER(E897))),"HATA: tarih geçersiz",IF(E897&lt;=D897,"HATA: çıkış girişten sonra olmalı",IF(OR(NOT(ISNUMBER(C897)),C897&lt;1,C897&gt;MaxKisi,C897&lt;&gt;INT(C897)),"HATA: kişi sayısı geçersiz",IF(OR(NOT(ISNUMBER(G897)),G897&lt;0),"HATA: tutar geçersiz",IF(B897&lt;&gt;TRIM(B897),"HATA: isimde baştaki/sondaki boşluk",IF(COUNTIF(KaynakAralik,H897)=0,"HATA: kaynak listede yok",IF(AND(F897&lt;&gt;"Bekleniyor",F897&lt;&gt;"Geldi",F897&lt;&gt;"İptal"),"HATA: giriş durumu geçersiz",IF(AND(F897&lt;&gt;"İptal",COUNTIFS($A$6:$A$1005,A897,$D$6:$D$1005,"&lt;"&amp;E897,$E$6:$E$1005,"&gt;"&amp;D897,$F$6:$F$1005,"&lt;&gt;İptal")&gt;1),"HATA: oda bu tarihlerde çakışıyor",IF(AND(F897="Bekleniyor",D897&lt;RaporTarihi),"HATA: giriş günü geçti, Geldi veya İptal yapın","OK"))))))))))))</f>
        <v/>
      </c>
      <c r="L897" s="25">
        <f>IF(AND(ISNUMBER(A897),F897&lt;&gt;"İptal",ISNUMBER(D897),ISNUMBER(E897),D897&lt;=RaporTarihi,E897&gt;RaporTarihi),A897,"")</f>
        <v/>
      </c>
    </row>
    <row r="898">
      <c r="A898" s="22" t="n"/>
      <c r="B898" s="22" t="n"/>
      <c r="C898" s="22" t="n"/>
      <c r="D898" s="23" t="n"/>
      <c r="E898" s="23" t="n"/>
      <c r="F898" s="22" t="n"/>
      <c r="G898" s="24" t="n"/>
      <c r="H898" s="22" t="n"/>
      <c r="I898" s="25">
        <f>IF(AND(ISNUMBER(D898),ISNUMBER(E898)),E898-D898,"")</f>
        <v/>
      </c>
      <c r="J898" s="26">
        <f>IF(AND(ISNUMBER(I898),ISNUMBER(G898)),IF(I898&gt;0,G898/I898,""),"")</f>
        <v/>
      </c>
      <c r="K898" s="25">
        <f>IF(COUNTA(A898:H898)=0,"",IF(OR(A898="",B898="",C898="",D898="",E898="",F898="",G898="",H898=""),"HATA: eksik bilgi",IF(COUNTIF(OdaListesi,A898)=0,"HATA: geçersiz oda no",IF(OR(NOT(ISNUMBER(D898)),NOT(ISNUMBER(E898))),"HATA: tarih geçersiz",IF(E898&lt;=D898,"HATA: çıkış girişten sonra olmalı",IF(OR(NOT(ISNUMBER(C898)),C898&lt;1,C898&gt;MaxKisi,C898&lt;&gt;INT(C898)),"HATA: kişi sayısı geçersiz",IF(OR(NOT(ISNUMBER(G898)),G898&lt;0),"HATA: tutar geçersiz",IF(B898&lt;&gt;TRIM(B898),"HATA: isimde baştaki/sondaki boşluk",IF(COUNTIF(KaynakAralik,H898)=0,"HATA: kaynak listede yok",IF(AND(F898&lt;&gt;"Bekleniyor",F898&lt;&gt;"Geldi",F898&lt;&gt;"İptal"),"HATA: giriş durumu geçersiz",IF(AND(F898&lt;&gt;"İptal",COUNTIFS($A$6:$A$1005,A898,$D$6:$D$1005,"&lt;"&amp;E898,$E$6:$E$1005,"&gt;"&amp;D898,$F$6:$F$1005,"&lt;&gt;İptal")&gt;1),"HATA: oda bu tarihlerde çakışıyor",IF(AND(F898="Bekleniyor",D898&lt;RaporTarihi),"HATA: giriş günü geçti, Geldi veya İptal yapın","OK"))))))))))))</f>
        <v/>
      </c>
      <c r="L898" s="25">
        <f>IF(AND(ISNUMBER(A898),F898&lt;&gt;"İptal",ISNUMBER(D898),ISNUMBER(E898),D898&lt;=RaporTarihi,E898&gt;RaporTarihi),A898,"")</f>
        <v/>
      </c>
    </row>
    <row r="899">
      <c r="A899" s="22" t="n"/>
      <c r="B899" s="22" t="n"/>
      <c r="C899" s="22" t="n"/>
      <c r="D899" s="23" t="n"/>
      <c r="E899" s="23" t="n"/>
      <c r="F899" s="22" t="n"/>
      <c r="G899" s="24" t="n"/>
      <c r="H899" s="22" t="n"/>
      <c r="I899" s="25">
        <f>IF(AND(ISNUMBER(D899),ISNUMBER(E899)),E899-D899,"")</f>
        <v/>
      </c>
      <c r="J899" s="26">
        <f>IF(AND(ISNUMBER(I899),ISNUMBER(G899)),IF(I899&gt;0,G899/I899,""),"")</f>
        <v/>
      </c>
      <c r="K899" s="25">
        <f>IF(COUNTA(A899:H899)=0,"",IF(OR(A899="",B899="",C899="",D899="",E899="",F899="",G899="",H899=""),"HATA: eksik bilgi",IF(COUNTIF(OdaListesi,A899)=0,"HATA: geçersiz oda no",IF(OR(NOT(ISNUMBER(D899)),NOT(ISNUMBER(E899))),"HATA: tarih geçersiz",IF(E899&lt;=D899,"HATA: çıkış girişten sonra olmalı",IF(OR(NOT(ISNUMBER(C899)),C899&lt;1,C899&gt;MaxKisi,C899&lt;&gt;INT(C899)),"HATA: kişi sayısı geçersiz",IF(OR(NOT(ISNUMBER(G899)),G899&lt;0),"HATA: tutar geçersiz",IF(B899&lt;&gt;TRIM(B899),"HATA: isimde baştaki/sondaki boşluk",IF(COUNTIF(KaynakAralik,H899)=0,"HATA: kaynak listede yok",IF(AND(F899&lt;&gt;"Bekleniyor",F899&lt;&gt;"Geldi",F899&lt;&gt;"İptal"),"HATA: giriş durumu geçersiz",IF(AND(F899&lt;&gt;"İptal",COUNTIFS($A$6:$A$1005,A899,$D$6:$D$1005,"&lt;"&amp;E899,$E$6:$E$1005,"&gt;"&amp;D899,$F$6:$F$1005,"&lt;&gt;İptal")&gt;1),"HATA: oda bu tarihlerde çakışıyor",IF(AND(F899="Bekleniyor",D899&lt;RaporTarihi),"HATA: giriş günü geçti, Geldi veya İptal yapın","OK"))))))))))))</f>
        <v/>
      </c>
      <c r="L899" s="25">
        <f>IF(AND(ISNUMBER(A899),F899&lt;&gt;"İptal",ISNUMBER(D899),ISNUMBER(E899),D899&lt;=RaporTarihi,E899&gt;RaporTarihi),A899,"")</f>
        <v/>
      </c>
    </row>
    <row r="900">
      <c r="A900" s="22" t="n"/>
      <c r="B900" s="22" t="n"/>
      <c r="C900" s="22" t="n"/>
      <c r="D900" s="23" t="n"/>
      <c r="E900" s="23" t="n"/>
      <c r="F900" s="22" t="n"/>
      <c r="G900" s="24" t="n"/>
      <c r="H900" s="22" t="n"/>
      <c r="I900" s="25">
        <f>IF(AND(ISNUMBER(D900),ISNUMBER(E900)),E900-D900,"")</f>
        <v/>
      </c>
      <c r="J900" s="26">
        <f>IF(AND(ISNUMBER(I900),ISNUMBER(G900)),IF(I900&gt;0,G900/I900,""),"")</f>
        <v/>
      </c>
      <c r="K900" s="25">
        <f>IF(COUNTA(A900:H900)=0,"",IF(OR(A900="",B900="",C900="",D900="",E900="",F900="",G900="",H900=""),"HATA: eksik bilgi",IF(COUNTIF(OdaListesi,A900)=0,"HATA: geçersiz oda no",IF(OR(NOT(ISNUMBER(D900)),NOT(ISNUMBER(E900))),"HATA: tarih geçersiz",IF(E900&lt;=D900,"HATA: çıkış girişten sonra olmalı",IF(OR(NOT(ISNUMBER(C900)),C900&lt;1,C900&gt;MaxKisi,C900&lt;&gt;INT(C900)),"HATA: kişi sayısı geçersiz",IF(OR(NOT(ISNUMBER(G900)),G900&lt;0),"HATA: tutar geçersiz",IF(B900&lt;&gt;TRIM(B900),"HATA: isimde baştaki/sondaki boşluk",IF(COUNTIF(KaynakAralik,H900)=0,"HATA: kaynak listede yok",IF(AND(F900&lt;&gt;"Bekleniyor",F900&lt;&gt;"Geldi",F900&lt;&gt;"İptal"),"HATA: giriş durumu geçersiz",IF(AND(F900&lt;&gt;"İptal",COUNTIFS($A$6:$A$1005,A900,$D$6:$D$1005,"&lt;"&amp;E900,$E$6:$E$1005,"&gt;"&amp;D900,$F$6:$F$1005,"&lt;&gt;İptal")&gt;1),"HATA: oda bu tarihlerde çakışıyor",IF(AND(F900="Bekleniyor",D900&lt;RaporTarihi),"HATA: giriş günü geçti, Geldi veya İptal yapın","OK"))))))))))))</f>
        <v/>
      </c>
      <c r="L900" s="25">
        <f>IF(AND(ISNUMBER(A900),F900&lt;&gt;"İptal",ISNUMBER(D900),ISNUMBER(E900),D900&lt;=RaporTarihi,E900&gt;RaporTarihi),A900,"")</f>
        <v/>
      </c>
    </row>
    <row r="901">
      <c r="A901" s="22" t="n"/>
      <c r="B901" s="22" t="n"/>
      <c r="C901" s="22" t="n"/>
      <c r="D901" s="23" t="n"/>
      <c r="E901" s="23" t="n"/>
      <c r="F901" s="22" t="n"/>
      <c r="G901" s="24" t="n"/>
      <c r="H901" s="22" t="n"/>
      <c r="I901" s="25">
        <f>IF(AND(ISNUMBER(D901),ISNUMBER(E901)),E901-D901,"")</f>
        <v/>
      </c>
      <c r="J901" s="26">
        <f>IF(AND(ISNUMBER(I901),ISNUMBER(G901)),IF(I901&gt;0,G901/I901,""),"")</f>
        <v/>
      </c>
      <c r="K901" s="25">
        <f>IF(COUNTA(A901:H901)=0,"",IF(OR(A901="",B901="",C901="",D901="",E901="",F901="",G901="",H901=""),"HATA: eksik bilgi",IF(COUNTIF(OdaListesi,A901)=0,"HATA: geçersiz oda no",IF(OR(NOT(ISNUMBER(D901)),NOT(ISNUMBER(E901))),"HATA: tarih geçersiz",IF(E901&lt;=D901,"HATA: çıkış girişten sonra olmalı",IF(OR(NOT(ISNUMBER(C901)),C901&lt;1,C901&gt;MaxKisi,C901&lt;&gt;INT(C901)),"HATA: kişi sayısı geçersiz",IF(OR(NOT(ISNUMBER(G901)),G901&lt;0),"HATA: tutar geçersiz",IF(B901&lt;&gt;TRIM(B901),"HATA: isimde baştaki/sondaki boşluk",IF(COUNTIF(KaynakAralik,H901)=0,"HATA: kaynak listede yok",IF(AND(F901&lt;&gt;"Bekleniyor",F901&lt;&gt;"Geldi",F901&lt;&gt;"İptal"),"HATA: giriş durumu geçersiz",IF(AND(F901&lt;&gt;"İptal",COUNTIFS($A$6:$A$1005,A901,$D$6:$D$1005,"&lt;"&amp;E901,$E$6:$E$1005,"&gt;"&amp;D901,$F$6:$F$1005,"&lt;&gt;İptal")&gt;1),"HATA: oda bu tarihlerde çakışıyor",IF(AND(F901="Bekleniyor",D901&lt;RaporTarihi),"HATA: giriş günü geçti, Geldi veya İptal yapın","OK"))))))))))))</f>
        <v/>
      </c>
      <c r="L901" s="25">
        <f>IF(AND(ISNUMBER(A901),F901&lt;&gt;"İptal",ISNUMBER(D901),ISNUMBER(E901),D901&lt;=RaporTarihi,E901&gt;RaporTarihi),A901,"")</f>
        <v/>
      </c>
    </row>
    <row r="902">
      <c r="A902" s="22" t="n"/>
      <c r="B902" s="22" t="n"/>
      <c r="C902" s="22" t="n"/>
      <c r="D902" s="23" t="n"/>
      <c r="E902" s="23" t="n"/>
      <c r="F902" s="22" t="n"/>
      <c r="G902" s="24" t="n"/>
      <c r="H902" s="22" t="n"/>
      <c r="I902" s="25">
        <f>IF(AND(ISNUMBER(D902),ISNUMBER(E902)),E902-D902,"")</f>
        <v/>
      </c>
      <c r="J902" s="26">
        <f>IF(AND(ISNUMBER(I902),ISNUMBER(G902)),IF(I902&gt;0,G902/I902,""),"")</f>
        <v/>
      </c>
      <c r="K902" s="25">
        <f>IF(COUNTA(A902:H902)=0,"",IF(OR(A902="",B902="",C902="",D902="",E902="",F902="",G902="",H902=""),"HATA: eksik bilgi",IF(COUNTIF(OdaListesi,A902)=0,"HATA: geçersiz oda no",IF(OR(NOT(ISNUMBER(D902)),NOT(ISNUMBER(E902))),"HATA: tarih geçersiz",IF(E902&lt;=D902,"HATA: çıkış girişten sonra olmalı",IF(OR(NOT(ISNUMBER(C902)),C902&lt;1,C902&gt;MaxKisi,C902&lt;&gt;INT(C902)),"HATA: kişi sayısı geçersiz",IF(OR(NOT(ISNUMBER(G902)),G902&lt;0),"HATA: tutar geçersiz",IF(B902&lt;&gt;TRIM(B902),"HATA: isimde baştaki/sondaki boşluk",IF(COUNTIF(KaynakAralik,H902)=0,"HATA: kaynak listede yok",IF(AND(F902&lt;&gt;"Bekleniyor",F902&lt;&gt;"Geldi",F902&lt;&gt;"İptal"),"HATA: giriş durumu geçersiz",IF(AND(F902&lt;&gt;"İptal",COUNTIFS($A$6:$A$1005,A902,$D$6:$D$1005,"&lt;"&amp;E902,$E$6:$E$1005,"&gt;"&amp;D902,$F$6:$F$1005,"&lt;&gt;İptal")&gt;1),"HATA: oda bu tarihlerde çakışıyor",IF(AND(F902="Bekleniyor",D902&lt;RaporTarihi),"HATA: giriş günü geçti, Geldi veya İptal yapın","OK"))))))))))))</f>
        <v/>
      </c>
      <c r="L902" s="25">
        <f>IF(AND(ISNUMBER(A902),F902&lt;&gt;"İptal",ISNUMBER(D902),ISNUMBER(E902),D902&lt;=RaporTarihi,E902&gt;RaporTarihi),A902,"")</f>
        <v/>
      </c>
    </row>
    <row r="903">
      <c r="A903" s="22" t="n"/>
      <c r="B903" s="22" t="n"/>
      <c r="C903" s="22" t="n"/>
      <c r="D903" s="23" t="n"/>
      <c r="E903" s="23" t="n"/>
      <c r="F903" s="22" t="n"/>
      <c r="G903" s="24" t="n"/>
      <c r="H903" s="22" t="n"/>
      <c r="I903" s="25">
        <f>IF(AND(ISNUMBER(D903),ISNUMBER(E903)),E903-D903,"")</f>
        <v/>
      </c>
      <c r="J903" s="26">
        <f>IF(AND(ISNUMBER(I903),ISNUMBER(G903)),IF(I903&gt;0,G903/I903,""),"")</f>
        <v/>
      </c>
      <c r="K903" s="25">
        <f>IF(COUNTA(A903:H903)=0,"",IF(OR(A903="",B903="",C903="",D903="",E903="",F903="",G903="",H903=""),"HATA: eksik bilgi",IF(COUNTIF(OdaListesi,A903)=0,"HATA: geçersiz oda no",IF(OR(NOT(ISNUMBER(D903)),NOT(ISNUMBER(E903))),"HATA: tarih geçersiz",IF(E903&lt;=D903,"HATA: çıkış girişten sonra olmalı",IF(OR(NOT(ISNUMBER(C903)),C903&lt;1,C903&gt;MaxKisi,C903&lt;&gt;INT(C903)),"HATA: kişi sayısı geçersiz",IF(OR(NOT(ISNUMBER(G903)),G903&lt;0),"HATA: tutar geçersiz",IF(B903&lt;&gt;TRIM(B903),"HATA: isimde baştaki/sondaki boşluk",IF(COUNTIF(KaynakAralik,H903)=0,"HATA: kaynak listede yok",IF(AND(F903&lt;&gt;"Bekleniyor",F903&lt;&gt;"Geldi",F903&lt;&gt;"İptal"),"HATA: giriş durumu geçersiz",IF(AND(F903&lt;&gt;"İptal",COUNTIFS($A$6:$A$1005,A903,$D$6:$D$1005,"&lt;"&amp;E903,$E$6:$E$1005,"&gt;"&amp;D903,$F$6:$F$1005,"&lt;&gt;İptal")&gt;1),"HATA: oda bu tarihlerde çakışıyor",IF(AND(F903="Bekleniyor",D903&lt;RaporTarihi),"HATA: giriş günü geçti, Geldi veya İptal yapın","OK"))))))))))))</f>
        <v/>
      </c>
      <c r="L903" s="25">
        <f>IF(AND(ISNUMBER(A903),F903&lt;&gt;"İptal",ISNUMBER(D903),ISNUMBER(E903),D903&lt;=RaporTarihi,E903&gt;RaporTarihi),A903,"")</f>
        <v/>
      </c>
    </row>
    <row r="904">
      <c r="A904" s="22" t="n"/>
      <c r="B904" s="22" t="n"/>
      <c r="C904" s="22" t="n"/>
      <c r="D904" s="23" t="n"/>
      <c r="E904" s="23" t="n"/>
      <c r="F904" s="22" t="n"/>
      <c r="G904" s="24" t="n"/>
      <c r="H904" s="22" t="n"/>
      <c r="I904" s="25">
        <f>IF(AND(ISNUMBER(D904),ISNUMBER(E904)),E904-D904,"")</f>
        <v/>
      </c>
      <c r="J904" s="26">
        <f>IF(AND(ISNUMBER(I904),ISNUMBER(G904)),IF(I904&gt;0,G904/I904,""),"")</f>
        <v/>
      </c>
      <c r="K904" s="25">
        <f>IF(COUNTA(A904:H904)=0,"",IF(OR(A904="",B904="",C904="",D904="",E904="",F904="",G904="",H904=""),"HATA: eksik bilgi",IF(COUNTIF(OdaListesi,A904)=0,"HATA: geçersiz oda no",IF(OR(NOT(ISNUMBER(D904)),NOT(ISNUMBER(E904))),"HATA: tarih geçersiz",IF(E904&lt;=D904,"HATA: çıkış girişten sonra olmalı",IF(OR(NOT(ISNUMBER(C904)),C904&lt;1,C904&gt;MaxKisi,C904&lt;&gt;INT(C904)),"HATA: kişi sayısı geçersiz",IF(OR(NOT(ISNUMBER(G904)),G904&lt;0),"HATA: tutar geçersiz",IF(B904&lt;&gt;TRIM(B904),"HATA: isimde baştaki/sondaki boşluk",IF(COUNTIF(KaynakAralik,H904)=0,"HATA: kaynak listede yok",IF(AND(F904&lt;&gt;"Bekleniyor",F904&lt;&gt;"Geldi",F904&lt;&gt;"İptal"),"HATA: giriş durumu geçersiz",IF(AND(F904&lt;&gt;"İptal",COUNTIFS($A$6:$A$1005,A904,$D$6:$D$1005,"&lt;"&amp;E904,$E$6:$E$1005,"&gt;"&amp;D904,$F$6:$F$1005,"&lt;&gt;İptal")&gt;1),"HATA: oda bu tarihlerde çakışıyor",IF(AND(F904="Bekleniyor",D904&lt;RaporTarihi),"HATA: giriş günü geçti, Geldi veya İptal yapın","OK"))))))))))))</f>
        <v/>
      </c>
      <c r="L904" s="25">
        <f>IF(AND(ISNUMBER(A904),F904&lt;&gt;"İptal",ISNUMBER(D904),ISNUMBER(E904),D904&lt;=RaporTarihi,E904&gt;RaporTarihi),A904,"")</f>
        <v/>
      </c>
    </row>
    <row r="905">
      <c r="A905" s="22" t="n"/>
      <c r="B905" s="22" t="n"/>
      <c r="C905" s="22" t="n"/>
      <c r="D905" s="23" t="n"/>
      <c r="E905" s="23" t="n"/>
      <c r="F905" s="22" t="n"/>
      <c r="G905" s="24" t="n"/>
      <c r="H905" s="22" t="n"/>
      <c r="I905" s="25">
        <f>IF(AND(ISNUMBER(D905),ISNUMBER(E905)),E905-D905,"")</f>
        <v/>
      </c>
      <c r="J905" s="26">
        <f>IF(AND(ISNUMBER(I905),ISNUMBER(G905)),IF(I905&gt;0,G905/I905,""),"")</f>
        <v/>
      </c>
      <c r="K905" s="25">
        <f>IF(COUNTA(A905:H905)=0,"",IF(OR(A905="",B905="",C905="",D905="",E905="",F905="",G905="",H905=""),"HATA: eksik bilgi",IF(COUNTIF(OdaListesi,A905)=0,"HATA: geçersiz oda no",IF(OR(NOT(ISNUMBER(D905)),NOT(ISNUMBER(E905))),"HATA: tarih geçersiz",IF(E905&lt;=D905,"HATA: çıkış girişten sonra olmalı",IF(OR(NOT(ISNUMBER(C905)),C905&lt;1,C905&gt;MaxKisi,C905&lt;&gt;INT(C905)),"HATA: kişi sayısı geçersiz",IF(OR(NOT(ISNUMBER(G905)),G905&lt;0),"HATA: tutar geçersiz",IF(B905&lt;&gt;TRIM(B905),"HATA: isimde baştaki/sondaki boşluk",IF(COUNTIF(KaynakAralik,H905)=0,"HATA: kaynak listede yok",IF(AND(F905&lt;&gt;"Bekleniyor",F905&lt;&gt;"Geldi",F905&lt;&gt;"İptal"),"HATA: giriş durumu geçersiz",IF(AND(F905&lt;&gt;"İptal",COUNTIFS($A$6:$A$1005,A905,$D$6:$D$1005,"&lt;"&amp;E905,$E$6:$E$1005,"&gt;"&amp;D905,$F$6:$F$1005,"&lt;&gt;İptal")&gt;1),"HATA: oda bu tarihlerde çakışıyor",IF(AND(F905="Bekleniyor",D905&lt;RaporTarihi),"HATA: giriş günü geçti, Geldi veya İptal yapın","OK"))))))))))))</f>
        <v/>
      </c>
      <c r="L905" s="25">
        <f>IF(AND(ISNUMBER(A905),F905&lt;&gt;"İptal",ISNUMBER(D905),ISNUMBER(E905),D905&lt;=RaporTarihi,E905&gt;RaporTarihi),A905,"")</f>
        <v/>
      </c>
    </row>
    <row r="906">
      <c r="A906" s="22" t="n"/>
      <c r="B906" s="22" t="n"/>
      <c r="C906" s="22" t="n"/>
      <c r="D906" s="23" t="n"/>
      <c r="E906" s="23" t="n"/>
      <c r="F906" s="22" t="n"/>
      <c r="G906" s="24" t="n"/>
      <c r="H906" s="22" t="n"/>
      <c r="I906" s="25">
        <f>IF(AND(ISNUMBER(D906),ISNUMBER(E906)),E906-D906,"")</f>
        <v/>
      </c>
      <c r="J906" s="26">
        <f>IF(AND(ISNUMBER(I906),ISNUMBER(G906)),IF(I906&gt;0,G906/I906,""),"")</f>
        <v/>
      </c>
      <c r="K906" s="25">
        <f>IF(COUNTA(A906:H906)=0,"",IF(OR(A906="",B906="",C906="",D906="",E906="",F906="",G906="",H906=""),"HATA: eksik bilgi",IF(COUNTIF(OdaListesi,A906)=0,"HATA: geçersiz oda no",IF(OR(NOT(ISNUMBER(D906)),NOT(ISNUMBER(E906))),"HATA: tarih geçersiz",IF(E906&lt;=D906,"HATA: çıkış girişten sonra olmalı",IF(OR(NOT(ISNUMBER(C906)),C906&lt;1,C906&gt;MaxKisi,C906&lt;&gt;INT(C906)),"HATA: kişi sayısı geçersiz",IF(OR(NOT(ISNUMBER(G906)),G906&lt;0),"HATA: tutar geçersiz",IF(B906&lt;&gt;TRIM(B906),"HATA: isimde baştaki/sondaki boşluk",IF(COUNTIF(KaynakAralik,H906)=0,"HATA: kaynak listede yok",IF(AND(F906&lt;&gt;"Bekleniyor",F906&lt;&gt;"Geldi",F906&lt;&gt;"İptal"),"HATA: giriş durumu geçersiz",IF(AND(F906&lt;&gt;"İptal",COUNTIFS($A$6:$A$1005,A906,$D$6:$D$1005,"&lt;"&amp;E906,$E$6:$E$1005,"&gt;"&amp;D906,$F$6:$F$1005,"&lt;&gt;İptal")&gt;1),"HATA: oda bu tarihlerde çakışıyor",IF(AND(F906="Bekleniyor",D906&lt;RaporTarihi),"HATA: giriş günü geçti, Geldi veya İptal yapın","OK"))))))))))))</f>
        <v/>
      </c>
      <c r="L906" s="25">
        <f>IF(AND(ISNUMBER(A906),F906&lt;&gt;"İptal",ISNUMBER(D906),ISNUMBER(E906),D906&lt;=RaporTarihi,E906&gt;RaporTarihi),A906,"")</f>
        <v/>
      </c>
    </row>
    <row r="907">
      <c r="A907" s="22" t="n"/>
      <c r="B907" s="22" t="n"/>
      <c r="C907" s="22" t="n"/>
      <c r="D907" s="23" t="n"/>
      <c r="E907" s="23" t="n"/>
      <c r="F907" s="22" t="n"/>
      <c r="G907" s="24" t="n"/>
      <c r="H907" s="22" t="n"/>
      <c r="I907" s="25">
        <f>IF(AND(ISNUMBER(D907),ISNUMBER(E907)),E907-D907,"")</f>
        <v/>
      </c>
      <c r="J907" s="26">
        <f>IF(AND(ISNUMBER(I907),ISNUMBER(G907)),IF(I907&gt;0,G907/I907,""),"")</f>
        <v/>
      </c>
      <c r="K907" s="25">
        <f>IF(COUNTA(A907:H907)=0,"",IF(OR(A907="",B907="",C907="",D907="",E907="",F907="",G907="",H907=""),"HATA: eksik bilgi",IF(COUNTIF(OdaListesi,A907)=0,"HATA: geçersiz oda no",IF(OR(NOT(ISNUMBER(D907)),NOT(ISNUMBER(E907))),"HATA: tarih geçersiz",IF(E907&lt;=D907,"HATA: çıkış girişten sonra olmalı",IF(OR(NOT(ISNUMBER(C907)),C907&lt;1,C907&gt;MaxKisi,C907&lt;&gt;INT(C907)),"HATA: kişi sayısı geçersiz",IF(OR(NOT(ISNUMBER(G907)),G907&lt;0),"HATA: tutar geçersiz",IF(B907&lt;&gt;TRIM(B907),"HATA: isimde baştaki/sondaki boşluk",IF(COUNTIF(KaynakAralik,H907)=0,"HATA: kaynak listede yok",IF(AND(F907&lt;&gt;"Bekleniyor",F907&lt;&gt;"Geldi",F907&lt;&gt;"İptal"),"HATA: giriş durumu geçersiz",IF(AND(F907&lt;&gt;"İptal",COUNTIFS($A$6:$A$1005,A907,$D$6:$D$1005,"&lt;"&amp;E907,$E$6:$E$1005,"&gt;"&amp;D907,$F$6:$F$1005,"&lt;&gt;İptal")&gt;1),"HATA: oda bu tarihlerde çakışıyor",IF(AND(F907="Bekleniyor",D907&lt;RaporTarihi),"HATA: giriş günü geçti, Geldi veya İptal yapın","OK"))))))))))))</f>
        <v/>
      </c>
      <c r="L907" s="25">
        <f>IF(AND(ISNUMBER(A907),F907&lt;&gt;"İptal",ISNUMBER(D907),ISNUMBER(E907),D907&lt;=RaporTarihi,E907&gt;RaporTarihi),A907,"")</f>
        <v/>
      </c>
    </row>
    <row r="908">
      <c r="A908" s="22" t="n"/>
      <c r="B908" s="22" t="n"/>
      <c r="C908" s="22" t="n"/>
      <c r="D908" s="23" t="n"/>
      <c r="E908" s="23" t="n"/>
      <c r="F908" s="22" t="n"/>
      <c r="G908" s="24" t="n"/>
      <c r="H908" s="22" t="n"/>
      <c r="I908" s="25">
        <f>IF(AND(ISNUMBER(D908),ISNUMBER(E908)),E908-D908,"")</f>
        <v/>
      </c>
      <c r="J908" s="26">
        <f>IF(AND(ISNUMBER(I908),ISNUMBER(G908)),IF(I908&gt;0,G908/I908,""),"")</f>
        <v/>
      </c>
      <c r="K908" s="25">
        <f>IF(COUNTA(A908:H908)=0,"",IF(OR(A908="",B908="",C908="",D908="",E908="",F908="",G908="",H908=""),"HATA: eksik bilgi",IF(COUNTIF(OdaListesi,A908)=0,"HATA: geçersiz oda no",IF(OR(NOT(ISNUMBER(D908)),NOT(ISNUMBER(E908))),"HATA: tarih geçersiz",IF(E908&lt;=D908,"HATA: çıkış girişten sonra olmalı",IF(OR(NOT(ISNUMBER(C908)),C908&lt;1,C908&gt;MaxKisi,C908&lt;&gt;INT(C908)),"HATA: kişi sayısı geçersiz",IF(OR(NOT(ISNUMBER(G908)),G908&lt;0),"HATA: tutar geçersiz",IF(B908&lt;&gt;TRIM(B908),"HATA: isimde baştaki/sondaki boşluk",IF(COUNTIF(KaynakAralik,H908)=0,"HATA: kaynak listede yok",IF(AND(F908&lt;&gt;"Bekleniyor",F908&lt;&gt;"Geldi",F908&lt;&gt;"İptal"),"HATA: giriş durumu geçersiz",IF(AND(F908&lt;&gt;"İptal",COUNTIFS($A$6:$A$1005,A908,$D$6:$D$1005,"&lt;"&amp;E908,$E$6:$E$1005,"&gt;"&amp;D908,$F$6:$F$1005,"&lt;&gt;İptal")&gt;1),"HATA: oda bu tarihlerde çakışıyor",IF(AND(F908="Bekleniyor",D908&lt;RaporTarihi),"HATA: giriş günü geçti, Geldi veya İptal yapın","OK"))))))))))))</f>
        <v/>
      </c>
      <c r="L908" s="25">
        <f>IF(AND(ISNUMBER(A908),F908&lt;&gt;"İptal",ISNUMBER(D908),ISNUMBER(E908),D908&lt;=RaporTarihi,E908&gt;RaporTarihi),A908,"")</f>
        <v/>
      </c>
    </row>
    <row r="909">
      <c r="A909" s="22" t="n"/>
      <c r="B909" s="22" t="n"/>
      <c r="C909" s="22" t="n"/>
      <c r="D909" s="23" t="n"/>
      <c r="E909" s="23" t="n"/>
      <c r="F909" s="22" t="n"/>
      <c r="G909" s="24" t="n"/>
      <c r="H909" s="22" t="n"/>
      <c r="I909" s="25">
        <f>IF(AND(ISNUMBER(D909),ISNUMBER(E909)),E909-D909,"")</f>
        <v/>
      </c>
      <c r="J909" s="26">
        <f>IF(AND(ISNUMBER(I909),ISNUMBER(G909)),IF(I909&gt;0,G909/I909,""),"")</f>
        <v/>
      </c>
      <c r="K909" s="25">
        <f>IF(COUNTA(A909:H909)=0,"",IF(OR(A909="",B909="",C909="",D909="",E909="",F909="",G909="",H909=""),"HATA: eksik bilgi",IF(COUNTIF(OdaListesi,A909)=0,"HATA: geçersiz oda no",IF(OR(NOT(ISNUMBER(D909)),NOT(ISNUMBER(E909))),"HATA: tarih geçersiz",IF(E909&lt;=D909,"HATA: çıkış girişten sonra olmalı",IF(OR(NOT(ISNUMBER(C909)),C909&lt;1,C909&gt;MaxKisi,C909&lt;&gt;INT(C909)),"HATA: kişi sayısı geçersiz",IF(OR(NOT(ISNUMBER(G909)),G909&lt;0),"HATA: tutar geçersiz",IF(B909&lt;&gt;TRIM(B909),"HATA: isimde baştaki/sondaki boşluk",IF(COUNTIF(KaynakAralik,H909)=0,"HATA: kaynak listede yok",IF(AND(F909&lt;&gt;"Bekleniyor",F909&lt;&gt;"Geldi",F909&lt;&gt;"İptal"),"HATA: giriş durumu geçersiz",IF(AND(F909&lt;&gt;"İptal",COUNTIFS($A$6:$A$1005,A909,$D$6:$D$1005,"&lt;"&amp;E909,$E$6:$E$1005,"&gt;"&amp;D909,$F$6:$F$1005,"&lt;&gt;İptal")&gt;1),"HATA: oda bu tarihlerde çakışıyor",IF(AND(F909="Bekleniyor",D909&lt;RaporTarihi),"HATA: giriş günü geçti, Geldi veya İptal yapın","OK"))))))))))))</f>
        <v/>
      </c>
      <c r="L909" s="25">
        <f>IF(AND(ISNUMBER(A909),F909&lt;&gt;"İptal",ISNUMBER(D909),ISNUMBER(E909),D909&lt;=RaporTarihi,E909&gt;RaporTarihi),A909,"")</f>
        <v/>
      </c>
    </row>
    <row r="910">
      <c r="A910" s="22" t="n"/>
      <c r="B910" s="22" t="n"/>
      <c r="C910" s="22" t="n"/>
      <c r="D910" s="23" t="n"/>
      <c r="E910" s="23" t="n"/>
      <c r="F910" s="22" t="n"/>
      <c r="G910" s="24" t="n"/>
      <c r="H910" s="22" t="n"/>
      <c r="I910" s="25">
        <f>IF(AND(ISNUMBER(D910),ISNUMBER(E910)),E910-D910,"")</f>
        <v/>
      </c>
      <c r="J910" s="26">
        <f>IF(AND(ISNUMBER(I910),ISNUMBER(G910)),IF(I910&gt;0,G910/I910,""),"")</f>
        <v/>
      </c>
      <c r="K910" s="25">
        <f>IF(COUNTA(A910:H910)=0,"",IF(OR(A910="",B910="",C910="",D910="",E910="",F910="",G910="",H910=""),"HATA: eksik bilgi",IF(COUNTIF(OdaListesi,A910)=0,"HATA: geçersiz oda no",IF(OR(NOT(ISNUMBER(D910)),NOT(ISNUMBER(E910))),"HATA: tarih geçersiz",IF(E910&lt;=D910,"HATA: çıkış girişten sonra olmalı",IF(OR(NOT(ISNUMBER(C910)),C910&lt;1,C910&gt;MaxKisi,C910&lt;&gt;INT(C910)),"HATA: kişi sayısı geçersiz",IF(OR(NOT(ISNUMBER(G910)),G910&lt;0),"HATA: tutar geçersiz",IF(B910&lt;&gt;TRIM(B910),"HATA: isimde baştaki/sondaki boşluk",IF(COUNTIF(KaynakAralik,H910)=0,"HATA: kaynak listede yok",IF(AND(F910&lt;&gt;"Bekleniyor",F910&lt;&gt;"Geldi",F910&lt;&gt;"İptal"),"HATA: giriş durumu geçersiz",IF(AND(F910&lt;&gt;"İptal",COUNTIFS($A$6:$A$1005,A910,$D$6:$D$1005,"&lt;"&amp;E910,$E$6:$E$1005,"&gt;"&amp;D910,$F$6:$F$1005,"&lt;&gt;İptal")&gt;1),"HATA: oda bu tarihlerde çakışıyor",IF(AND(F910="Bekleniyor",D910&lt;RaporTarihi),"HATA: giriş günü geçti, Geldi veya İptal yapın","OK"))))))))))))</f>
        <v/>
      </c>
      <c r="L910" s="25">
        <f>IF(AND(ISNUMBER(A910),F910&lt;&gt;"İptal",ISNUMBER(D910),ISNUMBER(E910),D910&lt;=RaporTarihi,E910&gt;RaporTarihi),A910,"")</f>
        <v/>
      </c>
    </row>
    <row r="911">
      <c r="A911" s="22" t="n"/>
      <c r="B911" s="22" t="n"/>
      <c r="C911" s="22" t="n"/>
      <c r="D911" s="23" t="n"/>
      <c r="E911" s="23" t="n"/>
      <c r="F911" s="22" t="n"/>
      <c r="G911" s="24" t="n"/>
      <c r="H911" s="22" t="n"/>
      <c r="I911" s="25">
        <f>IF(AND(ISNUMBER(D911),ISNUMBER(E911)),E911-D911,"")</f>
        <v/>
      </c>
      <c r="J911" s="26">
        <f>IF(AND(ISNUMBER(I911),ISNUMBER(G911)),IF(I911&gt;0,G911/I911,""),"")</f>
        <v/>
      </c>
      <c r="K911" s="25">
        <f>IF(COUNTA(A911:H911)=0,"",IF(OR(A911="",B911="",C911="",D911="",E911="",F911="",G911="",H911=""),"HATA: eksik bilgi",IF(COUNTIF(OdaListesi,A911)=0,"HATA: geçersiz oda no",IF(OR(NOT(ISNUMBER(D911)),NOT(ISNUMBER(E911))),"HATA: tarih geçersiz",IF(E911&lt;=D911,"HATA: çıkış girişten sonra olmalı",IF(OR(NOT(ISNUMBER(C911)),C911&lt;1,C911&gt;MaxKisi,C911&lt;&gt;INT(C911)),"HATA: kişi sayısı geçersiz",IF(OR(NOT(ISNUMBER(G911)),G911&lt;0),"HATA: tutar geçersiz",IF(B911&lt;&gt;TRIM(B911),"HATA: isimde baştaki/sondaki boşluk",IF(COUNTIF(KaynakAralik,H911)=0,"HATA: kaynak listede yok",IF(AND(F911&lt;&gt;"Bekleniyor",F911&lt;&gt;"Geldi",F911&lt;&gt;"İptal"),"HATA: giriş durumu geçersiz",IF(AND(F911&lt;&gt;"İptal",COUNTIFS($A$6:$A$1005,A911,$D$6:$D$1005,"&lt;"&amp;E911,$E$6:$E$1005,"&gt;"&amp;D911,$F$6:$F$1005,"&lt;&gt;İptal")&gt;1),"HATA: oda bu tarihlerde çakışıyor",IF(AND(F911="Bekleniyor",D911&lt;RaporTarihi),"HATA: giriş günü geçti, Geldi veya İptal yapın","OK"))))))))))))</f>
        <v/>
      </c>
      <c r="L911" s="25">
        <f>IF(AND(ISNUMBER(A911),F911&lt;&gt;"İptal",ISNUMBER(D911),ISNUMBER(E911),D911&lt;=RaporTarihi,E911&gt;RaporTarihi),A911,"")</f>
        <v/>
      </c>
    </row>
    <row r="912">
      <c r="A912" s="22" t="n"/>
      <c r="B912" s="22" t="n"/>
      <c r="C912" s="22" t="n"/>
      <c r="D912" s="23" t="n"/>
      <c r="E912" s="23" t="n"/>
      <c r="F912" s="22" t="n"/>
      <c r="G912" s="24" t="n"/>
      <c r="H912" s="22" t="n"/>
      <c r="I912" s="25">
        <f>IF(AND(ISNUMBER(D912),ISNUMBER(E912)),E912-D912,"")</f>
        <v/>
      </c>
      <c r="J912" s="26">
        <f>IF(AND(ISNUMBER(I912),ISNUMBER(G912)),IF(I912&gt;0,G912/I912,""),"")</f>
        <v/>
      </c>
      <c r="K912" s="25">
        <f>IF(COUNTA(A912:H912)=0,"",IF(OR(A912="",B912="",C912="",D912="",E912="",F912="",G912="",H912=""),"HATA: eksik bilgi",IF(COUNTIF(OdaListesi,A912)=0,"HATA: geçersiz oda no",IF(OR(NOT(ISNUMBER(D912)),NOT(ISNUMBER(E912))),"HATA: tarih geçersiz",IF(E912&lt;=D912,"HATA: çıkış girişten sonra olmalı",IF(OR(NOT(ISNUMBER(C912)),C912&lt;1,C912&gt;MaxKisi,C912&lt;&gt;INT(C912)),"HATA: kişi sayısı geçersiz",IF(OR(NOT(ISNUMBER(G912)),G912&lt;0),"HATA: tutar geçersiz",IF(B912&lt;&gt;TRIM(B912),"HATA: isimde baştaki/sondaki boşluk",IF(COUNTIF(KaynakAralik,H912)=0,"HATA: kaynak listede yok",IF(AND(F912&lt;&gt;"Bekleniyor",F912&lt;&gt;"Geldi",F912&lt;&gt;"İptal"),"HATA: giriş durumu geçersiz",IF(AND(F912&lt;&gt;"İptal",COUNTIFS($A$6:$A$1005,A912,$D$6:$D$1005,"&lt;"&amp;E912,$E$6:$E$1005,"&gt;"&amp;D912,$F$6:$F$1005,"&lt;&gt;İptal")&gt;1),"HATA: oda bu tarihlerde çakışıyor",IF(AND(F912="Bekleniyor",D912&lt;RaporTarihi),"HATA: giriş günü geçti, Geldi veya İptal yapın","OK"))))))))))))</f>
        <v/>
      </c>
      <c r="L912" s="25">
        <f>IF(AND(ISNUMBER(A912),F912&lt;&gt;"İptal",ISNUMBER(D912),ISNUMBER(E912),D912&lt;=RaporTarihi,E912&gt;RaporTarihi),A912,"")</f>
        <v/>
      </c>
    </row>
    <row r="913">
      <c r="A913" s="22" t="n"/>
      <c r="B913" s="22" t="n"/>
      <c r="C913" s="22" t="n"/>
      <c r="D913" s="23" t="n"/>
      <c r="E913" s="23" t="n"/>
      <c r="F913" s="22" t="n"/>
      <c r="G913" s="24" t="n"/>
      <c r="H913" s="22" t="n"/>
      <c r="I913" s="25">
        <f>IF(AND(ISNUMBER(D913),ISNUMBER(E913)),E913-D913,"")</f>
        <v/>
      </c>
      <c r="J913" s="26">
        <f>IF(AND(ISNUMBER(I913),ISNUMBER(G913)),IF(I913&gt;0,G913/I913,""),"")</f>
        <v/>
      </c>
      <c r="K913" s="25">
        <f>IF(COUNTA(A913:H913)=0,"",IF(OR(A913="",B913="",C913="",D913="",E913="",F913="",G913="",H913=""),"HATA: eksik bilgi",IF(COUNTIF(OdaListesi,A913)=0,"HATA: geçersiz oda no",IF(OR(NOT(ISNUMBER(D913)),NOT(ISNUMBER(E913))),"HATA: tarih geçersiz",IF(E913&lt;=D913,"HATA: çıkış girişten sonra olmalı",IF(OR(NOT(ISNUMBER(C913)),C913&lt;1,C913&gt;MaxKisi,C913&lt;&gt;INT(C913)),"HATA: kişi sayısı geçersiz",IF(OR(NOT(ISNUMBER(G913)),G913&lt;0),"HATA: tutar geçersiz",IF(B913&lt;&gt;TRIM(B913),"HATA: isimde baştaki/sondaki boşluk",IF(COUNTIF(KaynakAralik,H913)=0,"HATA: kaynak listede yok",IF(AND(F913&lt;&gt;"Bekleniyor",F913&lt;&gt;"Geldi",F913&lt;&gt;"İptal"),"HATA: giriş durumu geçersiz",IF(AND(F913&lt;&gt;"İptal",COUNTIFS($A$6:$A$1005,A913,$D$6:$D$1005,"&lt;"&amp;E913,$E$6:$E$1005,"&gt;"&amp;D913,$F$6:$F$1005,"&lt;&gt;İptal")&gt;1),"HATA: oda bu tarihlerde çakışıyor",IF(AND(F913="Bekleniyor",D913&lt;RaporTarihi),"HATA: giriş günü geçti, Geldi veya İptal yapın","OK"))))))))))))</f>
        <v/>
      </c>
      <c r="L913" s="25">
        <f>IF(AND(ISNUMBER(A913),F913&lt;&gt;"İptal",ISNUMBER(D913),ISNUMBER(E913),D913&lt;=RaporTarihi,E913&gt;RaporTarihi),A913,"")</f>
        <v/>
      </c>
    </row>
    <row r="914">
      <c r="A914" s="22" t="n"/>
      <c r="B914" s="22" t="n"/>
      <c r="C914" s="22" t="n"/>
      <c r="D914" s="23" t="n"/>
      <c r="E914" s="23" t="n"/>
      <c r="F914" s="22" t="n"/>
      <c r="G914" s="24" t="n"/>
      <c r="H914" s="22" t="n"/>
      <c r="I914" s="25">
        <f>IF(AND(ISNUMBER(D914),ISNUMBER(E914)),E914-D914,"")</f>
        <v/>
      </c>
      <c r="J914" s="26">
        <f>IF(AND(ISNUMBER(I914),ISNUMBER(G914)),IF(I914&gt;0,G914/I914,""),"")</f>
        <v/>
      </c>
      <c r="K914" s="25">
        <f>IF(COUNTA(A914:H914)=0,"",IF(OR(A914="",B914="",C914="",D914="",E914="",F914="",G914="",H914=""),"HATA: eksik bilgi",IF(COUNTIF(OdaListesi,A914)=0,"HATA: geçersiz oda no",IF(OR(NOT(ISNUMBER(D914)),NOT(ISNUMBER(E914))),"HATA: tarih geçersiz",IF(E914&lt;=D914,"HATA: çıkış girişten sonra olmalı",IF(OR(NOT(ISNUMBER(C914)),C914&lt;1,C914&gt;MaxKisi,C914&lt;&gt;INT(C914)),"HATA: kişi sayısı geçersiz",IF(OR(NOT(ISNUMBER(G914)),G914&lt;0),"HATA: tutar geçersiz",IF(B914&lt;&gt;TRIM(B914),"HATA: isimde baştaki/sondaki boşluk",IF(COUNTIF(KaynakAralik,H914)=0,"HATA: kaynak listede yok",IF(AND(F914&lt;&gt;"Bekleniyor",F914&lt;&gt;"Geldi",F914&lt;&gt;"İptal"),"HATA: giriş durumu geçersiz",IF(AND(F914&lt;&gt;"İptal",COUNTIFS($A$6:$A$1005,A914,$D$6:$D$1005,"&lt;"&amp;E914,$E$6:$E$1005,"&gt;"&amp;D914,$F$6:$F$1005,"&lt;&gt;İptal")&gt;1),"HATA: oda bu tarihlerde çakışıyor",IF(AND(F914="Bekleniyor",D914&lt;RaporTarihi),"HATA: giriş günü geçti, Geldi veya İptal yapın","OK"))))))))))))</f>
        <v/>
      </c>
      <c r="L914" s="25">
        <f>IF(AND(ISNUMBER(A914),F914&lt;&gt;"İptal",ISNUMBER(D914),ISNUMBER(E914),D914&lt;=RaporTarihi,E914&gt;RaporTarihi),A914,"")</f>
        <v/>
      </c>
    </row>
    <row r="915">
      <c r="A915" s="22" t="n"/>
      <c r="B915" s="22" t="n"/>
      <c r="C915" s="22" t="n"/>
      <c r="D915" s="23" t="n"/>
      <c r="E915" s="23" t="n"/>
      <c r="F915" s="22" t="n"/>
      <c r="G915" s="24" t="n"/>
      <c r="H915" s="22" t="n"/>
      <c r="I915" s="25">
        <f>IF(AND(ISNUMBER(D915),ISNUMBER(E915)),E915-D915,"")</f>
        <v/>
      </c>
      <c r="J915" s="26">
        <f>IF(AND(ISNUMBER(I915),ISNUMBER(G915)),IF(I915&gt;0,G915/I915,""),"")</f>
        <v/>
      </c>
      <c r="K915" s="25">
        <f>IF(COUNTA(A915:H915)=0,"",IF(OR(A915="",B915="",C915="",D915="",E915="",F915="",G915="",H915=""),"HATA: eksik bilgi",IF(COUNTIF(OdaListesi,A915)=0,"HATA: geçersiz oda no",IF(OR(NOT(ISNUMBER(D915)),NOT(ISNUMBER(E915))),"HATA: tarih geçersiz",IF(E915&lt;=D915,"HATA: çıkış girişten sonra olmalı",IF(OR(NOT(ISNUMBER(C915)),C915&lt;1,C915&gt;MaxKisi,C915&lt;&gt;INT(C915)),"HATA: kişi sayısı geçersiz",IF(OR(NOT(ISNUMBER(G915)),G915&lt;0),"HATA: tutar geçersiz",IF(B915&lt;&gt;TRIM(B915),"HATA: isimde baştaki/sondaki boşluk",IF(COUNTIF(KaynakAralik,H915)=0,"HATA: kaynak listede yok",IF(AND(F915&lt;&gt;"Bekleniyor",F915&lt;&gt;"Geldi",F915&lt;&gt;"İptal"),"HATA: giriş durumu geçersiz",IF(AND(F915&lt;&gt;"İptal",COUNTIFS($A$6:$A$1005,A915,$D$6:$D$1005,"&lt;"&amp;E915,$E$6:$E$1005,"&gt;"&amp;D915,$F$6:$F$1005,"&lt;&gt;İptal")&gt;1),"HATA: oda bu tarihlerde çakışıyor",IF(AND(F915="Bekleniyor",D915&lt;RaporTarihi),"HATA: giriş günü geçti, Geldi veya İptal yapın","OK"))))))))))))</f>
        <v/>
      </c>
      <c r="L915" s="25">
        <f>IF(AND(ISNUMBER(A915),F915&lt;&gt;"İptal",ISNUMBER(D915),ISNUMBER(E915),D915&lt;=RaporTarihi,E915&gt;RaporTarihi),A915,"")</f>
        <v/>
      </c>
    </row>
    <row r="916">
      <c r="A916" s="22" t="n"/>
      <c r="B916" s="22" t="n"/>
      <c r="C916" s="22" t="n"/>
      <c r="D916" s="23" t="n"/>
      <c r="E916" s="23" t="n"/>
      <c r="F916" s="22" t="n"/>
      <c r="G916" s="24" t="n"/>
      <c r="H916" s="22" t="n"/>
      <c r="I916" s="25">
        <f>IF(AND(ISNUMBER(D916),ISNUMBER(E916)),E916-D916,"")</f>
        <v/>
      </c>
      <c r="J916" s="26">
        <f>IF(AND(ISNUMBER(I916),ISNUMBER(G916)),IF(I916&gt;0,G916/I916,""),"")</f>
        <v/>
      </c>
      <c r="K916" s="25">
        <f>IF(COUNTA(A916:H916)=0,"",IF(OR(A916="",B916="",C916="",D916="",E916="",F916="",G916="",H916=""),"HATA: eksik bilgi",IF(COUNTIF(OdaListesi,A916)=0,"HATA: geçersiz oda no",IF(OR(NOT(ISNUMBER(D916)),NOT(ISNUMBER(E916))),"HATA: tarih geçersiz",IF(E916&lt;=D916,"HATA: çıkış girişten sonra olmalı",IF(OR(NOT(ISNUMBER(C916)),C916&lt;1,C916&gt;MaxKisi,C916&lt;&gt;INT(C916)),"HATA: kişi sayısı geçersiz",IF(OR(NOT(ISNUMBER(G916)),G916&lt;0),"HATA: tutar geçersiz",IF(B916&lt;&gt;TRIM(B916),"HATA: isimde baştaki/sondaki boşluk",IF(COUNTIF(KaynakAralik,H916)=0,"HATA: kaynak listede yok",IF(AND(F916&lt;&gt;"Bekleniyor",F916&lt;&gt;"Geldi",F916&lt;&gt;"İptal"),"HATA: giriş durumu geçersiz",IF(AND(F916&lt;&gt;"İptal",COUNTIFS($A$6:$A$1005,A916,$D$6:$D$1005,"&lt;"&amp;E916,$E$6:$E$1005,"&gt;"&amp;D916,$F$6:$F$1005,"&lt;&gt;İptal")&gt;1),"HATA: oda bu tarihlerde çakışıyor",IF(AND(F916="Bekleniyor",D916&lt;RaporTarihi),"HATA: giriş günü geçti, Geldi veya İptal yapın","OK"))))))))))))</f>
        <v/>
      </c>
      <c r="L916" s="25">
        <f>IF(AND(ISNUMBER(A916),F916&lt;&gt;"İptal",ISNUMBER(D916),ISNUMBER(E916),D916&lt;=RaporTarihi,E916&gt;RaporTarihi),A916,"")</f>
        <v/>
      </c>
    </row>
    <row r="917">
      <c r="A917" s="22" t="n"/>
      <c r="B917" s="22" t="n"/>
      <c r="C917" s="22" t="n"/>
      <c r="D917" s="23" t="n"/>
      <c r="E917" s="23" t="n"/>
      <c r="F917" s="22" t="n"/>
      <c r="G917" s="24" t="n"/>
      <c r="H917" s="22" t="n"/>
      <c r="I917" s="25">
        <f>IF(AND(ISNUMBER(D917),ISNUMBER(E917)),E917-D917,"")</f>
        <v/>
      </c>
      <c r="J917" s="26">
        <f>IF(AND(ISNUMBER(I917),ISNUMBER(G917)),IF(I917&gt;0,G917/I917,""),"")</f>
        <v/>
      </c>
      <c r="K917" s="25">
        <f>IF(COUNTA(A917:H917)=0,"",IF(OR(A917="",B917="",C917="",D917="",E917="",F917="",G917="",H917=""),"HATA: eksik bilgi",IF(COUNTIF(OdaListesi,A917)=0,"HATA: geçersiz oda no",IF(OR(NOT(ISNUMBER(D917)),NOT(ISNUMBER(E917))),"HATA: tarih geçersiz",IF(E917&lt;=D917,"HATA: çıkış girişten sonra olmalı",IF(OR(NOT(ISNUMBER(C917)),C917&lt;1,C917&gt;MaxKisi,C917&lt;&gt;INT(C917)),"HATA: kişi sayısı geçersiz",IF(OR(NOT(ISNUMBER(G917)),G917&lt;0),"HATA: tutar geçersiz",IF(B917&lt;&gt;TRIM(B917),"HATA: isimde baştaki/sondaki boşluk",IF(COUNTIF(KaynakAralik,H917)=0,"HATA: kaynak listede yok",IF(AND(F917&lt;&gt;"Bekleniyor",F917&lt;&gt;"Geldi",F917&lt;&gt;"İptal"),"HATA: giriş durumu geçersiz",IF(AND(F917&lt;&gt;"İptal",COUNTIFS($A$6:$A$1005,A917,$D$6:$D$1005,"&lt;"&amp;E917,$E$6:$E$1005,"&gt;"&amp;D917,$F$6:$F$1005,"&lt;&gt;İptal")&gt;1),"HATA: oda bu tarihlerde çakışıyor",IF(AND(F917="Bekleniyor",D917&lt;RaporTarihi),"HATA: giriş günü geçti, Geldi veya İptal yapın","OK"))))))))))))</f>
        <v/>
      </c>
      <c r="L917" s="25">
        <f>IF(AND(ISNUMBER(A917),F917&lt;&gt;"İptal",ISNUMBER(D917),ISNUMBER(E917),D917&lt;=RaporTarihi,E917&gt;RaporTarihi),A917,"")</f>
        <v/>
      </c>
    </row>
    <row r="918">
      <c r="A918" s="22" t="n"/>
      <c r="B918" s="22" t="n"/>
      <c r="C918" s="22" t="n"/>
      <c r="D918" s="23" t="n"/>
      <c r="E918" s="23" t="n"/>
      <c r="F918" s="22" t="n"/>
      <c r="G918" s="24" t="n"/>
      <c r="H918" s="22" t="n"/>
      <c r="I918" s="25">
        <f>IF(AND(ISNUMBER(D918),ISNUMBER(E918)),E918-D918,"")</f>
        <v/>
      </c>
      <c r="J918" s="26">
        <f>IF(AND(ISNUMBER(I918),ISNUMBER(G918)),IF(I918&gt;0,G918/I918,""),"")</f>
        <v/>
      </c>
      <c r="K918" s="25">
        <f>IF(COUNTA(A918:H918)=0,"",IF(OR(A918="",B918="",C918="",D918="",E918="",F918="",G918="",H918=""),"HATA: eksik bilgi",IF(COUNTIF(OdaListesi,A918)=0,"HATA: geçersiz oda no",IF(OR(NOT(ISNUMBER(D918)),NOT(ISNUMBER(E918))),"HATA: tarih geçersiz",IF(E918&lt;=D918,"HATA: çıkış girişten sonra olmalı",IF(OR(NOT(ISNUMBER(C918)),C918&lt;1,C918&gt;MaxKisi,C918&lt;&gt;INT(C918)),"HATA: kişi sayısı geçersiz",IF(OR(NOT(ISNUMBER(G918)),G918&lt;0),"HATA: tutar geçersiz",IF(B918&lt;&gt;TRIM(B918),"HATA: isimde baştaki/sondaki boşluk",IF(COUNTIF(KaynakAralik,H918)=0,"HATA: kaynak listede yok",IF(AND(F918&lt;&gt;"Bekleniyor",F918&lt;&gt;"Geldi",F918&lt;&gt;"İptal"),"HATA: giriş durumu geçersiz",IF(AND(F918&lt;&gt;"İptal",COUNTIFS($A$6:$A$1005,A918,$D$6:$D$1005,"&lt;"&amp;E918,$E$6:$E$1005,"&gt;"&amp;D918,$F$6:$F$1005,"&lt;&gt;İptal")&gt;1),"HATA: oda bu tarihlerde çakışıyor",IF(AND(F918="Bekleniyor",D918&lt;RaporTarihi),"HATA: giriş günü geçti, Geldi veya İptal yapın","OK"))))))))))))</f>
        <v/>
      </c>
      <c r="L918" s="25">
        <f>IF(AND(ISNUMBER(A918),F918&lt;&gt;"İptal",ISNUMBER(D918),ISNUMBER(E918),D918&lt;=RaporTarihi,E918&gt;RaporTarihi),A918,"")</f>
        <v/>
      </c>
    </row>
    <row r="919">
      <c r="A919" s="22" t="n"/>
      <c r="B919" s="22" t="n"/>
      <c r="C919" s="22" t="n"/>
      <c r="D919" s="23" t="n"/>
      <c r="E919" s="23" t="n"/>
      <c r="F919" s="22" t="n"/>
      <c r="G919" s="24" t="n"/>
      <c r="H919" s="22" t="n"/>
      <c r="I919" s="25">
        <f>IF(AND(ISNUMBER(D919),ISNUMBER(E919)),E919-D919,"")</f>
        <v/>
      </c>
      <c r="J919" s="26">
        <f>IF(AND(ISNUMBER(I919),ISNUMBER(G919)),IF(I919&gt;0,G919/I919,""),"")</f>
        <v/>
      </c>
      <c r="K919" s="25">
        <f>IF(COUNTA(A919:H919)=0,"",IF(OR(A919="",B919="",C919="",D919="",E919="",F919="",G919="",H919=""),"HATA: eksik bilgi",IF(COUNTIF(OdaListesi,A919)=0,"HATA: geçersiz oda no",IF(OR(NOT(ISNUMBER(D919)),NOT(ISNUMBER(E919))),"HATA: tarih geçersiz",IF(E919&lt;=D919,"HATA: çıkış girişten sonra olmalı",IF(OR(NOT(ISNUMBER(C919)),C919&lt;1,C919&gt;MaxKisi,C919&lt;&gt;INT(C919)),"HATA: kişi sayısı geçersiz",IF(OR(NOT(ISNUMBER(G919)),G919&lt;0),"HATA: tutar geçersiz",IF(B919&lt;&gt;TRIM(B919),"HATA: isimde baştaki/sondaki boşluk",IF(COUNTIF(KaynakAralik,H919)=0,"HATA: kaynak listede yok",IF(AND(F919&lt;&gt;"Bekleniyor",F919&lt;&gt;"Geldi",F919&lt;&gt;"İptal"),"HATA: giriş durumu geçersiz",IF(AND(F919&lt;&gt;"İptal",COUNTIFS($A$6:$A$1005,A919,$D$6:$D$1005,"&lt;"&amp;E919,$E$6:$E$1005,"&gt;"&amp;D919,$F$6:$F$1005,"&lt;&gt;İptal")&gt;1),"HATA: oda bu tarihlerde çakışıyor",IF(AND(F919="Bekleniyor",D919&lt;RaporTarihi),"HATA: giriş günü geçti, Geldi veya İptal yapın","OK"))))))))))))</f>
        <v/>
      </c>
      <c r="L919" s="25">
        <f>IF(AND(ISNUMBER(A919),F919&lt;&gt;"İptal",ISNUMBER(D919),ISNUMBER(E919),D919&lt;=RaporTarihi,E919&gt;RaporTarihi),A919,"")</f>
        <v/>
      </c>
    </row>
    <row r="920">
      <c r="A920" s="22" t="n"/>
      <c r="B920" s="22" t="n"/>
      <c r="C920" s="22" t="n"/>
      <c r="D920" s="23" t="n"/>
      <c r="E920" s="23" t="n"/>
      <c r="F920" s="22" t="n"/>
      <c r="G920" s="24" t="n"/>
      <c r="H920" s="22" t="n"/>
      <c r="I920" s="25">
        <f>IF(AND(ISNUMBER(D920),ISNUMBER(E920)),E920-D920,"")</f>
        <v/>
      </c>
      <c r="J920" s="26">
        <f>IF(AND(ISNUMBER(I920),ISNUMBER(G920)),IF(I920&gt;0,G920/I920,""),"")</f>
        <v/>
      </c>
      <c r="K920" s="25">
        <f>IF(COUNTA(A920:H920)=0,"",IF(OR(A920="",B920="",C920="",D920="",E920="",F920="",G920="",H920=""),"HATA: eksik bilgi",IF(COUNTIF(OdaListesi,A920)=0,"HATA: geçersiz oda no",IF(OR(NOT(ISNUMBER(D920)),NOT(ISNUMBER(E920))),"HATA: tarih geçersiz",IF(E920&lt;=D920,"HATA: çıkış girişten sonra olmalı",IF(OR(NOT(ISNUMBER(C920)),C920&lt;1,C920&gt;MaxKisi,C920&lt;&gt;INT(C920)),"HATA: kişi sayısı geçersiz",IF(OR(NOT(ISNUMBER(G920)),G920&lt;0),"HATA: tutar geçersiz",IF(B920&lt;&gt;TRIM(B920),"HATA: isimde baştaki/sondaki boşluk",IF(COUNTIF(KaynakAralik,H920)=0,"HATA: kaynak listede yok",IF(AND(F920&lt;&gt;"Bekleniyor",F920&lt;&gt;"Geldi",F920&lt;&gt;"İptal"),"HATA: giriş durumu geçersiz",IF(AND(F920&lt;&gt;"İptal",COUNTIFS($A$6:$A$1005,A920,$D$6:$D$1005,"&lt;"&amp;E920,$E$6:$E$1005,"&gt;"&amp;D920,$F$6:$F$1005,"&lt;&gt;İptal")&gt;1),"HATA: oda bu tarihlerde çakışıyor",IF(AND(F920="Bekleniyor",D920&lt;RaporTarihi),"HATA: giriş günü geçti, Geldi veya İptal yapın","OK"))))))))))))</f>
        <v/>
      </c>
      <c r="L920" s="25">
        <f>IF(AND(ISNUMBER(A920),F920&lt;&gt;"İptal",ISNUMBER(D920),ISNUMBER(E920),D920&lt;=RaporTarihi,E920&gt;RaporTarihi),A920,"")</f>
        <v/>
      </c>
    </row>
    <row r="921">
      <c r="A921" s="22" t="n"/>
      <c r="B921" s="22" t="n"/>
      <c r="C921" s="22" t="n"/>
      <c r="D921" s="23" t="n"/>
      <c r="E921" s="23" t="n"/>
      <c r="F921" s="22" t="n"/>
      <c r="G921" s="24" t="n"/>
      <c r="H921" s="22" t="n"/>
      <c r="I921" s="25">
        <f>IF(AND(ISNUMBER(D921),ISNUMBER(E921)),E921-D921,"")</f>
        <v/>
      </c>
      <c r="J921" s="26">
        <f>IF(AND(ISNUMBER(I921),ISNUMBER(G921)),IF(I921&gt;0,G921/I921,""),"")</f>
        <v/>
      </c>
      <c r="K921" s="25">
        <f>IF(COUNTA(A921:H921)=0,"",IF(OR(A921="",B921="",C921="",D921="",E921="",F921="",G921="",H921=""),"HATA: eksik bilgi",IF(COUNTIF(OdaListesi,A921)=0,"HATA: geçersiz oda no",IF(OR(NOT(ISNUMBER(D921)),NOT(ISNUMBER(E921))),"HATA: tarih geçersiz",IF(E921&lt;=D921,"HATA: çıkış girişten sonra olmalı",IF(OR(NOT(ISNUMBER(C921)),C921&lt;1,C921&gt;MaxKisi,C921&lt;&gt;INT(C921)),"HATA: kişi sayısı geçersiz",IF(OR(NOT(ISNUMBER(G921)),G921&lt;0),"HATA: tutar geçersiz",IF(B921&lt;&gt;TRIM(B921),"HATA: isimde baştaki/sondaki boşluk",IF(COUNTIF(KaynakAralik,H921)=0,"HATA: kaynak listede yok",IF(AND(F921&lt;&gt;"Bekleniyor",F921&lt;&gt;"Geldi",F921&lt;&gt;"İptal"),"HATA: giriş durumu geçersiz",IF(AND(F921&lt;&gt;"İptal",COUNTIFS($A$6:$A$1005,A921,$D$6:$D$1005,"&lt;"&amp;E921,$E$6:$E$1005,"&gt;"&amp;D921,$F$6:$F$1005,"&lt;&gt;İptal")&gt;1),"HATA: oda bu tarihlerde çakışıyor",IF(AND(F921="Bekleniyor",D921&lt;RaporTarihi),"HATA: giriş günü geçti, Geldi veya İptal yapın","OK"))))))))))))</f>
        <v/>
      </c>
      <c r="L921" s="25">
        <f>IF(AND(ISNUMBER(A921),F921&lt;&gt;"İptal",ISNUMBER(D921),ISNUMBER(E921),D921&lt;=RaporTarihi,E921&gt;RaporTarihi),A921,"")</f>
        <v/>
      </c>
    </row>
    <row r="922">
      <c r="A922" s="22" t="n"/>
      <c r="B922" s="22" t="n"/>
      <c r="C922" s="22" t="n"/>
      <c r="D922" s="23" t="n"/>
      <c r="E922" s="23" t="n"/>
      <c r="F922" s="22" t="n"/>
      <c r="G922" s="24" t="n"/>
      <c r="H922" s="22" t="n"/>
      <c r="I922" s="25">
        <f>IF(AND(ISNUMBER(D922),ISNUMBER(E922)),E922-D922,"")</f>
        <v/>
      </c>
      <c r="J922" s="26">
        <f>IF(AND(ISNUMBER(I922),ISNUMBER(G922)),IF(I922&gt;0,G922/I922,""),"")</f>
        <v/>
      </c>
      <c r="K922" s="25">
        <f>IF(COUNTA(A922:H922)=0,"",IF(OR(A922="",B922="",C922="",D922="",E922="",F922="",G922="",H922=""),"HATA: eksik bilgi",IF(COUNTIF(OdaListesi,A922)=0,"HATA: geçersiz oda no",IF(OR(NOT(ISNUMBER(D922)),NOT(ISNUMBER(E922))),"HATA: tarih geçersiz",IF(E922&lt;=D922,"HATA: çıkış girişten sonra olmalı",IF(OR(NOT(ISNUMBER(C922)),C922&lt;1,C922&gt;MaxKisi,C922&lt;&gt;INT(C922)),"HATA: kişi sayısı geçersiz",IF(OR(NOT(ISNUMBER(G922)),G922&lt;0),"HATA: tutar geçersiz",IF(B922&lt;&gt;TRIM(B922),"HATA: isimde baştaki/sondaki boşluk",IF(COUNTIF(KaynakAralik,H922)=0,"HATA: kaynak listede yok",IF(AND(F922&lt;&gt;"Bekleniyor",F922&lt;&gt;"Geldi",F922&lt;&gt;"İptal"),"HATA: giriş durumu geçersiz",IF(AND(F922&lt;&gt;"İptal",COUNTIFS($A$6:$A$1005,A922,$D$6:$D$1005,"&lt;"&amp;E922,$E$6:$E$1005,"&gt;"&amp;D922,$F$6:$F$1005,"&lt;&gt;İptal")&gt;1),"HATA: oda bu tarihlerde çakışıyor",IF(AND(F922="Bekleniyor",D922&lt;RaporTarihi),"HATA: giriş günü geçti, Geldi veya İptal yapın","OK"))))))))))))</f>
        <v/>
      </c>
      <c r="L922" s="25">
        <f>IF(AND(ISNUMBER(A922),F922&lt;&gt;"İptal",ISNUMBER(D922),ISNUMBER(E922),D922&lt;=RaporTarihi,E922&gt;RaporTarihi),A922,"")</f>
        <v/>
      </c>
    </row>
    <row r="923">
      <c r="A923" s="22" t="n"/>
      <c r="B923" s="22" t="n"/>
      <c r="C923" s="22" t="n"/>
      <c r="D923" s="23" t="n"/>
      <c r="E923" s="23" t="n"/>
      <c r="F923" s="22" t="n"/>
      <c r="G923" s="24" t="n"/>
      <c r="H923" s="22" t="n"/>
      <c r="I923" s="25">
        <f>IF(AND(ISNUMBER(D923),ISNUMBER(E923)),E923-D923,"")</f>
        <v/>
      </c>
      <c r="J923" s="26">
        <f>IF(AND(ISNUMBER(I923),ISNUMBER(G923)),IF(I923&gt;0,G923/I923,""),"")</f>
        <v/>
      </c>
      <c r="K923" s="25">
        <f>IF(COUNTA(A923:H923)=0,"",IF(OR(A923="",B923="",C923="",D923="",E923="",F923="",G923="",H923=""),"HATA: eksik bilgi",IF(COUNTIF(OdaListesi,A923)=0,"HATA: geçersiz oda no",IF(OR(NOT(ISNUMBER(D923)),NOT(ISNUMBER(E923))),"HATA: tarih geçersiz",IF(E923&lt;=D923,"HATA: çıkış girişten sonra olmalı",IF(OR(NOT(ISNUMBER(C923)),C923&lt;1,C923&gt;MaxKisi,C923&lt;&gt;INT(C923)),"HATA: kişi sayısı geçersiz",IF(OR(NOT(ISNUMBER(G923)),G923&lt;0),"HATA: tutar geçersiz",IF(B923&lt;&gt;TRIM(B923),"HATA: isimde baştaki/sondaki boşluk",IF(COUNTIF(KaynakAralik,H923)=0,"HATA: kaynak listede yok",IF(AND(F923&lt;&gt;"Bekleniyor",F923&lt;&gt;"Geldi",F923&lt;&gt;"İptal"),"HATA: giriş durumu geçersiz",IF(AND(F923&lt;&gt;"İptal",COUNTIFS($A$6:$A$1005,A923,$D$6:$D$1005,"&lt;"&amp;E923,$E$6:$E$1005,"&gt;"&amp;D923,$F$6:$F$1005,"&lt;&gt;İptal")&gt;1),"HATA: oda bu tarihlerde çakışıyor",IF(AND(F923="Bekleniyor",D923&lt;RaporTarihi),"HATA: giriş günü geçti, Geldi veya İptal yapın","OK"))))))))))))</f>
        <v/>
      </c>
      <c r="L923" s="25">
        <f>IF(AND(ISNUMBER(A923),F923&lt;&gt;"İptal",ISNUMBER(D923),ISNUMBER(E923),D923&lt;=RaporTarihi,E923&gt;RaporTarihi),A923,"")</f>
        <v/>
      </c>
    </row>
    <row r="924">
      <c r="A924" s="22" t="n"/>
      <c r="B924" s="22" t="n"/>
      <c r="C924" s="22" t="n"/>
      <c r="D924" s="23" t="n"/>
      <c r="E924" s="23" t="n"/>
      <c r="F924" s="22" t="n"/>
      <c r="G924" s="24" t="n"/>
      <c r="H924" s="22" t="n"/>
      <c r="I924" s="25">
        <f>IF(AND(ISNUMBER(D924),ISNUMBER(E924)),E924-D924,"")</f>
        <v/>
      </c>
      <c r="J924" s="26">
        <f>IF(AND(ISNUMBER(I924),ISNUMBER(G924)),IF(I924&gt;0,G924/I924,""),"")</f>
        <v/>
      </c>
      <c r="K924" s="25">
        <f>IF(COUNTA(A924:H924)=0,"",IF(OR(A924="",B924="",C924="",D924="",E924="",F924="",G924="",H924=""),"HATA: eksik bilgi",IF(COUNTIF(OdaListesi,A924)=0,"HATA: geçersiz oda no",IF(OR(NOT(ISNUMBER(D924)),NOT(ISNUMBER(E924))),"HATA: tarih geçersiz",IF(E924&lt;=D924,"HATA: çıkış girişten sonra olmalı",IF(OR(NOT(ISNUMBER(C924)),C924&lt;1,C924&gt;MaxKisi,C924&lt;&gt;INT(C924)),"HATA: kişi sayısı geçersiz",IF(OR(NOT(ISNUMBER(G924)),G924&lt;0),"HATA: tutar geçersiz",IF(B924&lt;&gt;TRIM(B924),"HATA: isimde baştaki/sondaki boşluk",IF(COUNTIF(KaynakAralik,H924)=0,"HATA: kaynak listede yok",IF(AND(F924&lt;&gt;"Bekleniyor",F924&lt;&gt;"Geldi",F924&lt;&gt;"İptal"),"HATA: giriş durumu geçersiz",IF(AND(F924&lt;&gt;"İptal",COUNTIFS($A$6:$A$1005,A924,$D$6:$D$1005,"&lt;"&amp;E924,$E$6:$E$1005,"&gt;"&amp;D924,$F$6:$F$1005,"&lt;&gt;İptal")&gt;1),"HATA: oda bu tarihlerde çakışıyor",IF(AND(F924="Bekleniyor",D924&lt;RaporTarihi),"HATA: giriş günü geçti, Geldi veya İptal yapın","OK"))))))))))))</f>
        <v/>
      </c>
      <c r="L924" s="25">
        <f>IF(AND(ISNUMBER(A924),F924&lt;&gt;"İptal",ISNUMBER(D924),ISNUMBER(E924),D924&lt;=RaporTarihi,E924&gt;RaporTarihi),A924,"")</f>
        <v/>
      </c>
    </row>
    <row r="925">
      <c r="A925" s="22" t="n"/>
      <c r="B925" s="22" t="n"/>
      <c r="C925" s="22" t="n"/>
      <c r="D925" s="23" t="n"/>
      <c r="E925" s="23" t="n"/>
      <c r="F925" s="22" t="n"/>
      <c r="G925" s="24" t="n"/>
      <c r="H925" s="22" t="n"/>
      <c r="I925" s="25">
        <f>IF(AND(ISNUMBER(D925),ISNUMBER(E925)),E925-D925,"")</f>
        <v/>
      </c>
      <c r="J925" s="26">
        <f>IF(AND(ISNUMBER(I925),ISNUMBER(G925)),IF(I925&gt;0,G925/I925,""),"")</f>
        <v/>
      </c>
      <c r="K925" s="25">
        <f>IF(COUNTA(A925:H925)=0,"",IF(OR(A925="",B925="",C925="",D925="",E925="",F925="",G925="",H925=""),"HATA: eksik bilgi",IF(COUNTIF(OdaListesi,A925)=0,"HATA: geçersiz oda no",IF(OR(NOT(ISNUMBER(D925)),NOT(ISNUMBER(E925))),"HATA: tarih geçersiz",IF(E925&lt;=D925,"HATA: çıkış girişten sonra olmalı",IF(OR(NOT(ISNUMBER(C925)),C925&lt;1,C925&gt;MaxKisi,C925&lt;&gt;INT(C925)),"HATA: kişi sayısı geçersiz",IF(OR(NOT(ISNUMBER(G925)),G925&lt;0),"HATA: tutar geçersiz",IF(B925&lt;&gt;TRIM(B925),"HATA: isimde baştaki/sondaki boşluk",IF(COUNTIF(KaynakAralik,H925)=0,"HATA: kaynak listede yok",IF(AND(F925&lt;&gt;"Bekleniyor",F925&lt;&gt;"Geldi",F925&lt;&gt;"İptal"),"HATA: giriş durumu geçersiz",IF(AND(F925&lt;&gt;"İptal",COUNTIFS($A$6:$A$1005,A925,$D$6:$D$1005,"&lt;"&amp;E925,$E$6:$E$1005,"&gt;"&amp;D925,$F$6:$F$1005,"&lt;&gt;İptal")&gt;1),"HATA: oda bu tarihlerde çakışıyor",IF(AND(F925="Bekleniyor",D925&lt;RaporTarihi),"HATA: giriş günü geçti, Geldi veya İptal yapın","OK"))))))))))))</f>
        <v/>
      </c>
      <c r="L925" s="25">
        <f>IF(AND(ISNUMBER(A925),F925&lt;&gt;"İptal",ISNUMBER(D925),ISNUMBER(E925),D925&lt;=RaporTarihi,E925&gt;RaporTarihi),A925,"")</f>
        <v/>
      </c>
    </row>
    <row r="926">
      <c r="A926" s="22" t="n"/>
      <c r="B926" s="22" t="n"/>
      <c r="C926" s="22" t="n"/>
      <c r="D926" s="23" t="n"/>
      <c r="E926" s="23" t="n"/>
      <c r="F926" s="22" t="n"/>
      <c r="G926" s="24" t="n"/>
      <c r="H926" s="22" t="n"/>
      <c r="I926" s="25">
        <f>IF(AND(ISNUMBER(D926),ISNUMBER(E926)),E926-D926,"")</f>
        <v/>
      </c>
      <c r="J926" s="26">
        <f>IF(AND(ISNUMBER(I926),ISNUMBER(G926)),IF(I926&gt;0,G926/I926,""),"")</f>
        <v/>
      </c>
      <c r="K926" s="25">
        <f>IF(COUNTA(A926:H926)=0,"",IF(OR(A926="",B926="",C926="",D926="",E926="",F926="",G926="",H926=""),"HATA: eksik bilgi",IF(COUNTIF(OdaListesi,A926)=0,"HATA: geçersiz oda no",IF(OR(NOT(ISNUMBER(D926)),NOT(ISNUMBER(E926))),"HATA: tarih geçersiz",IF(E926&lt;=D926,"HATA: çıkış girişten sonra olmalı",IF(OR(NOT(ISNUMBER(C926)),C926&lt;1,C926&gt;MaxKisi,C926&lt;&gt;INT(C926)),"HATA: kişi sayısı geçersiz",IF(OR(NOT(ISNUMBER(G926)),G926&lt;0),"HATA: tutar geçersiz",IF(B926&lt;&gt;TRIM(B926),"HATA: isimde baştaki/sondaki boşluk",IF(COUNTIF(KaynakAralik,H926)=0,"HATA: kaynak listede yok",IF(AND(F926&lt;&gt;"Bekleniyor",F926&lt;&gt;"Geldi",F926&lt;&gt;"İptal"),"HATA: giriş durumu geçersiz",IF(AND(F926&lt;&gt;"İptal",COUNTIFS($A$6:$A$1005,A926,$D$6:$D$1005,"&lt;"&amp;E926,$E$6:$E$1005,"&gt;"&amp;D926,$F$6:$F$1005,"&lt;&gt;İptal")&gt;1),"HATA: oda bu tarihlerde çakışıyor",IF(AND(F926="Bekleniyor",D926&lt;RaporTarihi),"HATA: giriş günü geçti, Geldi veya İptal yapın","OK"))))))))))))</f>
        <v/>
      </c>
      <c r="L926" s="25">
        <f>IF(AND(ISNUMBER(A926),F926&lt;&gt;"İptal",ISNUMBER(D926),ISNUMBER(E926),D926&lt;=RaporTarihi,E926&gt;RaporTarihi),A926,"")</f>
        <v/>
      </c>
    </row>
    <row r="927">
      <c r="A927" s="22" t="n"/>
      <c r="B927" s="22" t="n"/>
      <c r="C927" s="22" t="n"/>
      <c r="D927" s="23" t="n"/>
      <c r="E927" s="23" t="n"/>
      <c r="F927" s="22" t="n"/>
      <c r="G927" s="24" t="n"/>
      <c r="H927" s="22" t="n"/>
      <c r="I927" s="25">
        <f>IF(AND(ISNUMBER(D927),ISNUMBER(E927)),E927-D927,"")</f>
        <v/>
      </c>
      <c r="J927" s="26">
        <f>IF(AND(ISNUMBER(I927),ISNUMBER(G927)),IF(I927&gt;0,G927/I927,""),"")</f>
        <v/>
      </c>
      <c r="K927" s="25">
        <f>IF(COUNTA(A927:H927)=0,"",IF(OR(A927="",B927="",C927="",D927="",E927="",F927="",G927="",H927=""),"HATA: eksik bilgi",IF(COUNTIF(OdaListesi,A927)=0,"HATA: geçersiz oda no",IF(OR(NOT(ISNUMBER(D927)),NOT(ISNUMBER(E927))),"HATA: tarih geçersiz",IF(E927&lt;=D927,"HATA: çıkış girişten sonra olmalı",IF(OR(NOT(ISNUMBER(C927)),C927&lt;1,C927&gt;MaxKisi,C927&lt;&gt;INT(C927)),"HATA: kişi sayısı geçersiz",IF(OR(NOT(ISNUMBER(G927)),G927&lt;0),"HATA: tutar geçersiz",IF(B927&lt;&gt;TRIM(B927),"HATA: isimde baştaki/sondaki boşluk",IF(COUNTIF(KaynakAralik,H927)=0,"HATA: kaynak listede yok",IF(AND(F927&lt;&gt;"Bekleniyor",F927&lt;&gt;"Geldi",F927&lt;&gt;"İptal"),"HATA: giriş durumu geçersiz",IF(AND(F927&lt;&gt;"İptal",COUNTIFS($A$6:$A$1005,A927,$D$6:$D$1005,"&lt;"&amp;E927,$E$6:$E$1005,"&gt;"&amp;D927,$F$6:$F$1005,"&lt;&gt;İptal")&gt;1),"HATA: oda bu tarihlerde çakışıyor",IF(AND(F927="Bekleniyor",D927&lt;RaporTarihi),"HATA: giriş günü geçti, Geldi veya İptal yapın","OK"))))))))))))</f>
        <v/>
      </c>
      <c r="L927" s="25">
        <f>IF(AND(ISNUMBER(A927),F927&lt;&gt;"İptal",ISNUMBER(D927),ISNUMBER(E927),D927&lt;=RaporTarihi,E927&gt;RaporTarihi),A927,"")</f>
        <v/>
      </c>
    </row>
    <row r="928">
      <c r="A928" s="22" t="n"/>
      <c r="B928" s="22" t="n"/>
      <c r="C928" s="22" t="n"/>
      <c r="D928" s="23" t="n"/>
      <c r="E928" s="23" t="n"/>
      <c r="F928" s="22" t="n"/>
      <c r="G928" s="24" t="n"/>
      <c r="H928" s="22" t="n"/>
      <c r="I928" s="25">
        <f>IF(AND(ISNUMBER(D928),ISNUMBER(E928)),E928-D928,"")</f>
        <v/>
      </c>
      <c r="J928" s="26">
        <f>IF(AND(ISNUMBER(I928),ISNUMBER(G928)),IF(I928&gt;0,G928/I928,""),"")</f>
        <v/>
      </c>
      <c r="K928" s="25">
        <f>IF(COUNTA(A928:H928)=0,"",IF(OR(A928="",B928="",C928="",D928="",E928="",F928="",G928="",H928=""),"HATA: eksik bilgi",IF(COUNTIF(OdaListesi,A928)=0,"HATA: geçersiz oda no",IF(OR(NOT(ISNUMBER(D928)),NOT(ISNUMBER(E928))),"HATA: tarih geçersiz",IF(E928&lt;=D928,"HATA: çıkış girişten sonra olmalı",IF(OR(NOT(ISNUMBER(C928)),C928&lt;1,C928&gt;MaxKisi,C928&lt;&gt;INT(C928)),"HATA: kişi sayısı geçersiz",IF(OR(NOT(ISNUMBER(G928)),G928&lt;0),"HATA: tutar geçersiz",IF(B928&lt;&gt;TRIM(B928),"HATA: isimde baştaki/sondaki boşluk",IF(COUNTIF(KaynakAralik,H928)=0,"HATA: kaynak listede yok",IF(AND(F928&lt;&gt;"Bekleniyor",F928&lt;&gt;"Geldi",F928&lt;&gt;"İptal"),"HATA: giriş durumu geçersiz",IF(AND(F928&lt;&gt;"İptal",COUNTIFS($A$6:$A$1005,A928,$D$6:$D$1005,"&lt;"&amp;E928,$E$6:$E$1005,"&gt;"&amp;D928,$F$6:$F$1005,"&lt;&gt;İptal")&gt;1),"HATA: oda bu tarihlerde çakışıyor",IF(AND(F928="Bekleniyor",D928&lt;RaporTarihi),"HATA: giriş günü geçti, Geldi veya İptal yapın","OK"))))))))))))</f>
        <v/>
      </c>
      <c r="L928" s="25">
        <f>IF(AND(ISNUMBER(A928),F928&lt;&gt;"İptal",ISNUMBER(D928),ISNUMBER(E928),D928&lt;=RaporTarihi,E928&gt;RaporTarihi),A928,"")</f>
        <v/>
      </c>
    </row>
    <row r="929">
      <c r="A929" s="22" t="n"/>
      <c r="B929" s="22" t="n"/>
      <c r="C929" s="22" t="n"/>
      <c r="D929" s="23" t="n"/>
      <c r="E929" s="23" t="n"/>
      <c r="F929" s="22" t="n"/>
      <c r="G929" s="24" t="n"/>
      <c r="H929" s="22" t="n"/>
      <c r="I929" s="25">
        <f>IF(AND(ISNUMBER(D929),ISNUMBER(E929)),E929-D929,"")</f>
        <v/>
      </c>
      <c r="J929" s="26">
        <f>IF(AND(ISNUMBER(I929),ISNUMBER(G929)),IF(I929&gt;0,G929/I929,""),"")</f>
        <v/>
      </c>
      <c r="K929" s="25">
        <f>IF(COUNTA(A929:H929)=0,"",IF(OR(A929="",B929="",C929="",D929="",E929="",F929="",G929="",H929=""),"HATA: eksik bilgi",IF(COUNTIF(OdaListesi,A929)=0,"HATA: geçersiz oda no",IF(OR(NOT(ISNUMBER(D929)),NOT(ISNUMBER(E929))),"HATA: tarih geçersiz",IF(E929&lt;=D929,"HATA: çıkış girişten sonra olmalı",IF(OR(NOT(ISNUMBER(C929)),C929&lt;1,C929&gt;MaxKisi,C929&lt;&gt;INT(C929)),"HATA: kişi sayısı geçersiz",IF(OR(NOT(ISNUMBER(G929)),G929&lt;0),"HATA: tutar geçersiz",IF(B929&lt;&gt;TRIM(B929),"HATA: isimde baştaki/sondaki boşluk",IF(COUNTIF(KaynakAralik,H929)=0,"HATA: kaynak listede yok",IF(AND(F929&lt;&gt;"Bekleniyor",F929&lt;&gt;"Geldi",F929&lt;&gt;"İptal"),"HATA: giriş durumu geçersiz",IF(AND(F929&lt;&gt;"İptal",COUNTIFS($A$6:$A$1005,A929,$D$6:$D$1005,"&lt;"&amp;E929,$E$6:$E$1005,"&gt;"&amp;D929,$F$6:$F$1005,"&lt;&gt;İptal")&gt;1),"HATA: oda bu tarihlerde çakışıyor",IF(AND(F929="Bekleniyor",D929&lt;RaporTarihi),"HATA: giriş günü geçti, Geldi veya İptal yapın","OK"))))))))))))</f>
        <v/>
      </c>
      <c r="L929" s="25">
        <f>IF(AND(ISNUMBER(A929),F929&lt;&gt;"İptal",ISNUMBER(D929),ISNUMBER(E929),D929&lt;=RaporTarihi,E929&gt;RaporTarihi),A929,"")</f>
        <v/>
      </c>
    </row>
    <row r="930">
      <c r="A930" s="22" t="n"/>
      <c r="B930" s="22" t="n"/>
      <c r="C930" s="22" t="n"/>
      <c r="D930" s="23" t="n"/>
      <c r="E930" s="23" t="n"/>
      <c r="F930" s="22" t="n"/>
      <c r="G930" s="24" t="n"/>
      <c r="H930" s="22" t="n"/>
      <c r="I930" s="25">
        <f>IF(AND(ISNUMBER(D930),ISNUMBER(E930)),E930-D930,"")</f>
        <v/>
      </c>
      <c r="J930" s="26">
        <f>IF(AND(ISNUMBER(I930),ISNUMBER(G930)),IF(I930&gt;0,G930/I930,""),"")</f>
        <v/>
      </c>
      <c r="K930" s="25">
        <f>IF(COUNTA(A930:H930)=0,"",IF(OR(A930="",B930="",C930="",D930="",E930="",F930="",G930="",H930=""),"HATA: eksik bilgi",IF(COUNTIF(OdaListesi,A930)=0,"HATA: geçersiz oda no",IF(OR(NOT(ISNUMBER(D930)),NOT(ISNUMBER(E930))),"HATA: tarih geçersiz",IF(E930&lt;=D930,"HATA: çıkış girişten sonra olmalı",IF(OR(NOT(ISNUMBER(C930)),C930&lt;1,C930&gt;MaxKisi,C930&lt;&gt;INT(C930)),"HATA: kişi sayısı geçersiz",IF(OR(NOT(ISNUMBER(G930)),G930&lt;0),"HATA: tutar geçersiz",IF(B930&lt;&gt;TRIM(B930),"HATA: isimde baştaki/sondaki boşluk",IF(COUNTIF(KaynakAralik,H930)=0,"HATA: kaynak listede yok",IF(AND(F930&lt;&gt;"Bekleniyor",F930&lt;&gt;"Geldi",F930&lt;&gt;"İptal"),"HATA: giriş durumu geçersiz",IF(AND(F930&lt;&gt;"İptal",COUNTIFS($A$6:$A$1005,A930,$D$6:$D$1005,"&lt;"&amp;E930,$E$6:$E$1005,"&gt;"&amp;D930,$F$6:$F$1005,"&lt;&gt;İptal")&gt;1),"HATA: oda bu tarihlerde çakışıyor",IF(AND(F930="Bekleniyor",D930&lt;RaporTarihi),"HATA: giriş günü geçti, Geldi veya İptal yapın","OK"))))))))))))</f>
        <v/>
      </c>
      <c r="L930" s="25">
        <f>IF(AND(ISNUMBER(A930),F930&lt;&gt;"İptal",ISNUMBER(D930),ISNUMBER(E930),D930&lt;=RaporTarihi,E930&gt;RaporTarihi),A930,"")</f>
        <v/>
      </c>
    </row>
    <row r="931">
      <c r="A931" s="22" t="n"/>
      <c r="B931" s="22" t="n"/>
      <c r="C931" s="22" t="n"/>
      <c r="D931" s="23" t="n"/>
      <c r="E931" s="23" t="n"/>
      <c r="F931" s="22" t="n"/>
      <c r="G931" s="24" t="n"/>
      <c r="H931" s="22" t="n"/>
      <c r="I931" s="25">
        <f>IF(AND(ISNUMBER(D931),ISNUMBER(E931)),E931-D931,"")</f>
        <v/>
      </c>
      <c r="J931" s="26">
        <f>IF(AND(ISNUMBER(I931),ISNUMBER(G931)),IF(I931&gt;0,G931/I931,""),"")</f>
        <v/>
      </c>
      <c r="K931" s="25">
        <f>IF(COUNTA(A931:H931)=0,"",IF(OR(A931="",B931="",C931="",D931="",E931="",F931="",G931="",H931=""),"HATA: eksik bilgi",IF(COUNTIF(OdaListesi,A931)=0,"HATA: geçersiz oda no",IF(OR(NOT(ISNUMBER(D931)),NOT(ISNUMBER(E931))),"HATA: tarih geçersiz",IF(E931&lt;=D931,"HATA: çıkış girişten sonra olmalı",IF(OR(NOT(ISNUMBER(C931)),C931&lt;1,C931&gt;MaxKisi,C931&lt;&gt;INT(C931)),"HATA: kişi sayısı geçersiz",IF(OR(NOT(ISNUMBER(G931)),G931&lt;0),"HATA: tutar geçersiz",IF(B931&lt;&gt;TRIM(B931),"HATA: isimde baştaki/sondaki boşluk",IF(COUNTIF(KaynakAralik,H931)=0,"HATA: kaynak listede yok",IF(AND(F931&lt;&gt;"Bekleniyor",F931&lt;&gt;"Geldi",F931&lt;&gt;"İptal"),"HATA: giriş durumu geçersiz",IF(AND(F931&lt;&gt;"İptal",COUNTIFS($A$6:$A$1005,A931,$D$6:$D$1005,"&lt;"&amp;E931,$E$6:$E$1005,"&gt;"&amp;D931,$F$6:$F$1005,"&lt;&gt;İptal")&gt;1),"HATA: oda bu tarihlerde çakışıyor",IF(AND(F931="Bekleniyor",D931&lt;RaporTarihi),"HATA: giriş günü geçti, Geldi veya İptal yapın","OK"))))))))))))</f>
        <v/>
      </c>
      <c r="L931" s="25">
        <f>IF(AND(ISNUMBER(A931),F931&lt;&gt;"İptal",ISNUMBER(D931),ISNUMBER(E931),D931&lt;=RaporTarihi,E931&gt;RaporTarihi),A931,"")</f>
        <v/>
      </c>
    </row>
    <row r="932">
      <c r="A932" s="22" t="n"/>
      <c r="B932" s="22" t="n"/>
      <c r="C932" s="22" t="n"/>
      <c r="D932" s="23" t="n"/>
      <c r="E932" s="23" t="n"/>
      <c r="F932" s="22" t="n"/>
      <c r="G932" s="24" t="n"/>
      <c r="H932" s="22" t="n"/>
      <c r="I932" s="25">
        <f>IF(AND(ISNUMBER(D932),ISNUMBER(E932)),E932-D932,"")</f>
        <v/>
      </c>
      <c r="J932" s="26">
        <f>IF(AND(ISNUMBER(I932),ISNUMBER(G932)),IF(I932&gt;0,G932/I932,""),"")</f>
        <v/>
      </c>
      <c r="K932" s="25">
        <f>IF(COUNTA(A932:H932)=0,"",IF(OR(A932="",B932="",C932="",D932="",E932="",F932="",G932="",H932=""),"HATA: eksik bilgi",IF(COUNTIF(OdaListesi,A932)=0,"HATA: geçersiz oda no",IF(OR(NOT(ISNUMBER(D932)),NOT(ISNUMBER(E932))),"HATA: tarih geçersiz",IF(E932&lt;=D932,"HATA: çıkış girişten sonra olmalı",IF(OR(NOT(ISNUMBER(C932)),C932&lt;1,C932&gt;MaxKisi,C932&lt;&gt;INT(C932)),"HATA: kişi sayısı geçersiz",IF(OR(NOT(ISNUMBER(G932)),G932&lt;0),"HATA: tutar geçersiz",IF(B932&lt;&gt;TRIM(B932),"HATA: isimde baştaki/sondaki boşluk",IF(COUNTIF(KaynakAralik,H932)=0,"HATA: kaynak listede yok",IF(AND(F932&lt;&gt;"Bekleniyor",F932&lt;&gt;"Geldi",F932&lt;&gt;"İptal"),"HATA: giriş durumu geçersiz",IF(AND(F932&lt;&gt;"İptal",COUNTIFS($A$6:$A$1005,A932,$D$6:$D$1005,"&lt;"&amp;E932,$E$6:$E$1005,"&gt;"&amp;D932,$F$6:$F$1005,"&lt;&gt;İptal")&gt;1),"HATA: oda bu tarihlerde çakışıyor",IF(AND(F932="Bekleniyor",D932&lt;RaporTarihi),"HATA: giriş günü geçti, Geldi veya İptal yapın","OK"))))))))))))</f>
        <v/>
      </c>
      <c r="L932" s="25">
        <f>IF(AND(ISNUMBER(A932),F932&lt;&gt;"İptal",ISNUMBER(D932),ISNUMBER(E932),D932&lt;=RaporTarihi,E932&gt;RaporTarihi),A932,"")</f>
        <v/>
      </c>
    </row>
    <row r="933">
      <c r="A933" s="22" t="n"/>
      <c r="B933" s="22" t="n"/>
      <c r="C933" s="22" t="n"/>
      <c r="D933" s="23" t="n"/>
      <c r="E933" s="23" t="n"/>
      <c r="F933" s="22" t="n"/>
      <c r="G933" s="24" t="n"/>
      <c r="H933" s="22" t="n"/>
      <c r="I933" s="25">
        <f>IF(AND(ISNUMBER(D933),ISNUMBER(E933)),E933-D933,"")</f>
        <v/>
      </c>
      <c r="J933" s="26">
        <f>IF(AND(ISNUMBER(I933),ISNUMBER(G933)),IF(I933&gt;0,G933/I933,""),"")</f>
        <v/>
      </c>
      <c r="K933" s="25">
        <f>IF(COUNTA(A933:H933)=0,"",IF(OR(A933="",B933="",C933="",D933="",E933="",F933="",G933="",H933=""),"HATA: eksik bilgi",IF(COUNTIF(OdaListesi,A933)=0,"HATA: geçersiz oda no",IF(OR(NOT(ISNUMBER(D933)),NOT(ISNUMBER(E933))),"HATA: tarih geçersiz",IF(E933&lt;=D933,"HATA: çıkış girişten sonra olmalı",IF(OR(NOT(ISNUMBER(C933)),C933&lt;1,C933&gt;MaxKisi,C933&lt;&gt;INT(C933)),"HATA: kişi sayısı geçersiz",IF(OR(NOT(ISNUMBER(G933)),G933&lt;0),"HATA: tutar geçersiz",IF(B933&lt;&gt;TRIM(B933),"HATA: isimde baştaki/sondaki boşluk",IF(COUNTIF(KaynakAralik,H933)=0,"HATA: kaynak listede yok",IF(AND(F933&lt;&gt;"Bekleniyor",F933&lt;&gt;"Geldi",F933&lt;&gt;"İptal"),"HATA: giriş durumu geçersiz",IF(AND(F933&lt;&gt;"İptal",COUNTIFS($A$6:$A$1005,A933,$D$6:$D$1005,"&lt;"&amp;E933,$E$6:$E$1005,"&gt;"&amp;D933,$F$6:$F$1005,"&lt;&gt;İptal")&gt;1),"HATA: oda bu tarihlerde çakışıyor",IF(AND(F933="Bekleniyor",D933&lt;RaporTarihi),"HATA: giriş günü geçti, Geldi veya İptal yapın","OK"))))))))))))</f>
        <v/>
      </c>
      <c r="L933" s="25">
        <f>IF(AND(ISNUMBER(A933),F933&lt;&gt;"İptal",ISNUMBER(D933),ISNUMBER(E933),D933&lt;=RaporTarihi,E933&gt;RaporTarihi),A933,"")</f>
        <v/>
      </c>
    </row>
    <row r="934">
      <c r="A934" s="22" t="n"/>
      <c r="B934" s="22" t="n"/>
      <c r="C934" s="22" t="n"/>
      <c r="D934" s="23" t="n"/>
      <c r="E934" s="23" t="n"/>
      <c r="F934" s="22" t="n"/>
      <c r="G934" s="24" t="n"/>
      <c r="H934" s="22" t="n"/>
      <c r="I934" s="25">
        <f>IF(AND(ISNUMBER(D934),ISNUMBER(E934)),E934-D934,"")</f>
        <v/>
      </c>
      <c r="J934" s="26">
        <f>IF(AND(ISNUMBER(I934),ISNUMBER(G934)),IF(I934&gt;0,G934/I934,""),"")</f>
        <v/>
      </c>
      <c r="K934" s="25">
        <f>IF(COUNTA(A934:H934)=0,"",IF(OR(A934="",B934="",C934="",D934="",E934="",F934="",G934="",H934=""),"HATA: eksik bilgi",IF(COUNTIF(OdaListesi,A934)=0,"HATA: geçersiz oda no",IF(OR(NOT(ISNUMBER(D934)),NOT(ISNUMBER(E934))),"HATA: tarih geçersiz",IF(E934&lt;=D934,"HATA: çıkış girişten sonra olmalı",IF(OR(NOT(ISNUMBER(C934)),C934&lt;1,C934&gt;MaxKisi,C934&lt;&gt;INT(C934)),"HATA: kişi sayısı geçersiz",IF(OR(NOT(ISNUMBER(G934)),G934&lt;0),"HATA: tutar geçersiz",IF(B934&lt;&gt;TRIM(B934),"HATA: isimde baştaki/sondaki boşluk",IF(COUNTIF(KaynakAralik,H934)=0,"HATA: kaynak listede yok",IF(AND(F934&lt;&gt;"Bekleniyor",F934&lt;&gt;"Geldi",F934&lt;&gt;"İptal"),"HATA: giriş durumu geçersiz",IF(AND(F934&lt;&gt;"İptal",COUNTIFS($A$6:$A$1005,A934,$D$6:$D$1005,"&lt;"&amp;E934,$E$6:$E$1005,"&gt;"&amp;D934,$F$6:$F$1005,"&lt;&gt;İptal")&gt;1),"HATA: oda bu tarihlerde çakışıyor",IF(AND(F934="Bekleniyor",D934&lt;RaporTarihi),"HATA: giriş günü geçti, Geldi veya İptal yapın","OK"))))))))))))</f>
        <v/>
      </c>
      <c r="L934" s="25">
        <f>IF(AND(ISNUMBER(A934),F934&lt;&gt;"İptal",ISNUMBER(D934),ISNUMBER(E934),D934&lt;=RaporTarihi,E934&gt;RaporTarihi),A934,"")</f>
        <v/>
      </c>
    </row>
    <row r="935">
      <c r="A935" s="22" t="n"/>
      <c r="B935" s="22" t="n"/>
      <c r="C935" s="22" t="n"/>
      <c r="D935" s="23" t="n"/>
      <c r="E935" s="23" t="n"/>
      <c r="F935" s="22" t="n"/>
      <c r="G935" s="24" t="n"/>
      <c r="H935" s="22" t="n"/>
      <c r="I935" s="25">
        <f>IF(AND(ISNUMBER(D935),ISNUMBER(E935)),E935-D935,"")</f>
        <v/>
      </c>
      <c r="J935" s="26">
        <f>IF(AND(ISNUMBER(I935),ISNUMBER(G935)),IF(I935&gt;0,G935/I935,""),"")</f>
        <v/>
      </c>
      <c r="K935" s="25">
        <f>IF(COUNTA(A935:H935)=0,"",IF(OR(A935="",B935="",C935="",D935="",E935="",F935="",G935="",H935=""),"HATA: eksik bilgi",IF(COUNTIF(OdaListesi,A935)=0,"HATA: geçersiz oda no",IF(OR(NOT(ISNUMBER(D935)),NOT(ISNUMBER(E935))),"HATA: tarih geçersiz",IF(E935&lt;=D935,"HATA: çıkış girişten sonra olmalı",IF(OR(NOT(ISNUMBER(C935)),C935&lt;1,C935&gt;MaxKisi,C935&lt;&gt;INT(C935)),"HATA: kişi sayısı geçersiz",IF(OR(NOT(ISNUMBER(G935)),G935&lt;0),"HATA: tutar geçersiz",IF(B935&lt;&gt;TRIM(B935),"HATA: isimde baştaki/sondaki boşluk",IF(COUNTIF(KaynakAralik,H935)=0,"HATA: kaynak listede yok",IF(AND(F935&lt;&gt;"Bekleniyor",F935&lt;&gt;"Geldi",F935&lt;&gt;"İptal"),"HATA: giriş durumu geçersiz",IF(AND(F935&lt;&gt;"İptal",COUNTIFS($A$6:$A$1005,A935,$D$6:$D$1005,"&lt;"&amp;E935,$E$6:$E$1005,"&gt;"&amp;D935,$F$6:$F$1005,"&lt;&gt;İptal")&gt;1),"HATA: oda bu tarihlerde çakışıyor",IF(AND(F935="Bekleniyor",D935&lt;RaporTarihi),"HATA: giriş günü geçti, Geldi veya İptal yapın","OK"))))))))))))</f>
        <v/>
      </c>
      <c r="L935" s="25">
        <f>IF(AND(ISNUMBER(A935),F935&lt;&gt;"İptal",ISNUMBER(D935),ISNUMBER(E935),D935&lt;=RaporTarihi,E935&gt;RaporTarihi),A935,"")</f>
        <v/>
      </c>
    </row>
    <row r="936">
      <c r="A936" s="22" t="n"/>
      <c r="B936" s="22" t="n"/>
      <c r="C936" s="22" t="n"/>
      <c r="D936" s="23" t="n"/>
      <c r="E936" s="23" t="n"/>
      <c r="F936" s="22" t="n"/>
      <c r="G936" s="24" t="n"/>
      <c r="H936" s="22" t="n"/>
      <c r="I936" s="25">
        <f>IF(AND(ISNUMBER(D936),ISNUMBER(E936)),E936-D936,"")</f>
        <v/>
      </c>
      <c r="J936" s="26">
        <f>IF(AND(ISNUMBER(I936),ISNUMBER(G936)),IF(I936&gt;0,G936/I936,""),"")</f>
        <v/>
      </c>
      <c r="K936" s="25">
        <f>IF(COUNTA(A936:H936)=0,"",IF(OR(A936="",B936="",C936="",D936="",E936="",F936="",G936="",H936=""),"HATA: eksik bilgi",IF(COUNTIF(OdaListesi,A936)=0,"HATA: geçersiz oda no",IF(OR(NOT(ISNUMBER(D936)),NOT(ISNUMBER(E936))),"HATA: tarih geçersiz",IF(E936&lt;=D936,"HATA: çıkış girişten sonra olmalı",IF(OR(NOT(ISNUMBER(C936)),C936&lt;1,C936&gt;MaxKisi,C936&lt;&gt;INT(C936)),"HATA: kişi sayısı geçersiz",IF(OR(NOT(ISNUMBER(G936)),G936&lt;0),"HATA: tutar geçersiz",IF(B936&lt;&gt;TRIM(B936),"HATA: isimde baştaki/sondaki boşluk",IF(COUNTIF(KaynakAralik,H936)=0,"HATA: kaynak listede yok",IF(AND(F936&lt;&gt;"Bekleniyor",F936&lt;&gt;"Geldi",F936&lt;&gt;"İptal"),"HATA: giriş durumu geçersiz",IF(AND(F936&lt;&gt;"İptal",COUNTIFS($A$6:$A$1005,A936,$D$6:$D$1005,"&lt;"&amp;E936,$E$6:$E$1005,"&gt;"&amp;D936,$F$6:$F$1005,"&lt;&gt;İptal")&gt;1),"HATA: oda bu tarihlerde çakışıyor",IF(AND(F936="Bekleniyor",D936&lt;RaporTarihi),"HATA: giriş günü geçti, Geldi veya İptal yapın","OK"))))))))))))</f>
        <v/>
      </c>
      <c r="L936" s="25">
        <f>IF(AND(ISNUMBER(A936),F936&lt;&gt;"İptal",ISNUMBER(D936),ISNUMBER(E936),D936&lt;=RaporTarihi,E936&gt;RaporTarihi),A936,"")</f>
        <v/>
      </c>
    </row>
    <row r="937">
      <c r="A937" s="22" t="n"/>
      <c r="B937" s="22" t="n"/>
      <c r="C937" s="22" t="n"/>
      <c r="D937" s="23" t="n"/>
      <c r="E937" s="23" t="n"/>
      <c r="F937" s="22" t="n"/>
      <c r="G937" s="24" t="n"/>
      <c r="H937" s="22" t="n"/>
      <c r="I937" s="25">
        <f>IF(AND(ISNUMBER(D937),ISNUMBER(E937)),E937-D937,"")</f>
        <v/>
      </c>
      <c r="J937" s="26">
        <f>IF(AND(ISNUMBER(I937),ISNUMBER(G937)),IF(I937&gt;0,G937/I937,""),"")</f>
        <v/>
      </c>
      <c r="K937" s="25">
        <f>IF(COUNTA(A937:H937)=0,"",IF(OR(A937="",B937="",C937="",D937="",E937="",F937="",G937="",H937=""),"HATA: eksik bilgi",IF(COUNTIF(OdaListesi,A937)=0,"HATA: geçersiz oda no",IF(OR(NOT(ISNUMBER(D937)),NOT(ISNUMBER(E937))),"HATA: tarih geçersiz",IF(E937&lt;=D937,"HATA: çıkış girişten sonra olmalı",IF(OR(NOT(ISNUMBER(C937)),C937&lt;1,C937&gt;MaxKisi,C937&lt;&gt;INT(C937)),"HATA: kişi sayısı geçersiz",IF(OR(NOT(ISNUMBER(G937)),G937&lt;0),"HATA: tutar geçersiz",IF(B937&lt;&gt;TRIM(B937),"HATA: isimde baştaki/sondaki boşluk",IF(COUNTIF(KaynakAralik,H937)=0,"HATA: kaynak listede yok",IF(AND(F937&lt;&gt;"Bekleniyor",F937&lt;&gt;"Geldi",F937&lt;&gt;"İptal"),"HATA: giriş durumu geçersiz",IF(AND(F937&lt;&gt;"İptal",COUNTIFS($A$6:$A$1005,A937,$D$6:$D$1005,"&lt;"&amp;E937,$E$6:$E$1005,"&gt;"&amp;D937,$F$6:$F$1005,"&lt;&gt;İptal")&gt;1),"HATA: oda bu tarihlerde çakışıyor",IF(AND(F937="Bekleniyor",D937&lt;RaporTarihi),"HATA: giriş günü geçti, Geldi veya İptal yapın","OK"))))))))))))</f>
        <v/>
      </c>
      <c r="L937" s="25">
        <f>IF(AND(ISNUMBER(A937),F937&lt;&gt;"İptal",ISNUMBER(D937),ISNUMBER(E937),D937&lt;=RaporTarihi,E937&gt;RaporTarihi),A937,"")</f>
        <v/>
      </c>
    </row>
    <row r="938">
      <c r="A938" s="22" t="n"/>
      <c r="B938" s="22" t="n"/>
      <c r="C938" s="22" t="n"/>
      <c r="D938" s="23" t="n"/>
      <c r="E938" s="23" t="n"/>
      <c r="F938" s="22" t="n"/>
      <c r="G938" s="24" t="n"/>
      <c r="H938" s="22" t="n"/>
      <c r="I938" s="25">
        <f>IF(AND(ISNUMBER(D938),ISNUMBER(E938)),E938-D938,"")</f>
        <v/>
      </c>
      <c r="J938" s="26">
        <f>IF(AND(ISNUMBER(I938),ISNUMBER(G938)),IF(I938&gt;0,G938/I938,""),"")</f>
        <v/>
      </c>
      <c r="K938" s="25">
        <f>IF(COUNTA(A938:H938)=0,"",IF(OR(A938="",B938="",C938="",D938="",E938="",F938="",G938="",H938=""),"HATA: eksik bilgi",IF(COUNTIF(OdaListesi,A938)=0,"HATA: geçersiz oda no",IF(OR(NOT(ISNUMBER(D938)),NOT(ISNUMBER(E938))),"HATA: tarih geçersiz",IF(E938&lt;=D938,"HATA: çıkış girişten sonra olmalı",IF(OR(NOT(ISNUMBER(C938)),C938&lt;1,C938&gt;MaxKisi,C938&lt;&gt;INT(C938)),"HATA: kişi sayısı geçersiz",IF(OR(NOT(ISNUMBER(G938)),G938&lt;0),"HATA: tutar geçersiz",IF(B938&lt;&gt;TRIM(B938),"HATA: isimde baştaki/sondaki boşluk",IF(COUNTIF(KaynakAralik,H938)=0,"HATA: kaynak listede yok",IF(AND(F938&lt;&gt;"Bekleniyor",F938&lt;&gt;"Geldi",F938&lt;&gt;"İptal"),"HATA: giriş durumu geçersiz",IF(AND(F938&lt;&gt;"İptal",COUNTIFS($A$6:$A$1005,A938,$D$6:$D$1005,"&lt;"&amp;E938,$E$6:$E$1005,"&gt;"&amp;D938,$F$6:$F$1005,"&lt;&gt;İptal")&gt;1),"HATA: oda bu tarihlerde çakışıyor",IF(AND(F938="Bekleniyor",D938&lt;RaporTarihi),"HATA: giriş günü geçti, Geldi veya İptal yapın","OK"))))))))))))</f>
        <v/>
      </c>
      <c r="L938" s="25">
        <f>IF(AND(ISNUMBER(A938),F938&lt;&gt;"İptal",ISNUMBER(D938),ISNUMBER(E938),D938&lt;=RaporTarihi,E938&gt;RaporTarihi),A938,"")</f>
        <v/>
      </c>
    </row>
    <row r="939">
      <c r="A939" s="22" t="n"/>
      <c r="B939" s="22" t="n"/>
      <c r="C939" s="22" t="n"/>
      <c r="D939" s="23" t="n"/>
      <c r="E939" s="23" t="n"/>
      <c r="F939" s="22" t="n"/>
      <c r="G939" s="24" t="n"/>
      <c r="H939" s="22" t="n"/>
      <c r="I939" s="25">
        <f>IF(AND(ISNUMBER(D939),ISNUMBER(E939)),E939-D939,"")</f>
        <v/>
      </c>
      <c r="J939" s="26">
        <f>IF(AND(ISNUMBER(I939),ISNUMBER(G939)),IF(I939&gt;0,G939/I939,""),"")</f>
        <v/>
      </c>
      <c r="K939" s="25">
        <f>IF(COUNTA(A939:H939)=0,"",IF(OR(A939="",B939="",C939="",D939="",E939="",F939="",G939="",H939=""),"HATA: eksik bilgi",IF(COUNTIF(OdaListesi,A939)=0,"HATA: geçersiz oda no",IF(OR(NOT(ISNUMBER(D939)),NOT(ISNUMBER(E939))),"HATA: tarih geçersiz",IF(E939&lt;=D939,"HATA: çıkış girişten sonra olmalı",IF(OR(NOT(ISNUMBER(C939)),C939&lt;1,C939&gt;MaxKisi,C939&lt;&gt;INT(C939)),"HATA: kişi sayısı geçersiz",IF(OR(NOT(ISNUMBER(G939)),G939&lt;0),"HATA: tutar geçersiz",IF(B939&lt;&gt;TRIM(B939),"HATA: isimde baştaki/sondaki boşluk",IF(COUNTIF(KaynakAralik,H939)=0,"HATA: kaynak listede yok",IF(AND(F939&lt;&gt;"Bekleniyor",F939&lt;&gt;"Geldi",F939&lt;&gt;"İptal"),"HATA: giriş durumu geçersiz",IF(AND(F939&lt;&gt;"İptal",COUNTIFS($A$6:$A$1005,A939,$D$6:$D$1005,"&lt;"&amp;E939,$E$6:$E$1005,"&gt;"&amp;D939,$F$6:$F$1005,"&lt;&gt;İptal")&gt;1),"HATA: oda bu tarihlerde çakışıyor",IF(AND(F939="Bekleniyor",D939&lt;RaporTarihi),"HATA: giriş günü geçti, Geldi veya İptal yapın","OK"))))))))))))</f>
        <v/>
      </c>
      <c r="L939" s="25">
        <f>IF(AND(ISNUMBER(A939),F939&lt;&gt;"İptal",ISNUMBER(D939),ISNUMBER(E939),D939&lt;=RaporTarihi,E939&gt;RaporTarihi),A939,"")</f>
        <v/>
      </c>
    </row>
    <row r="940">
      <c r="A940" s="22" t="n"/>
      <c r="B940" s="22" t="n"/>
      <c r="C940" s="22" t="n"/>
      <c r="D940" s="23" t="n"/>
      <c r="E940" s="23" t="n"/>
      <c r="F940" s="22" t="n"/>
      <c r="G940" s="24" t="n"/>
      <c r="H940" s="22" t="n"/>
      <c r="I940" s="25">
        <f>IF(AND(ISNUMBER(D940),ISNUMBER(E940)),E940-D940,"")</f>
        <v/>
      </c>
      <c r="J940" s="26">
        <f>IF(AND(ISNUMBER(I940),ISNUMBER(G940)),IF(I940&gt;0,G940/I940,""),"")</f>
        <v/>
      </c>
      <c r="K940" s="25">
        <f>IF(COUNTA(A940:H940)=0,"",IF(OR(A940="",B940="",C940="",D940="",E940="",F940="",G940="",H940=""),"HATA: eksik bilgi",IF(COUNTIF(OdaListesi,A940)=0,"HATA: geçersiz oda no",IF(OR(NOT(ISNUMBER(D940)),NOT(ISNUMBER(E940))),"HATA: tarih geçersiz",IF(E940&lt;=D940,"HATA: çıkış girişten sonra olmalı",IF(OR(NOT(ISNUMBER(C940)),C940&lt;1,C940&gt;MaxKisi,C940&lt;&gt;INT(C940)),"HATA: kişi sayısı geçersiz",IF(OR(NOT(ISNUMBER(G940)),G940&lt;0),"HATA: tutar geçersiz",IF(B940&lt;&gt;TRIM(B940),"HATA: isimde baştaki/sondaki boşluk",IF(COUNTIF(KaynakAralik,H940)=0,"HATA: kaynak listede yok",IF(AND(F940&lt;&gt;"Bekleniyor",F940&lt;&gt;"Geldi",F940&lt;&gt;"İptal"),"HATA: giriş durumu geçersiz",IF(AND(F940&lt;&gt;"İptal",COUNTIFS($A$6:$A$1005,A940,$D$6:$D$1005,"&lt;"&amp;E940,$E$6:$E$1005,"&gt;"&amp;D940,$F$6:$F$1005,"&lt;&gt;İptal")&gt;1),"HATA: oda bu tarihlerde çakışıyor",IF(AND(F940="Bekleniyor",D940&lt;RaporTarihi),"HATA: giriş günü geçti, Geldi veya İptal yapın","OK"))))))))))))</f>
        <v/>
      </c>
      <c r="L940" s="25">
        <f>IF(AND(ISNUMBER(A940),F940&lt;&gt;"İptal",ISNUMBER(D940),ISNUMBER(E940),D940&lt;=RaporTarihi,E940&gt;RaporTarihi),A940,"")</f>
        <v/>
      </c>
    </row>
    <row r="941">
      <c r="A941" s="22" t="n"/>
      <c r="B941" s="22" t="n"/>
      <c r="C941" s="22" t="n"/>
      <c r="D941" s="23" t="n"/>
      <c r="E941" s="23" t="n"/>
      <c r="F941" s="22" t="n"/>
      <c r="G941" s="24" t="n"/>
      <c r="H941" s="22" t="n"/>
      <c r="I941" s="25">
        <f>IF(AND(ISNUMBER(D941),ISNUMBER(E941)),E941-D941,"")</f>
        <v/>
      </c>
      <c r="J941" s="26">
        <f>IF(AND(ISNUMBER(I941),ISNUMBER(G941)),IF(I941&gt;0,G941/I941,""),"")</f>
        <v/>
      </c>
      <c r="K941" s="25">
        <f>IF(COUNTA(A941:H941)=0,"",IF(OR(A941="",B941="",C941="",D941="",E941="",F941="",G941="",H941=""),"HATA: eksik bilgi",IF(COUNTIF(OdaListesi,A941)=0,"HATA: geçersiz oda no",IF(OR(NOT(ISNUMBER(D941)),NOT(ISNUMBER(E941))),"HATA: tarih geçersiz",IF(E941&lt;=D941,"HATA: çıkış girişten sonra olmalı",IF(OR(NOT(ISNUMBER(C941)),C941&lt;1,C941&gt;MaxKisi,C941&lt;&gt;INT(C941)),"HATA: kişi sayısı geçersiz",IF(OR(NOT(ISNUMBER(G941)),G941&lt;0),"HATA: tutar geçersiz",IF(B941&lt;&gt;TRIM(B941),"HATA: isimde baştaki/sondaki boşluk",IF(COUNTIF(KaynakAralik,H941)=0,"HATA: kaynak listede yok",IF(AND(F941&lt;&gt;"Bekleniyor",F941&lt;&gt;"Geldi",F941&lt;&gt;"İptal"),"HATA: giriş durumu geçersiz",IF(AND(F941&lt;&gt;"İptal",COUNTIFS($A$6:$A$1005,A941,$D$6:$D$1005,"&lt;"&amp;E941,$E$6:$E$1005,"&gt;"&amp;D941,$F$6:$F$1005,"&lt;&gt;İptal")&gt;1),"HATA: oda bu tarihlerde çakışıyor",IF(AND(F941="Bekleniyor",D941&lt;RaporTarihi),"HATA: giriş günü geçti, Geldi veya İptal yapın","OK"))))))))))))</f>
        <v/>
      </c>
      <c r="L941" s="25">
        <f>IF(AND(ISNUMBER(A941),F941&lt;&gt;"İptal",ISNUMBER(D941),ISNUMBER(E941),D941&lt;=RaporTarihi,E941&gt;RaporTarihi),A941,"")</f>
        <v/>
      </c>
    </row>
    <row r="942">
      <c r="A942" s="22" t="n"/>
      <c r="B942" s="22" t="n"/>
      <c r="C942" s="22" t="n"/>
      <c r="D942" s="23" t="n"/>
      <c r="E942" s="23" t="n"/>
      <c r="F942" s="22" t="n"/>
      <c r="G942" s="24" t="n"/>
      <c r="H942" s="22" t="n"/>
      <c r="I942" s="25">
        <f>IF(AND(ISNUMBER(D942),ISNUMBER(E942)),E942-D942,"")</f>
        <v/>
      </c>
      <c r="J942" s="26">
        <f>IF(AND(ISNUMBER(I942),ISNUMBER(G942)),IF(I942&gt;0,G942/I942,""),"")</f>
        <v/>
      </c>
      <c r="K942" s="25">
        <f>IF(COUNTA(A942:H942)=0,"",IF(OR(A942="",B942="",C942="",D942="",E942="",F942="",G942="",H942=""),"HATA: eksik bilgi",IF(COUNTIF(OdaListesi,A942)=0,"HATA: geçersiz oda no",IF(OR(NOT(ISNUMBER(D942)),NOT(ISNUMBER(E942))),"HATA: tarih geçersiz",IF(E942&lt;=D942,"HATA: çıkış girişten sonra olmalı",IF(OR(NOT(ISNUMBER(C942)),C942&lt;1,C942&gt;MaxKisi,C942&lt;&gt;INT(C942)),"HATA: kişi sayısı geçersiz",IF(OR(NOT(ISNUMBER(G942)),G942&lt;0),"HATA: tutar geçersiz",IF(B942&lt;&gt;TRIM(B942),"HATA: isimde baştaki/sondaki boşluk",IF(COUNTIF(KaynakAralik,H942)=0,"HATA: kaynak listede yok",IF(AND(F942&lt;&gt;"Bekleniyor",F942&lt;&gt;"Geldi",F942&lt;&gt;"İptal"),"HATA: giriş durumu geçersiz",IF(AND(F942&lt;&gt;"İptal",COUNTIFS($A$6:$A$1005,A942,$D$6:$D$1005,"&lt;"&amp;E942,$E$6:$E$1005,"&gt;"&amp;D942,$F$6:$F$1005,"&lt;&gt;İptal")&gt;1),"HATA: oda bu tarihlerde çakışıyor",IF(AND(F942="Bekleniyor",D942&lt;RaporTarihi),"HATA: giriş günü geçti, Geldi veya İptal yapın","OK"))))))))))))</f>
        <v/>
      </c>
      <c r="L942" s="25">
        <f>IF(AND(ISNUMBER(A942),F942&lt;&gt;"İptal",ISNUMBER(D942),ISNUMBER(E942),D942&lt;=RaporTarihi,E942&gt;RaporTarihi),A942,"")</f>
        <v/>
      </c>
    </row>
    <row r="943">
      <c r="A943" s="22" t="n"/>
      <c r="B943" s="22" t="n"/>
      <c r="C943" s="22" t="n"/>
      <c r="D943" s="23" t="n"/>
      <c r="E943" s="23" t="n"/>
      <c r="F943" s="22" t="n"/>
      <c r="G943" s="24" t="n"/>
      <c r="H943" s="22" t="n"/>
      <c r="I943" s="25">
        <f>IF(AND(ISNUMBER(D943),ISNUMBER(E943)),E943-D943,"")</f>
        <v/>
      </c>
      <c r="J943" s="26">
        <f>IF(AND(ISNUMBER(I943),ISNUMBER(G943)),IF(I943&gt;0,G943/I943,""),"")</f>
        <v/>
      </c>
      <c r="K943" s="25">
        <f>IF(COUNTA(A943:H943)=0,"",IF(OR(A943="",B943="",C943="",D943="",E943="",F943="",G943="",H943=""),"HATA: eksik bilgi",IF(COUNTIF(OdaListesi,A943)=0,"HATA: geçersiz oda no",IF(OR(NOT(ISNUMBER(D943)),NOT(ISNUMBER(E943))),"HATA: tarih geçersiz",IF(E943&lt;=D943,"HATA: çıkış girişten sonra olmalı",IF(OR(NOT(ISNUMBER(C943)),C943&lt;1,C943&gt;MaxKisi,C943&lt;&gt;INT(C943)),"HATA: kişi sayısı geçersiz",IF(OR(NOT(ISNUMBER(G943)),G943&lt;0),"HATA: tutar geçersiz",IF(B943&lt;&gt;TRIM(B943),"HATA: isimde baştaki/sondaki boşluk",IF(COUNTIF(KaynakAralik,H943)=0,"HATA: kaynak listede yok",IF(AND(F943&lt;&gt;"Bekleniyor",F943&lt;&gt;"Geldi",F943&lt;&gt;"İptal"),"HATA: giriş durumu geçersiz",IF(AND(F943&lt;&gt;"İptal",COUNTIFS($A$6:$A$1005,A943,$D$6:$D$1005,"&lt;"&amp;E943,$E$6:$E$1005,"&gt;"&amp;D943,$F$6:$F$1005,"&lt;&gt;İptal")&gt;1),"HATA: oda bu tarihlerde çakışıyor",IF(AND(F943="Bekleniyor",D943&lt;RaporTarihi),"HATA: giriş günü geçti, Geldi veya İptal yapın","OK"))))))))))))</f>
        <v/>
      </c>
      <c r="L943" s="25">
        <f>IF(AND(ISNUMBER(A943),F943&lt;&gt;"İptal",ISNUMBER(D943),ISNUMBER(E943),D943&lt;=RaporTarihi,E943&gt;RaporTarihi),A943,"")</f>
        <v/>
      </c>
    </row>
    <row r="944">
      <c r="A944" s="22" t="n"/>
      <c r="B944" s="22" t="n"/>
      <c r="C944" s="22" t="n"/>
      <c r="D944" s="23" t="n"/>
      <c r="E944" s="23" t="n"/>
      <c r="F944" s="22" t="n"/>
      <c r="G944" s="24" t="n"/>
      <c r="H944" s="22" t="n"/>
      <c r="I944" s="25">
        <f>IF(AND(ISNUMBER(D944),ISNUMBER(E944)),E944-D944,"")</f>
        <v/>
      </c>
      <c r="J944" s="26">
        <f>IF(AND(ISNUMBER(I944),ISNUMBER(G944)),IF(I944&gt;0,G944/I944,""),"")</f>
        <v/>
      </c>
      <c r="K944" s="25">
        <f>IF(COUNTA(A944:H944)=0,"",IF(OR(A944="",B944="",C944="",D944="",E944="",F944="",G944="",H944=""),"HATA: eksik bilgi",IF(COUNTIF(OdaListesi,A944)=0,"HATA: geçersiz oda no",IF(OR(NOT(ISNUMBER(D944)),NOT(ISNUMBER(E944))),"HATA: tarih geçersiz",IF(E944&lt;=D944,"HATA: çıkış girişten sonra olmalı",IF(OR(NOT(ISNUMBER(C944)),C944&lt;1,C944&gt;MaxKisi,C944&lt;&gt;INT(C944)),"HATA: kişi sayısı geçersiz",IF(OR(NOT(ISNUMBER(G944)),G944&lt;0),"HATA: tutar geçersiz",IF(B944&lt;&gt;TRIM(B944),"HATA: isimde baştaki/sondaki boşluk",IF(COUNTIF(KaynakAralik,H944)=0,"HATA: kaynak listede yok",IF(AND(F944&lt;&gt;"Bekleniyor",F944&lt;&gt;"Geldi",F944&lt;&gt;"İptal"),"HATA: giriş durumu geçersiz",IF(AND(F944&lt;&gt;"İptal",COUNTIFS($A$6:$A$1005,A944,$D$6:$D$1005,"&lt;"&amp;E944,$E$6:$E$1005,"&gt;"&amp;D944,$F$6:$F$1005,"&lt;&gt;İptal")&gt;1),"HATA: oda bu tarihlerde çakışıyor",IF(AND(F944="Bekleniyor",D944&lt;RaporTarihi),"HATA: giriş günü geçti, Geldi veya İptal yapın","OK"))))))))))))</f>
        <v/>
      </c>
      <c r="L944" s="25">
        <f>IF(AND(ISNUMBER(A944),F944&lt;&gt;"İptal",ISNUMBER(D944),ISNUMBER(E944),D944&lt;=RaporTarihi,E944&gt;RaporTarihi),A944,"")</f>
        <v/>
      </c>
    </row>
    <row r="945">
      <c r="A945" s="22" t="n"/>
      <c r="B945" s="22" t="n"/>
      <c r="C945" s="22" t="n"/>
      <c r="D945" s="23" t="n"/>
      <c r="E945" s="23" t="n"/>
      <c r="F945" s="22" t="n"/>
      <c r="G945" s="24" t="n"/>
      <c r="H945" s="22" t="n"/>
      <c r="I945" s="25">
        <f>IF(AND(ISNUMBER(D945),ISNUMBER(E945)),E945-D945,"")</f>
        <v/>
      </c>
      <c r="J945" s="26">
        <f>IF(AND(ISNUMBER(I945),ISNUMBER(G945)),IF(I945&gt;0,G945/I945,""),"")</f>
        <v/>
      </c>
      <c r="K945" s="25">
        <f>IF(COUNTA(A945:H945)=0,"",IF(OR(A945="",B945="",C945="",D945="",E945="",F945="",G945="",H945=""),"HATA: eksik bilgi",IF(COUNTIF(OdaListesi,A945)=0,"HATA: geçersiz oda no",IF(OR(NOT(ISNUMBER(D945)),NOT(ISNUMBER(E945))),"HATA: tarih geçersiz",IF(E945&lt;=D945,"HATA: çıkış girişten sonra olmalı",IF(OR(NOT(ISNUMBER(C945)),C945&lt;1,C945&gt;MaxKisi,C945&lt;&gt;INT(C945)),"HATA: kişi sayısı geçersiz",IF(OR(NOT(ISNUMBER(G945)),G945&lt;0),"HATA: tutar geçersiz",IF(B945&lt;&gt;TRIM(B945),"HATA: isimde baştaki/sondaki boşluk",IF(COUNTIF(KaynakAralik,H945)=0,"HATA: kaynak listede yok",IF(AND(F945&lt;&gt;"Bekleniyor",F945&lt;&gt;"Geldi",F945&lt;&gt;"İptal"),"HATA: giriş durumu geçersiz",IF(AND(F945&lt;&gt;"İptal",COUNTIFS($A$6:$A$1005,A945,$D$6:$D$1005,"&lt;"&amp;E945,$E$6:$E$1005,"&gt;"&amp;D945,$F$6:$F$1005,"&lt;&gt;İptal")&gt;1),"HATA: oda bu tarihlerde çakışıyor",IF(AND(F945="Bekleniyor",D945&lt;RaporTarihi),"HATA: giriş günü geçti, Geldi veya İptal yapın","OK"))))))))))))</f>
        <v/>
      </c>
      <c r="L945" s="25">
        <f>IF(AND(ISNUMBER(A945),F945&lt;&gt;"İptal",ISNUMBER(D945),ISNUMBER(E945),D945&lt;=RaporTarihi,E945&gt;RaporTarihi),A945,"")</f>
        <v/>
      </c>
    </row>
    <row r="946">
      <c r="A946" s="22" t="n"/>
      <c r="B946" s="22" t="n"/>
      <c r="C946" s="22" t="n"/>
      <c r="D946" s="23" t="n"/>
      <c r="E946" s="23" t="n"/>
      <c r="F946" s="22" t="n"/>
      <c r="G946" s="24" t="n"/>
      <c r="H946" s="22" t="n"/>
      <c r="I946" s="25">
        <f>IF(AND(ISNUMBER(D946),ISNUMBER(E946)),E946-D946,"")</f>
        <v/>
      </c>
      <c r="J946" s="26">
        <f>IF(AND(ISNUMBER(I946),ISNUMBER(G946)),IF(I946&gt;0,G946/I946,""),"")</f>
        <v/>
      </c>
      <c r="K946" s="25">
        <f>IF(COUNTA(A946:H946)=0,"",IF(OR(A946="",B946="",C946="",D946="",E946="",F946="",G946="",H946=""),"HATA: eksik bilgi",IF(COUNTIF(OdaListesi,A946)=0,"HATA: geçersiz oda no",IF(OR(NOT(ISNUMBER(D946)),NOT(ISNUMBER(E946))),"HATA: tarih geçersiz",IF(E946&lt;=D946,"HATA: çıkış girişten sonra olmalı",IF(OR(NOT(ISNUMBER(C946)),C946&lt;1,C946&gt;MaxKisi,C946&lt;&gt;INT(C946)),"HATA: kişi sayısı geçersiz",IF(OR(NOT(ISNUMBER(G946)),G946&lt;0),"HATA: tutar geçersiz",IF(B946&lt;&gt;TRIM(B946),"HATA: isimde baştaki/sondaki boşluk",IF(COUNTIF(KaynakAralik,H946)=0,"HATA: kaynak listede yok",IF(AND(F946&lt;&gt;"Bekleniyor",F946&lt;&gt;"Geldi",F946&lt;&gt;"İptal"),"HATA: giriş durumu geçersiz",IF(AND(F946&lt;&gt;"İptal",COUNTIFS($A$6:$A$1005,A946,$D$6:$D$1005,"&lt;"&amp;E946,$E$6:$E$1005,"&gt;"&amp;D946,$F$6:$F$1005,"&lt;&gt;İptal")&gt;1),"HATA: oda bu tarihlerde çakışıyor",IF(AND(F946="Bekleniyor",D946&lt;RaporTarihi),"HATA: giriş günü geçti, Geldi veya İptal yapın","OK"))))))))))))</f>
        <v/>
      </c>
      <c r="L946" s="25">
        <f>IF(AND(ISNUMBER(A946),F946&lt;&gt;"İptal",ISNUMBER(D946),ISNUMBER(E946),D946&lt;=RaporTarihi,E946&gt;RaporTarihi),A946,"")</f>
        <v/>
      </c>
    </row>
    <row r="947">
      <c r="A947" s="22" t="n"/>
      <c r="B947" s="22" t="n"/>
      <c r="C947" s="22" t="n"/>
      <c r="D947" s="23" t="n"/>
      <c r="E947" s="23" t="n"/>
      <c r="F947" s="22" t="n"/>
      <c r="G947" s="24" t="n"/>
      <c r="H947" s="22" t="n"/>
      <c r="I947" s="25">
        <f>IF(AND(ISNUMBER(D947),ISNUMBER(E947)),E947-D947,"")</f>
        <v/>
      </c>
      <c r="J947" s="26">
        <f>IF(AND(ISNUMBER(I947),ISNUMBER(G947)),IF(I947&gt;0,G947/I947,""),"")</f>
        <v/>
      </c>
      <c r="K947" s="25">
        <f>IF(COUNTA(A947:H947)=0,"",IF(OR(A947="",B947="",C947="",D947="",E947="",F947="",G947="",H947=""),"HATA: eksik bilgi",IF(COUNTIF(OdaListesi,A947)=0,"HATA: geçersiz oda no",IF(OR(NOT(ISNUMBER(D947)),NOT(ISNUMBER(E947))),"HATA: tarih geçersiz",IF(E947&lt;=D947,"HATA: çıkış girişten sonra olmalı",IF(OR(NOT(ISNUMBER(C947)),C947&lt;1,C947&gt;MaxKisi,C947&lt;&gt;INT(C947)),"HATA: kişi sayısı geçersiz",IF(OR(NOT(ISNUMBER(G947)),G947&lt;0),"HATA: tutar geçersiz",IF(B947&lt;&gt;TRIM(B947),"HATA: isimde baştaki/sondaki boşluk",IF(COUNTIF(KaynakAralik,H947)=0,"HATA: kaynak listede yok",IF(AND(F947&lt;&gt;"Bekleniyor",F947&lt;&gt;"Geldi",F947&lt;&gt;"İptal"),"HATA: giriş durumu geçersiz",IF(AND(F947&lt;&gt;"İptal",COUNTIFS($A$6:$A$1005,A947,$D$6:$D$1005,"&lt;"&amp;E947,$E$6:$E$1005,"&gt;"&amp;D947,$F$6:$F$1005,"&lt;&gt;İptal")&gt;1),"HATA: oda bu tarihlerde çakışıyor",IF(AND(F947="Bekleniyor",D947&lt;RaporTarihi),"HATA: giriş günü geçti, Geldi veya İptal yapın","OK"))))))))))))</f>
        <v/>
      </c>
      <c r="L947" s="25">
        <f>IF(AND(ISNUMBER(A947),F947&lt;&gt;"İptal",ISNUMBER(D947),ISNUMBER(E947),D947&lt;=RaporTarihi,E947&gt;RaporTarihi),A947,"")</f>
        <v/>
      </c>
    </row>
    <row r="948">
      <c r="A948" s="22" t="n"/>
      <c r="B948" s="22" t="n"/>
      <c r="C948" s="22" t="n"/>
      <c r="D948" s="23" t="n"/>
      <c r="E948" s="23" t="n"/>
      <c r="F948" s="22" t="n"/>
      <c r="G948" s="24" t="n"/>
      <c r="H948" s="22" t="n"/>
      <c r="I948" s="25">
        <f>IF(AND(ISNUMBER(D948),ISNUMBER(E948)),E948-D948,"")</f>
        <v/>
      </c>
      <c r="J948" s="26">
        <f>IF(AND(ISNUMBER(I948),ISNUMBER(G948)),IF(I948&gt;0,G948/I948,""),"")</f>
        <v/>
      </c>
      <c r="K948" s="25">
        <f>IF(COUNTA(A948:H948)=0,"",IF(OR(A948="",B948="",C948="",D948="",E948="",F948="",G948="",H948=""),"HATA: eksik bilgi",IF(COUNTIF(OdaListesi,A948)=0,"HATA: geçersiz oda no",IF(OR(NOT(ISNUMBER(D948)),NOT(ISNUMBER(E948))),"HATA: tarih geçersiz",IF(E948&lt;=D948,"HATA: çıkış girişten sonra olmalı",IF(OR(NOT(ISNUMBER(C948)),C948&lt;1,C948&gt;MaxKisi,C948&lt;&gt;INT(C948)),"HATA: kişi sayısı geçersiz",IF(OR(NOT(ISNUMBER(G948)),G948&lt;0),"HATA: tutar geçersiz",IF(B948&lt;&gt;TRIM(B948),"HATA: isimde baştaki/sondaki boşluk",IF(COUNTIF(KaynakAralik,H948)=0,"HATA: kaynak listede yok",IF(AND(F948&lt;&gt;"Bekleniyor",F948&lt;&gt;"Geldi",F948&lt;&gt;"İptal"),"HATA: giriş durumu geçersiz",IF(AND(F948&lt;&gt;"İptal",COUNTIFS($A$6:$A$1005,A948,$D$6:$D$1005,"&lt;"&amp;E948,$E$6:$E$1005,"&gt;"&amp;D948,$F$6:$F$1005,"&lt;&gt;İptal")&gt;1),"HATA: oda bu tarihlerde çakışıyor",IF(AND(F948="Bekleniyor",D948&lt;RaporTarihi),"HATA: giriş günü geçti, Geldi veya İptal yapın","OK"))))))))))))</f>
        <v/>
      </c>
      <c r="L948" s="25">
        <f>IF(AND(ISNUMBER(A948),F948&lt;&gt;"İptal",ISNUMBER(D948),ISNUMBER(E948),D948&lt;=RaporTarihi,E948&gt;RaporTarihi),A948,"")</f>
        <v/>
      </c>
    </row>
    <row r="949">
      <c r="A949" s="22" t="n"/>
      <c r="B949" s="22" t="n"/>
      <c r="C949" s="22" t="n"/>
      <c r="D949" s="23" t="n"/>
      <c r="E949" s="23" t="n"/>
      <c r="F949" s="22" t="n"/>
      <c r="G949" s="24" t="n"/>
      <c r="H949" s="22" t="n"/>
      <c r="I949" s="25">
        <f>IF(AND(ISNUMBER(D949),ISNUMBER(E949)),E949-D949,"")</f>
        <v/>
      </c>
      <c r="J949" s="26">
        <f>IF(AND(ISNUMBER(I949),ISNUMBER(G949)),IF(I949&gt;0,G949/I949,""),"")</f>
        <v/>
      </c>
      <c r="K949" s="25">
        <f>IF(COUNTA(A949:H949)=0,"",IF(OR(A949="",B949="",C949="",D949="",E949="",F949="",G949="",H949=""),"HATA: eksik bilgi",IF(COUNTIF(OdaListesi,A949)=0,"HATA: geçersiz oda no",IF(OR(NOT(ISNUMBER(D949)),NOT(ISNUMBER(E949))),"HATA: tarih geçersiz",IF(E949&lt;=D949,"HATA: çıkış girişten sonra olmalı",IF(OR(NOT(ISNUMBER(C949)),C949&lt;1,C949&gt;MaxKisi,C949&lt;&gt;INT(C949)),"HATA: kişi sayısı geçersiz",IF(OR(NOT(ISNUMBER(G949)),G949&lt;0),"HATA: tutar geçersiz",IF(B949&lt;&gt;TRIM(B949),"HATA: isimde baştaki/sondaki boşluk",IF(COUNTIF(KaynakAralik,H949)=0,"HATA: kaynak listede yok",IF(AND(F949&lt;&gt;"Bekleniyor",F949&lt;&gt;"Geldi",F949&lt;&gt;"İptal"),"HATA: giriş durumu geçersiz",IF(AND(F949&lt;&gt;"İptal",COUNTIFS($A$6:$A$1005,A949,$D$6:$D$1005,"&lt;"&amp;E949,$E$6:$E$1005,"&gt;"&amp;D949,$F$6:$F$1005,"&lt;&gt;İptal")&gt;1),"HATA: oda bu tarihlerde çakışıyor",IF(AND(F949="Bekleniyor",D949&lt;RaporTarihi),"HATA: giriş günü geçti, Geldi veya İptal yapın","OK"))))))))))))</f>
        <v/>
      </c>
      <c r="L949" s="25">
        <f>IF(AND(ISNUMBER(A949),F949&lt;&gt;"İptal",ISNUMBER(D949),ISNUMBER(E949),D949&lt;=RaporTarihi,E949&gt;RaporTarihi),A949,"")</f>
        <v/>
      </c>
    </row>
    <row r="950">
      <c r="A950" s="22" t="n"/>
      <c r="B950" s="22" t="n"/>
      <c r="C950" s="22" t="n"/>
      <c r="D950" s="23" t="n"/>
      <c r="E950" s="23" t="n"/>
      <c r="F950" s="22" t="n"/>
      <c r="G950" s="24" t="n"/>
      <c r="H950" s="22" t="n"/>
      <c r="I950" s="25">
        <f>IF(AND(ISNUMBER(D950),ISNUMBER(E950)),E950-D950,"")</f>
        <v/>
      </c>
      <c r="J950" s="26">
        <f>IF(AND(ISNUMBER(I950),ISNUMBER(G950)),IF(I950&gt;0,G950/I950,""),"")</f>
        <v/>
      </c>
      <c r="K950" s="25">
        <f>IF(COUNTA(A950:H950)=0,"",IF(OR(A950="",B950="",C950="",D950="",E950="",F950="",G950="",H950=""),"HATA: eksik bilgi",IF(COUNTIF(OdaListesi,A950)=0,"HATA: geçersiz oda no",IF(OR(NOT(ISNUMBER(D950)),NOT(ISNUMBER(E950))),"HATA: tarih geçersiz",IF(E950&lt;=D950,"HATA: çıkış girişten sonra olmalı",IF(OR(NOT(ISNUMBER(C950)),C950&lt;1,C950&gt;MaxKisi,C950&lt;&gt;INT(C950)),"HATA: kişi sayısı geçersiz",IF(OR(NOT(ISNUMBER(G950)),G950&lt;0),"HATA: tutar geçersiz",IF(B950&lt;&gt;TRIM(B950),"HATA: isimde baştaki/sondaki boşluk",IF(COUNTIF(KaynakAralik,H950)=0,"HATA: kaynak listede yok",IF(AND(F950&lt;&gt;"Bekleniyor",F950&lt;&gt;"Geldi",F950&lt;&gt;"İptal"),"HATA: giriş durumu geçersiz",IF(AND(F950&lt;&gt;"İptal",COUNTIFS($A$6:$A$1005,A950,$D$6:$D$1005,"&lt;"&amp;E950,$E$6:$E$1005,"&gt;"&amp;D950,$F$6:$F$1005,"&lt;&gt;İptal")&gt;1),"HATA: oda bu tarihlerde çakışıyor",IF(AND(F950="Bekleniyor",D950&lt;RaporTarihi),"HATA: giriş günü geçti, Geldi veya İptal yapın","OK"))))))))))))</f>
        <v/>
      </c>
      <c r="L950" s="25">
        <f>IF(AND(ISNUMBER(A950),F950&lt;&gt;"İptal",ISNUMBER(D950),ISNUMBER(E950),D950&lt;=RaporTarihi,E950&gt;RaporTarihi),A950,"")</f>
        <v/>
      </c>
    </row>
    <row r="951">
      <c r="A951" s="22" t="n"/>
      <c r="B951" s="22" t="n"/>
      <c r="C951" s="22" t="n"/>
      <c r="D951" s="23" t="n"/>
      <c r="E951" s="23" t="n"/>
      <c r="F951" s="22" t="n"/>
      <c r="G951" s="24" t="n"/>
      <c r="H951" s="22" t="n"/>
      <c r="I951" s="25">
        <f>IF(AND(ISNUMBER(D951),ISNUMBER(E951)),E951-D951,"")</f>
        <v/>
      </c>
      <c r="J951" s="26">
        <f>IF(AND(ISNUMBER(I951),ISNUMBER(G951)),IF(I951&gt;0,G951/I951,""),"")</f>
        <v/>
      </c>
      <c r="K951" s="25">
        <f>IF(COUNTA(A951:H951)=0,"",IF(OR(A951="",B951="",C951="",D951="",E951="",F951="",G951="",H951=""),"HATA: eksik bilgi",IF(COUNTIF(OdaListesi,A951)=0,"HATA: geçersiz oda no",IF(OR(NOT(ISNUMBER(D951)),NOT(ISNUMBER(E951))),"HATA: tarih geçersiz",IF(E951&lt;=D951,"HATA: çıkış girişten sonra olmalı",IF(OR(NOT(ISNUMBER(C951)),C951&lt;1,C951&gt;MaxKisi,C951&lt;&gt;INT(C951)),"HATA: kişi sayısı geçersiz",IF(OR(NOT(ISNUMBER(G951)),G951&lt;0),"HATA: tutar geçersiz",IF(B951&lt;&gt;TRIM(B951),"HATA: isimde baştaki/sondaki boşluk",IF(COUNTIF(KaynakAralik,H951)=0,"HATA: kaynak listede yok",IF(AND(F951&lt;&gt;"Bekleniyor",F951&lt;&gt;"Geldi",F951&lt;&gt;"İptal"),"HATA: giriş durumu geçersiz",IF(AND(F951&lt;&gt;"İptal",COUNTIFS($A$6:$A$1005,A951,$D$6:$D$1005,"&lt;"&amp;E951,$E$6:$E$1005,"&gt;"&amp;D951,$F$6:$F$1005,"&lt;&gt;İptal")&gt;1),"HATA: oda bu tarihlerde çakışıyor",IF(AND(F951="Bekleniyor",D951&lt;RaporTarihi),"HATA: giriş günü geçti, Geldi veya İptal yapın","OK"))))))))))))</f>
        <v/>
      </c>
      <c r="L951" s="25">
        <f>IF(AND(ISNUMBER(A951),F951&lt;&gt;"İptal",ISNUMBER(D951),ISNUMBER(E951),D951&lt;=RaporTarihi,E951&gt;RaporTarihi),A951,"")</f>
        <v/>
      </c>
    </row>
    <row r="952">
      <c r="A952" s="22" t="n"/>
      <c r="B952" s="22" t="n"/>
      <c r="C952" s="22" t="n"/>
      <c r="D952" s="23" t="n"/>
      <c r="E952" s="23" t="n"/>
      <c r="F952" s="22" t="n"/>
      <c r="G952" s="24" t="n"/>
      <c r="H952" s="22" t="n"/>
      <c r="I952" s="25">
        <f>IF(AND(ISNUMBER(D952),ISNUMBER(E952)),E952-D952,"")</f>
        <v/>
      </c>
      <c r="J952" s="26">
        <f>IF(AND(ISNUMBER(I952),ISNUMBER(G952)),IF(I952&gt;0,G952/I952,""),"")</f>
        <v/>
      </c>
      <c r="K952" s="25">
        <f>IF(COUNTA(A952:H952)=0,"",IF(OR(A952="",B952="",C952="",D952="",E952="",F952="",G952="",H952=""),"HATA: eksik bilgi",IF(COUNTIF(OdaListesi,A952)=0,"HATA: geçersiz oda no",IF(OR(NOT(ISNUMBER(D952)),NOT(ISNUMBER(E952))),"HATA: tarih geçersiz",IF(E952&lt;=D952,"HATA: çıkış girişten sonra olmalı",IF(OR(NOT(ISNUMBER(C952)),C952&lt;1,C952&gt;MaxKisi,C952&lt;&gt;INT(C952)),"HATA: kişi sayısı geçersiz",IF(OR(NOT(ISNUMBER(G952)),G952&lt;0),"HATA: tutar geçersiz",IF(B952&lt;&gt;TRIM(B952),"HATA: isimde baştaki/sondaki boşluk",IF(COUNTIF(KaynakAralik,H952)=0,"HATA: kaynak listede yok",IF(AND(F952&lt;&gt;"Bekleniyor",F952&lt;&gt;"Geldi",F952&lt;&gt;"İptal"),"HATA: giriş durumu geçersiz",IF(AND(F952&lt;&gt;"İptal",COUNTIFS($A$6:$A$1005,A952,$D$6:$D$1005,"&lt;"&amp;E952,$E$6:$E$1005,"&gt;"&amp;D952,$F$6:$F$1005,"&lt;&gt;İptal")&gt;1),"HATA: oda bu tarihlerde çakışıyor",IF(AND(F952="Bekleniyor",D952&lt;RaporTarihi),"HATA: giriş günü geçti, Geldi veya İptal yapın","OK"))))))))))))</f>
        <v/>
      </c>
      <c r="L952" s="25">
        <f>IF(AND(ISNUMBER(A952),F952&lt;&gt;"İptal",ISNUMBER(D952),ISNUMBER(E952),D952&lt;=RaporTarihi,E952&gt;RaporTarihi),A952,"")</f>
        <v/>
      </c>
    </row>
    <row r="953">
      <c r="A953" s="22" t="n"/>
      <c r="B953" s="22" t="n"/>
      <c r="C953" s="22" t="n"/>
      <c r="D953" s="23" t="n"/>
      <c r="E953" s="23" t="n"/>
      <c r="F953" s="22" t="n"/>
      <c r="G953" s="24" t="n"/>
      <c r="H953" s="22" t="n"/>
      <c r="I953" s="25">
        <f>IF(AND(ISNUMBER(D953),ISNUMBER(E953)),E953-D953,"")</f>
        <v/>
      </c>
      <c r="J953" s="26">
        <f>IF(AND(ISNUMBER(I953),ISNUMBER(G953)),IF(I953&gt;0,G953/I953,""),"")</f>
        <v/>
      </c>
      <c r="K953" s="25">
        <f>IF(COUNTA(A953:H953)=0,"",IF(OR(A953="",B953="",C953="",D953="",E953="",F953="",G953="",H953=""),"HATA: eksik bilgi",IF(COUNTIF(OdaListesi,A953)=0,"HATA: geçersiz oda no",IF(OR(NOT(ISNUMBER(D953)),NOT(ISNUMBER(E953))),"HATA: tarih geçersiz",IF(E953&lt;=D953,"HATA: çıkış girişten sonra olmalı",IF(OR(NOT(ISNUMBER(C953)),C953&lt;1,C953&gt;MaxKisi,C953&lt;&gt;INT(C953)),"HATA: kişi sayısı geçersiz",IF(OR(NOT(ISNUMBER(G953)),G953&lt;0),"HATA: tutar geçersiz",IF(B953&lt;&gt;TRIM(B953),"HATA: isimde baştaki/sondaki boşluk",IF(COUNTIF(KaynakAralik,H953)=0,"HATA: kaynak listede yok",IF(AND(F953&lt;&gt;"Bekleniyor",F953&lt;&gt;"Geldi",F953&lt;&gt;"İptal"),"HATA: giriş durumu geçersiz",IF(AND(F953&lt;&gt;"İptal",COUNTIFS($A$6:$A$1005,A953,$D$6:$D$1005,"&lt;"&amp;E953,$E$6:$E$1005,"&gt;"&amp;D953,$F$6:$F$1005,"&lt;&gt;İptal")&gt;1),"HATA: oda bu tarihlerde çakışıyor",IF(AND(F953="Bekleniyor",D953&lt;RaporTarihi),"HATA: giriş günü geçti, Geldi veya İptal yapın","OK"))))))))))))</f>
        <v/>
      </c>
      <c r="L953" s="25">
        <f>IF(AND(ISNUMBER(A953),F953&lt;&gt;"İptal",ISNUMBER(D953),ISNUMBER(E953),D953&lt;=RaporTarihi,E953&gt;RaporTarihi),A953,"")</f>
        <v/>
      </c>
    </row>
    <row r="954">
      <c r="A954" s="22" t="n"/>
      <c r="B954" s="22" t="n"/>
      <c r="C954" s="22" t="n"/>
      <c r="D954" s="23" t="n"/>
      <c r="E954" s="23" t="n"/>
      <c r="F954" s="22" t="n"/>
      <c r="G954" s="24" t="n"/>
      <c r="H954" s="22" t="n"/>
      <c r="I954" s="25">
        <f>IF(AND(ISNUMBER(D954),ISNUMBER(E954)),E954-D954,"")</f>
        <v/>
      </c>
      <c r="J954" s="26">
        <f>IF(AND(ISNUMBER(I954),ISNUMBER(G954)),IF(I954&gt;0,G954/I954,""),"")</f>
        <v/>
      </c>
      <c r="K954" s="25">
        <f>IF(COUNTA(A954:H954)=0,"",IF(OR(A954="",B954="",C954="",D954="",E954="",F954="",G954="",H954=""),"HATA: eksik bilgi",IF(COUNTIF(OdaListesi,A954)=0,"HATA: geçersiz oda no",IF(OR(NOT(ISNUMBER(D954)),NOT(ISNUMBER(E954))),"HATA: tarih geçersiz",IF(E954&lt;=D954,"HATA: çıkış girişten sonra olmalı",IF(OR(NOT(ISNUMBER(C954)),C954&lt;1,C954&gt;MaxKisi,C954&lt;&gt;INT(C954)),"HATA: kişi sayısı geçersiz",IF(OR(NOT(ISNUMBER(G954)),G954&lt;0),"HATA: tutar geçersiz",IF(B954&lt;&gt;TRIM(B954),"HATA: isimde baştaki/sondaki boşluk",IF(COUNTIF(KaynakAralik,H954)=0,"HATA: kaynak listede yok",IF(AND(F954&lt;&gt;"Bekleniyor",F954&lt;&gt;"Geldi",F954&lt;&gt;"İptal"),"HATA: giriş durumu geçersiz",IF(AND(F954&lt;&gt;"İptal",COUNTIFS($A$6:$A$1005,A954,$D$6:$D$1005,"&lt;"&amp;E954,$E$6:$E$1005,"&gt;"&amp;D954,$F$6:$F$1005,"&lt;&gt;İptal")&gt;1),"HATA: oda bu tarihlerde çakışıyor",IF(AND(F954="Bekleniyor",D954&lt;RaporTarihi),"HATA: giriş günü geçti, Geldi veya İptal yapın","OK"))))))))))))</f>
        <v/>
      </c>
      <c r="L954" s="25">
        <f>IF(AND(ISNUMBER(A954),F954&lt;&gt;"İptal",ISNUMBER(D954),ISNUMBER(E954),D954&lt;=RaporTarihi,E954&gt;RaporTarihi),A954,"")</f>
        <v/>
      </c>
    </row>
    <row r="955">
      <c r="A955" s="22" t="n"/>
      <c r="B955" s="22" t="n"/>
      <c r="C955" s="22" t="n"/>
      <c r="D955" s="23" t="n"/>
      <c r="E955" s="23" t="n"/>
      <c r="F955" s="22" t="n"/>
      <c r="G955" s="24" t="n"/>
      <c r="H955" s="22" t="n"/>
      <c r="I955" s="25">
        <f>IF(AND(ISNUMBER(D955),ISNUMBER(E955)),E955-D955,"")</f>
        <v/>
      </c>
      <c r="J955" s="26">
        <f>IF(AND(ISNUMBER(I955),ISNUMBER(G955)),IF(I955&gt;0,G955/I955,""),"")</f>
        <v/>
      </c>
      <c r="K955" s="25">
        <f>IF(COUNTA(A955:H955)=0,"",IF(OR(A955="",B955="",C955="",D955="",E955="",F955="",G955="",H955=""),"HATA: eksik bilgi",IF(COUNTIF(OdaListesi,A955)=0,"HATA: geçersiz oda no",IF(OR(NOT(ISNUMBER(D955)),NOT(ISNUMBER(E955))),"HATA: tarih geçersiz",IF(E955&lt;=D955,"HATA: çıkış girişten sonra olmalı",IF(OR(NOT(ISNUMBER(C955)),C955&lt;1,C955&gt;MaxKisi,C955&lt;&gt;INT(C955)),"HATA: kişi sayısı geçersiz",IF(OR(NOT(ISNUMBER(G955)),G955&lt;0),"HATA: tutar geçersiz",IF(B955&lt;&gt;TRIM(B955),"HATA: isimde baştaki/sondaki boşluk",IF(COUNTIF(KaynakAralik,H955)=0,"HATA: kaynak listede yok",IF(AND(F955&lt;&gt;"Bekleniyor",F955&lt;&gt;"Geldi",F955&lt;&gt;"İptal"),"HATA: giriş durumu geçersiz",IF(AND(F955&lt;&gt;"İptal",COUNTIFS($A$6:$A$1005,A955,$D$6:$D$1005,"&lt;"&amp;E955,$E$6:$E$1005,"&gt;"&amp;D955,$F$6:$F$1005,"&lt;&gt;İptal")&gt;1),"HATA: oda bu tarihlerde çakışıyor",IF(AND(F955="Bekleniyor",D955&lt;RaporTarihi),"HATA: giriş günü geçti, Geldi veya İptal yapın","OK"))))))))))))</f>
        <v/>
      </c>
      <c r="L955" s="25">
        <f>IF(AND(ISNUMBER(A955),F955&lt;&gt;"İptal",ISNUMBER(D955),ISNUMBER(E955),D955&lt;=RaporTarihi,E955&gt;RaporTarihi),A955,"")</f>
        <v/>
      </c>
    </row>
    <row r="956">
      <c r="A956" s="22" t="n"/>
      <c r="B956" s="22" t="n"/>
      <c r="C956" s="22" t="n"/>
      <c r="D956" s="23" t="n"/>
      <c r="E956" s="23" t="n"/>
      <c r="F956" s="22" t="n"/>
      <c r="G956" s="24" t="n"/>
      <c r="H956" s="22" t="n"/>
      <c r="I956" s="25">
        <f>IF(AND(ISNUMBER(D956),ISNUMBER(E956)),E956-D956,"")</f>
        <v/>
      </c>
      <c r="J956" s="26">
        <f>IF(AND(ISNUMBER(I956),ISNUMBER(G956)),IF(I956&gt;0,G956/I956,""),"")</f>
        <v/>
      </c>
      <c r="K956" s="25">
        <f>IF(COUNTA(A956:H956)=0,"",IF(OR(A956="",B956="",C956="",D956="",E956="",F956="",G956="",H956=""),"HATA: eksik bilgi",IF(COUNTIF(OdaListesi,A956)=0,"HATA: geçersiz oda no",IF(OR(NOT(ISNUMBER(D956)),NOT(ISNUMBER(E956))),"HATA: tarih geçersiz",IF(E956&lt;=D956,"HATA: çıkış girişten sonra olmalı",IF(OR(NOT(ISNUMBER(C956)),C956&lt;1,C956&gt;MaxKisi,C956&lt;&gt;INT(C956)),"HATA: kişi sayısı geçersiz",IF(OR(NOT(ISNUMBER(G956)),G956&lt;0),"HATA: tutar geçersiz",IF(B956&lt;&gt;TRIM(B956),"HATA: isimde baştaki/sondaki boşluk",IF(COUNTIF(KaynakAralik,H956)=0,"HATA: kaynak listede yok",IF(AND(F956&lt;&gt;"Bekleniyor",F956&lt;&gt;"Geldi",F956&lt;&gt;"İptal"),"HATA: giriş durumu geçersiz",IF(AND(F956&lt;&gt;"İptal",COUNTIFS($A$6:$A$1005,A956,$D$6:$D$1005,"&lt;"&amp;E956,$E$6:$E$1005,"&gt;"&amp;D956,$F$6:$F$1005,"&lt;&gt;İptal")&gt;1),"HATA: oda bu tarihlerde çakışıyor",IF(AND(F956="Bekleniyor",D956&lt;RaporTarihi),"HATA: giriş günü geçti, Geldi veya İptal yapın","OK"))))))))))))</f>
        <v/>
      </c>
      <c r="L956" s="25">
        <f>IF(AND(ISNUMBER(A956),F956&lt;&gt;"İptal",ISNUMBER(D956),ISNUMBER(E956),D956&lt;=RaporTarihi,E956&gt;RaporTarihi),A956,"")</f>
        <v/>
      </c>
    </row>
    <row r="957">
      <c r="A957" s="22" t="n"/>
      <c r="B957" s="22" t="n"/>
      <c r="C957" s="22" t="n"/>
      <c r="D957" s="23" t="n"/>
      <c r="E957" s="23" t="n"/>
      <c r="F957" s="22" t="n"/>
      <c r="G957" s="24" t="n"/>
      <c r="H957" s="22" t="n"/>
      <c r="I957" s="25">
        <f>IF(AND(ISNUMBER(D957),ISNUMBER(E957)),E957-D957,"")</f>
        <v/>
      </c>
      <c r="J957" s="26">
        <f>IF(AND(ISNUMBER(I957),ISNUMBER(G957)),IF(I957&gt;0,G957/I957,""),"")</f>
        <v/>
      </c>
      <c r="K957" s="25">
        <f>IF(COUNTA(A957:H957)=0,"",IF(OR(A957="",B957="",C957="",D957="",E957="",F957="",G957="",H957=""),"HATA: eksik bilgi",IF(COUNTIF(OdaListesi,A957)=0,"HATA: geçersiz oda no",IF(OR(NOT(ISNUMBER(D957)),NOT(ISNUMBER(E957))),"HATA: tarih geçersiz",IF(E957&lt;=D957,"HATA: çıkış girişten sonra olmalı",IF(OR(NOT(ISNUMBER(C957)),C957&lt;1,C957&gt;MaxKisi,C957&lt;&gt;INT(C957)),"HATA: kişi sayısı geçersiz",IF(OR(NOT(ISNUMBER(G957)),G957&lt;0),"HATA: tutar geçersiz",IF(B957&lt;&gt;TRIM(B957),"HATA: isimde baştaki/sondaki boşluk",IF(COUNTIF(KaynakAralik,H957)=0,"HATA: kaynak listede yok",IF(AND(F957&lt;&gt;"Bekleniyor",F957&lt;&gt;"Geldi",F957&lt;&gt;"İptal"),"HATA: giriş durumu geçersiz",IF(AND(F957&lt;&gt;"İptal",COUNTIFS($A$6:$A$1005,A957,$D$6:$D$1005,"&lt;"&amp;E957,$E$6:$E$1005,"&gt;"&amp;D957,$F$6:$F$1005,"&lt;&gt;İptal")&gt;1),"HATA: oda bu tarihlerde çakışıyor",IF(AND(F957="Bekleniyor",D957&lt;RaporTarihi),"HATA: giriş günü geçti, Geldi veya İptal yapın","OK"))))))))))))</f>
        <v/>
      </c>
      <c r="L957" s="25">
        <f>IF(AND(ISNUMBER(A957),F957&lt;&gt;"İptal",ISNUMBER(D957),ISNUMBER(E957),D957&lt;=RaporTarihi,E957&gt;RaporTarihi),A957,"")</f>
        <v/>
      </c>
    </row>
    <row r="958">
      <c r="A958" s="22" t="n"/>
      <c r="B958" s="22" t="n"/>
      <c r="C958" s="22" t="n"/>
      <c r="D958" s="23" t="n"/>
      <c r="E958" s="23" t="n"/>
      <c r="F958" s="22" t="n"/>
      <c r="G958" s="24" t="n"/>
      <c r="H958" s="22" t="n"/>
      <c r="I958" s="25">
        <f>IF(AND(ISNUMBER(D958),ISNUMBER(E958)),E958-D958,"")</f>
        <v/>
      </c>
      <c r="J958" s="26">
        <f>IF(AND(ISNUMBER(I958),ISNUMBER(G958)),IF(I958&gt;0,G958/I958,""),"")</f>
        <v/>
      </c>
      <c r="K958" s="25">
        <f>IF(COUNTA(A958:H958)=0,"",IF(OR(A958="",B958="",C958="",D958="",E958="",F958="",G958="",H958=""),"HATA: eksik bilgi",IF(COUNTIF(OdaListesi,A958)=0,"HATA: geçersiz oda no",IF(OR(NOT(ISNUMBER(D958)),NOT(ISNUMBER(E958))),"HATA: tarih geçersiz",IF(E958&lt;=D958,"HATA: çıkış girişten sonra olmalı",IF(OR(NOT(ISNUMBER(C958)),C958&lt;1,C958&gt;MaxKisi,C958&lt;&gt;INT(C958)),"HATA: kişi sayısı geçersiz",IF(OR(NOT(ISNUMBER(G958)),G958&lt;0),"HATA: tutar geçersiz",IF(B958&lt;&gt;TRIM(B958),"HATA: isimde baştaki/sondaki boşluk",IF(COUNTIF(KaynakAralik,H958)=0,"HATA: kaynak listede yok",IF(AND(F958&lt;&gt;"Bekleniyor",F958&lt;&gt;"Geldi",F958&lt;&gt;"İptal"),"HATA: giriş durumu geçersiz",IF(AND(F958&lt;&gt;"İptal",COUNTIFS($A$6:$A$1005,A958,$D$6:$D$1005,"&lt;"&amp;E958,$E$6:$E$1005,"&gt;"&amp;D958,$F$6:$F$1005,"&lt;&gt;İptal")&gt;1),"HATA: oda bu tarihlerde çakışıyor",IF(AND(F958="Bekleniyor",D958&lt;RaporTarihi),"HATA: giriş günü geçti, Geldi veya İptal yapın","OK"))))))))))))</f>
        <v/>
      </c>
      <c r="L958" s="25">
        <f>IF(AND(ISNUMBER(A958),F958&lt;&gt;"İptal",ISNUMBER(D958),ISNUMBER(E958),D958&lt;=RaporTarihi,E958&gt;RaporTarihi),A958,"")</f>
        <v/>
      </c>
    </row>
    <row r="959">
      <c r="A959" s="22" t="n"/>
      <c r="B959" s="22" t="n"/>
      <c r="C959" s="22" t="n"/>
      <c r="D959" s="23" t="n"/>
      <c r="E959" s="23" t="n"/>
      <c r="F959" s="22" t="n"/>
      <c r="G959" s="24" t="n"/>
      <c r="H959" s="22" t="n"/>
      <c r="I959" s="25">
        <f>IF(AND(ISNUMBER(D959),ISNUMBER(E959)),E959-D959,"")</f>
        <v/>
      </c>
      <c r="J959" s="26">
        <f>IF(AND(ISNUMBER(I959),ISNUMBER(G959)),IF(I959&gt;0,G959/I959,""),"")</f>
        <v/>
      </c>
      <c r="K959" s="25">
        <f>IF(COUNTA(A959:H959)=0,"",IF(OR(A959="",B959="",C959="",D959="",E959="",F959="",G959="",H959=""),"HATA: eksik bilgi",IF(COUNTIF(OdaListesi,A959)=0,"HATA: geçersiz oda no",IF(OR(NOT(ISNUMBER(D959)),NOT(ISNUMBER(E959))),"HATA: tarih geçersiz",IF(E959&lt;=D959,"HATA: çıkış girişten sonra olmalı",IF(OR(NOT(ISNUMBER(C959)),C959&lt;1,C959&gt;MaxKisi,C959&lt;&gt;INT(C959)),"HATA: kişi sayısı geçersiz",IF(OR(NOT(ISNUMBER(G959)),G959&lt;0),"HATA: tutar geçersiz",IF(B959&lt;&gt;TRIM(B959),"HATA: isimde baştaki/sondaki boşluk",IF(COUNTIF(KaynakAralik,H959)=0,"HATA: kaynak listede yok",IF(AND(F959&lt;&gt;"Bekleniyor",F959&lt;&gt;"Geldi",F959&lt;&gt;"İptal"),"HATA: giriş durumu geçersiz",IF(AND(F959&lt;&gt;"İptal",COUNTIFS($A$6:$A$1005,A959,$D$6:$D$1005,"&lt;"&amp;E959,$E$6:$E$1005,"&gt;"&amp;D959,$F$6:$F$1005,"&lt;&gt;İptal")&gt;1),"HATA: oda bu tarihlerde çakışıyor",IF(AND(F959="Bekleniyor",D959&lt;RaporTarihi),"HATA: giriş günü geçti, Geldi veya İptal yapın","OK"))))))))))))</f>
        <v/>
      </c>
      <c r="L959" s="25">
        <f>IF(AND(ISNUMBER(A959),F959&lt;&gt;"İptal",ISNUMBER(D959),ISNUMBER(E959),D959&lt;=RaporTarihi,E959&gt;RaporTarihi),A959,"")</f>
        <v/>
      </c>
    </row>
    <row r="960">
      <c r="A960" s="22" t="n"/>
      <c r="B960" s="22" t="n"/>
      <c r="C960" s="22" t="n"/>
      <c r="D960" s="23" t="n"/>
      <c r="E960" s="23" t="n"/>
      <c r="F960" s="22" t="n"/>
      <c r="G960" s="24" t="n"/>
      <c r="H960" s="22" t="n"/>
      <c r="I960" s="25">
        <f>IF(AND(ISNUMBER(D960),ISNUMBER(E960)),E960-D960,"")</f>
        <v/>
      </c>
      <c r="J960" s="26">
        <f>IF(AND(ISNUMBER(I960),ISNUMBER(G960)),IF(I960&gt;0,G960/I960,""),"")</f>
        <v/>
      </c>
      <c r="K960" s="25">
        <f>IF(COUNTA(A960:H960)=0,"",IF(OR(A960="",B960="",C960="",D960="",E960="",F960="",G960="",H960=""),"HATA: eksik bilgi",IF(COUNTIF(OdaListesi,A960)=0,"HATA: geçersiz oda no",IF(OR(NOT(ISNUMBER(D960)),NOT(ISNUMBER(E960))),"HATA: tarih geçersiz",IF(E960&lt;=D960,"HATA: çıkış girişten sonra olmalı",IF(OR(NOT(ISNUMBER(C960)),C960&lt;1,C960&gt;MaxKisi,C960&lt;&gt;INT(C960)),"HATA: kişi sayısı geçersiz",IF(OR(NOT(ISNUMBER(G960)),G960&lt;0),"HATA: tutar geçersiz",IF(B960&lt;&gt;TRIM(B960),"HATA: isimde baştaki/sondaki boşluk",IF(COUNTIF(KaynakAralik,H960)=0,"HATA: kaynak listede yok",IF(AND(F960&lt;&gt;"Bekleniyor",F960&lt;&gt;"Geldi",F960&lt;&gt;"İptal"),"HATA: giriş durumu geçersiz",IF(AND(F960&lt;&gt;"İptal",COUNTIFS($A$6:$A$1005,A960,$D$6:$D$1005,"&lt;"&amp;E960,$E$6:$E$1005,"&gt;"&amp;D960,$F$6:$F$1005,"&lt;&gt;İptal")&gt;1),"HATA: oda bu tarihlerde çakışıyor",IF(AND(F960="Bekleniyor",D960&lt;RaporTarihi),"HATA: giriş günü geçti, Geldi veya İptal yapın","OK"))))))))))))</f>
        <v/>
      </c>
      <c r="L960" s="25">
        <f>IF(AND(ISNUMBER(A960),F960&lt;&gt;"İptal",ISNUMBER(D960),ISNUMBER(E960),D960&lt;=RaporTarihi,E960&gt;RaporTarihi),A960,"")</f>
        <v/>
      </c>
    </row>
    <row r="961">
      <c r="A961" s="22" t="n"/>
      <c r="B961" s="22" t="n"/>
      <c r="C961" s="22" t="n"/>
      <c r="D961" s="23" t="n"/>
      <c r="E961" s="23" t="n"/>
      <c r="F961" s="22" t="n"/>
      <c r="G961" s="24" t="n"/>
      <c r="H961" s="22" t="n"/>
      <c r="I961" s="25">
        <f>IF(AND(ISNUMBER(D961),ISNUMBER(E961)),E961-D961,"")</f>
        <v/>
      </c>
      <c r="J961" s="26">
        <f>IF(AND(ISNUMBER(I961),ISNUMBER(G961)),IF(I961&gt;0,G961/I961,""),"")</f>
        <v/>
      </c>
      <c r="K961" s="25">
        <f>IF(COUNTA(A961:H961)=0,"",IF(OR(A961="",B961="",C961="",D961="",E961="",F961="",G961="",H961=""),"HATA: eksik bilgi",IF(COUNTIF(OdaListesi,A961)=0,"HATA: geçersiz oda no",IF(OR(NOT(ISNUMBER(D961)),NOT(ISNUMBER(E961))),"HATA: tarih geçersiz",IF(E961&lt;=D961,"HATA: çıkış girişten sonra olmalı",IF(OR(NOT(ISNUMBER(C961)),C961&lt;1,C961&gt;MaxKisi,C961&lt;&gt;INT(C961)),"HATA: kişi sayısı geçersiz",IF(OR(NOT(ISNUMBER(G961)),G961&lt;0),"HATA: tutar geçersiz",IF(B961&lt;&gt;TRIM(B961),"HATA: isimde baştaki/sondaki boşluk",IF(COUNTIF(KaynakAralik,H961)=0,"HATA: kaynak listede yok",IF(AND(F961&lt;&gt;"Bekleniyor",F961&lt;&gt;"Geldi",F961&lt;&gt;"İptal"),"HATA: giriş durumu geçersiz",IF(AND(F961&lt;&gt;"İptal",COUNTIFS($A$6:$A$1005,A961,$D$6:$D$1005,"&lt;"&amp;E961,$E$6:$E$1005,"&gt;"&amp;D961,$F$6:$F$1005,"&lt;&gt;İptal")&gt;1),"HATA: oda bu tarihlerde çakışıyor",IF(AND(F961="Bekleniyor",D961&lt;RaporTarihi),"HATA: giriş günü geçti, Geldi veya İptal yapın","OK"))))))))))))</f>
        <v/>
      </c>
      <c r="L961" s="25">
        <f>IF(AND(ISNUMBER(A961),F961&lt;&gt;"İptal",ISNUMBER(D961),ISNUMBER(E961),D961&lt;=RaporTarihi,E961&gt;RaporTarihi),A961,"")</f>
        <v/>
      </c>
    </row>
    <row r="962">
      <c r="A962" s="22" t="n"/>
      <c r="B962" s="22" t="n"/>
      <c r="C962" s="22" t="n"/>
      <c r="D962" s="23" t="n"/>
      <c r="E962" s="23" t="n"/>
      <c r="F962" s="22" t="n"/>
      <c r="G962" s="24" t="n"/>
      <c r="H962" s="22" t="n"/>
      <c r="I962" s="25">
        <f>IF(AND(ISNUMBER(D962),ISNUMBER(E962)),E962-D962,"")</f>
        <v/>
      </c>
      <c r="J962" s="26">
        <f>IF(AND(ISNUMBER(I962),ISNUMBER(G962)),IF(I962&gt;0,G962/I962,""),"")</f>
        <v/>
      </c>
      <c r="K962" s="25">
        <f>IF(COUNTA(A962:H962)=0,"",IF(OR(A962="",B962="",C962="",D962="",E962="",F962="",G962="",H962=""),"HATA: eksik bilgi",IF(COUNTIF(OdaListesi,A962)=0,"HATA: geçersiz oda no",IF(OR(NOT(ISNUMBER(D962)),NOT(ISNUMBER(E962))),"HATA: tarih geçersiz",IF(E962&lt;=D962,"HATA: çıkış girişten sonra olmalı",IF(OR(NOT(ISNUMBER(C962)),C962&lt;1,C962&gt;MaxKisi,C962&lt;&gt;INT(C962)),"HATA: kişi sayısı geçersiz",IF(OR(NOT(ISNUMBER(G962)),G962&lt;0),"HATA: tutar geçersiz",IF(B962&lt;&gt;TRIM(B962),"HATA: isimde baştaki/sondaki boşluk",IF(COUNTIF(KaynakAralik,H962)=0,"HATA: kaynak listede yok",IF(AND(F962&lt;&gt;"Bekleniyor",F962&lt;&gt;"Geldi",F962&lt;&gt;"İptal"),"HATA: giriş durumu geçersiz",IF(AND(F962&lt;&gt;"İptal",COUNTIFS($A$6:$A$1005,A962,$D$6:$D$1005,"&lt;"&amp;E962,$E$6:$E$1005,"&gt;"&amp;D962,$F$6:$F$1005,"&lt;&gt;İptal")&gt;1),"HATA: oda bu tarihlerde çakışıyor",IF(AND(F962="Bekleniyor",D962&lt;RaporTarihi),"HATA: giriş günü geçti, Geldi veya İptal yapın","OK"))))))))))))</f>
        <v/>
      </c>
      <c r="L962" s="25">
        <f>IF(AND(ISNUMBER(A962),F962&lt;&gt;"İptal",ISNUMBER(D962),ISNUMBER(E962),D962&lt;=RaporTarihi,E962&gt;RaporTarihi),A962,"")</f>
        <v/>
      </c>
    </row>
    <row r="963">
      <c r="A963" s="22" t="n"/>
      <c r="B963" s="22" t="n"/>
      <c r="C963" s="22" t="n"/>
      <c r="D963" s="23" t="n"/>
      <c r="E963" s="23" t="n"/>
      <c r="F963" s="22" t="n"/>
      <c r="G963" s="24" t="n"/>
      <c r="H963" s="22" t="n"/>
      <c r="I963" s="25">
        <f>IF(AND(ISNUMBER(D963),ISNUMBER(E963)),E963-D963,"")</f>
        <v/>
      </c>
      <c r="J963" s="26">
        <f>IF(AND(ISNUMBER(I963),ISNUMBER(G963)),IF(I963&gt;0,G963/I963,""),"")</f>
        <v/>
      </c>
      <c r="K963" s="25">
        <f>IF(COUNTA(A963:H963)=0,"",IF(OR(A963="",B963="",C963="",D963="",E963="",F963="",G963="",H963=""),"HATA: eksik bilgi",IF(COUNTIF(OdaListesi,A963)=0,"HATA: geçersiz oda no",IF(OR(NOT(ISNUMBER(D963)),NOT(ISNUMBER(E963))),"HATA: tarih geçersiz",IF(E963&lt;=D963,"HATA: çıkış girişten sonra olmalı",IF(OR(NOT(ISNUMBER(C963)),C963&lt;1,C963&gt;MaxKisi,C963&lt;&gt;INT(C963)),"HATA: kişi sayısı geçersiz",IF(OR(NOT(ISNUMBER(G963)),G963&lt;0),"HATA: tutar geçersiz",IF(B963&lt;&gt;TRIM(B963),"HATA: isimde baştaki/sondaki boşluk",IF(COUNTIF(KaynakAralik,H963)=0,"HATA: kaynak listede yok",IF(AND(F963&lt;&gt;"Bekleniyor",F963&lt;&gt;"Geldi",F963&lt;&gt;"İptal"),"HATA: giriş durumu geçersiz",IF(AND(F963&lt;&gt;"İptal",COUNTIFS($A$6:$A$1005,A963,$D$6:$D$1005,"&lt;"&amp;E963,$E$6:$E$1005,"&gt;"&amp;D963,$F$6:$F$1005,"&lt;&gt;İptal")&gt;1),"HATA: oda bu tarihlerde çakışıyor",IF(AND(F963="Bekleniyor",D963&lt;RaporTarihi),"HATA: giriş günü geçti, Geldi veya İptal yapın","OK"))))))))))))</f>
        <v/>
      </c>
      <c r="L963" s="25">
        <f>IF(AND(ISNUMBER(A963),F963&lt;&gt;"İptal",ISNUMBER(D963),ISNUMBER(E963),D963&lt;=RaporTarihi,E963&gt;RaporTarihi),A963,"")</f>
        <v/>
      </c>
    </row>
    <row r="964">
      <c r="A964" s="22" t="n"/>
      <c r="B964" s="22" t="n"/>
      <c r="C964" s="22" t="n"/>
      <c r="D964" s="23" t="n"/>
      <c r="E964" s="23" t="n"/>
      <c r="F964" s="22" t="n"/>
      <c r="G964" s="24" t="n"/>
      <c r="H964" s="22" t="n"/>
      <c r="I964" s="25">
        <f>IF(AND(ISNUMBER(D964),ISNUMBER(E964)),E964-D964,"")</f>
        <v/>
      </c>
      <c r="J964" s="26">
        <f>IF(AND(ISNUMBER(I964),ISNUMBER(G964)),IF(I964&gt;0,G964/I964,""),"")</f>
        <v/>
      </c>
      <c r="K964" s="25">
        <f>IF(COUNTA(A964:H964)=0,"",IF(OR(A964="",B964="",C964="",D964="",E964="",F964="",G964="",H964=""),"HATA: eksik bilgi",IF(COUNTIF(OdaListesi,A964)=0,"HATA: geçersiz oda no",IF(OR(NOT(ISNUMBER(D964)),NOT(ISNUMBER(E964))),"HATA: tarih geçersiz",IF(E964&lt;=D964,"HATA: çıkış girişten sonra olmalı",IF(OR(NOT(ISNUMBER(C964)),C964&lt;1,C964&gt;MaxKisi,C964&lt;&gt;INT(C964)),"HATA: kişi sayısı geçersiz",IF(OR(NOT(ISNUMBER(G964)),G964&lt;0),"HATA: tutar geçersiz",IF(B964&lt;&gt;TRIM(B964),"HATA: isimde baştaki/sondaki boşluk",IF(COUNTIF(KaynakAralik,H964)=0,"HATA: kaynak listede yok",IF(AND(F964&lt;&gt;"Bekleniyor",F964&lt;&gt;"Geldi",F964&lt;&gt;"İptal"),"HATA: giriş durumu geçersiz",IF(AND(F964&lt;&gt;"İptal",COUNTIFS($A$6:$A$1005,A964,$D$6:$D$1005,"&lt;"&amp;E964,$E$6:$E$1005,"&gt;"&amp;D964,$F$6:$F$1005,"&lt;&gt;İptal")&gt;1),"HATA: oda bu tarihlerde çakışıyor",IF(AND(F964="Bekleniyor",D964&lt;RaporTarihi),"HATA: giriş günü geçti, Geldi veya İptal yapın","OK"))))))))))))</f>
        <v/>
      </c>
      <c r="L964" s="25">
        <f>IF(AND(ISNUMBER(A964),F964&lt;&gt;"İptal",ISNUMBER(D964),ISNUMBER(E964),D964&lt;=RaporTarihi,E964&gt;RaporTarihi),A964,"")</f>
        <v/>
      </c>
    </row>
    <row r="965">
      <c r="A965" s="22" t="n"/>
      <c r="B965" s="22" t="n"/>
      <c r="C965" s="22" t="n"/>
      <c r="D965" s="23" t="n"/>
      <c r="E965" s="23" t="n"/>
      <c r="F965" s="22" t="n"/>
      <c r="G965" s="24" t="n"/>
      <c r="H965" s="22" t="n"/>
      <c r="I965" s="25">
        <f>IF(AND(ISNUMBER(D965),ISNUMBER(E965)),E965-D965,"")</f>
        <v/>
      </c>
      <c r="J965" s="26">
        <f>IF(AND(ISNUMBER(I965),ISNUMBER(G965)),IF(I965&gt;0,G965/I965,""),"")</f>
        <v/>
      </c>
      <c r="K965" s="25">
        <f>IF(COUNTA(A965:H965)=0,"",IF(OR(A965="",B965="",C965="",D965="",E965="",F965="",G965="",H965=""),"HATA: eksik bilgi",IF(COUNTIF(OdaListesi,A965)=0,"HATA: geçersiz oda no",IF(OR(NOT(ISNUMBER(D965)),NOT(ISNUMBER(E965))),"HATA: tarih geçersiz",IF(E965&lt;=D965,"HATA: çıkış girişten sonra olmalı",IF(OR(NOT(ISNUMBER(C965)),C965&lt;1,C965&gt;MaxKisi,C965&lt;&gt;INT(C965)),"HATA: kişi sayısı geçersiz",IF(OR(NOT(ISNUMBER(G965)),G965&lt;0),"HATA: tutar geçersiz",IF(B965&lt;&gt;TRIM(B965),"HATA: isimde baştaki/sondaki boşluk",IF(COUNTIF(KaynakAralik,H965)=0,"HATA: kaynak listede yok",IF(AND(F965&lt;&gt;"Bekleniyor",F965&lt;&gt;"Geldi",F965&lt;&gt;"İptal"),"HATA: giriş durumu geçersiz",IF(AND(F965&lt;&gt;"İptal",COUNTIFS($A$6:$A$1005,A965,$D$6:$D$1005,"&lt;"&amp;E965,$E$6:$E$1005,"&gt;"&amp;D965,$F$6:$F$1005,"&lt;&gt;İptal")&gt;1),"HATA: oda bu tarihlerde çakışıyor",IF(AND(F965="Bekleniyor",D965&lt;RaporTarihi),"HATA: giriş günü geçti, Geldi veya İptal yapın","OK"))))))))))))</f>
        <v/>
      </c>
      <c r="L965" s="25">
        <f>IF(AND(ISNUMBER(A965),F965&lt;&gt;"İptal",ISNUMBER(D965),ISNUMBER(E965),D965&lt;=RaporTarihi,E965&gt;RaporTarihi),A965,"")</f>
        <v/>
      </c>
    </row>
    <row r="966">
      <c r="A966" s="22" t="n"/>
      <c r="B966" s="22" t="n"/>
      <c r="C966" s="22" t="n"/>
      <c r="D966" s="23" t="n"/>
      <c r="E966" s="23" t="n"/>
      <c r="F966" s="22" t="n"/>
      <c r="G966" s="24" t="n"/>
      <c r="H966" s="22" t="n"/>
      <c r="I966" s="25">
        <f>IF(AND(ISNUMBER(D966),ISNUMBER(E966)),E966-D966,"")</f>
        <v/>
      </c>
      <c r="J966" s="26">
        <f>IF(AND(ISNUMBER(I966),ISNUMBER(G966)),IF(I966&gt;0,G966/I966,""),"")</f>
        <v/>
      </c>
      <c r="K966" s="25">
        <f>IF(COUNTA(A966:H966)=0,"",IF(OR(A966="",B966="",C966="",D966="",E966="",F966="",G966="",H966=""),"HATA: eksik bilgi",IF(COUNTIF(OdaListesi,A966)=0,"HATA: geçersiz oda no",IF(OR(NOT(ISNUMBER(D966)),NOT(ISNUMBER(E966))),"HATA: tarih geçersiz",IF(E966&lt;=D966,"HATA: çıkış girişten sonra olmalı",IF(OR(NOT(ISNUMBER(C966)),C966&lt;1,C966&gt;MaxKisi,C966&lt;&gt;INT(C966)),"HATA: kişi sayısı geçersiz",IF(OR(NOT(ISNUMBER(G966)),G966&lt;0),"HATA: tutar geçersiz",IF(B966&lt;&gt;TRIM(B966),"HATA: isimde baştaki/sondaki boşluk",IF(COUNTIF(KaynakAralik,H966)=0,"HATA: kaynak listede yok",IF(AND(F966&lt;&gt;"Bekleniyor",F966&lt;&gt;"Geldi",F966&lt;&gt;"İptal"),"HATA: giriş durumu geçersiz",IF(AND(F966&lt;&gt;"İptal",COUNTIFS($A$6:$A$1005,A966,$D$6:$D$1005,"&lt;"&amp;E966,$E$6:$E$1005,"&gt;"&amp;D966,$F$6:$F$1005,"&lt;&gt;İptal")&gt;1),"HATA: oda bu tarihlerde çakışıyor",IF(AND(F966="Bekleniyor",D966&lt;RaporTarihi),"HATA: giriş günü geçti, Geldi veya İptal yapın","OK"))))))))))))</f>
        <v/>
      </c>
      <c r="L966" s="25">
        <f>IF(AND(ISNUMBER(A966),F966&lt;&gt;"İptal",ISNUMBER(D966),ISNUMBER(E966),D966&lt;=RaporTarihi,E966&gt;RaporTarihi),A966,"")</f>
        <v/>
      </c>
    </row>
    <row r="967">
      <c r="A967" s="22" t="n"/>
      <c r="B967" s="22" t="n"/>
      <c r="C967" s="22" t="n"/>
      <c r="D967" s="23" t="n"/>
      <c r="E967" s="23" t="n"/>
      <c r="F967" s="22" t="n"/>
      <c r="G967" s="24" t="n"/>
      <c r="H967" s="22" t="n"/>
      <c r="I967" s="25">
        <f>IF(AND(ISNUMBER(D967),ISNUMBER(E967)),E967-D967,"")</f>
        <v/>
      </c>
      <c r="J967" s="26">
        <f>IF(AND(ISNUMBER(I967),ISNUMBER(G967)),IF(I967&gt;0,G967/I967,""),"")</f>
        <v/>
      </c>
      <c r="K967" s="25">
        <f>IF(COUNTA(A967:H967)=0,"",IF(OR(A967="",B967="",C967="",D967="",E967="",F967="",G967="",H967=""),"HATA: eksik bilgi",IF(COUNTIF(OdaListesi,A967)=0,"HATA: geçersiz oda no",IF(OR(NOT(ISNUMBER(D967)),NOT(ISNUMBER(E967))),"HATA: tarih geçersiz",IF(E967&lt;=D967,"HATA: çıkış girişten sonra olmalı",IF(OR(NOT(ISNUMBER(C967)),C967&lt;1,C967&gt;MaxKisi,C967&lt;&gt;INT(C967)),"HATA: kişi sayısı geçersiz",IF(OR(NOT(ISNUMBER(G967)),G967&lt;0),"HATA: tutar geçersiz",IF(B967&lt;&gt;TRIM(B967),"HATA: isimde baştaki/sondaki boşluk",IF(COUNTIF(KaynakAralik,H967)=0,"HATA: kaynak listede yok",IF(AND(F967&lt;&gt;"Bekleniyor",F967&lt;&gt;"Geldi",F967&lt;&gt;"İptal"),"HATA: giriş durumu geçersiz",IF(AND(F967&lt;&gt;"İptal",COUNTIFS($A$6:$A$1005,A967,$D$6:$D$1005,"&lt;"&amp;E967,$E$6:$E$1005,"&gt;"&amp;D967,$F$6:$F$1005,"&lt;&gt;İptal")&gt;1),"HATA: oda bu tarihlerde çakışıyor",IF(AND(F967="Bekleniyor",D967&lt;RaporTarihi),"HATA: giriş günü geçti, Geldi veya İptal yapın","OK"))))))))))))</f>
        <v/>
      </c>
      <c r="L967" s="25">
        <f>IF(AND(ISNUMBER(A967),F967&lt;&gt;"İptal",ISNUMBER(D967),ISNUMBER(E967),D967&lt;=RaporTarihi,E967&gt;RaporTarihi),A967,"")</f>
        <v/>
      </c>
    </row>
    <row r="968">
      <c r="A968" s="22" t="n"/>
      <c r="B968" s="22" t="n"/>
      <c r="C968" s="22" t="n"/>
      <c r="D968" s="23" t="n"/>
      <c r="E968" s="23" t="n"/>
      <c r="F968" s="22" t="n"/>
      <c r="G968" s="24" t="n"/>
      <c r="H968" s="22" t="n"/>
      <c r="I968" s="25">
        <f>IF(AND(ISNUMBER(D968),ISNUMBER(E968)),E968-D968,"")</f>
        <v/>
      </c>
      <c r="J968" s="26">
        <f>IF(AND(ISNUMBER(I968),ISNUMBER(G968)),IF(I968&gt;0,G968/I968,""),"")</f>
        <v/>
      </c>
      <c r="K968" s="25">
        <f>IF(COUNTA(A968:H968)=0,"",IF(OR(A968="",B968="",C968="",D968="",E968="",F968="",G968="",H968=""),"HATA: eksik bilgi",IF(COUNTIF(OdaListesi,A968)=0,"HATA: geçersiz oda no",IF(OR(NOT(ISNUMBER(D968)),NOT(ISNUMBER(E968))),"HATA: tarih geçersiz",IF(E968&lt;=D968,"HATA: çıkış girişten sonra olmalı",IF(OR(NOT(ISNUMBER(C968)),C968&lt;1,C968&gt;MaxKisi,C968&lt;&gt;INT(C968)),"HATA: kişi sayısı geçersiz",IF(OR(NOT(ISNUMBER(G968)),G968&lt;0),"HATA: tutar geçersiz",IF(B968&lt;&gt;TRIM(B968),"HATA: isimde baştaki/sondaki boşluk",IF(COUNTIF(KaynakAralik,H968)=0,"HATA: kaynak listede yok",IF(AND(F968&lt;&gt;"Bekleniyor",F968&lt;&gt;"Geldi",F968&lt;&gt;"İptal"),"HATA: giriş durumu geçersiz",IF(AND(F968&lt;&gt;"İptal",COUNTIFS($A$6:$A$1005,A968,$D$6:$D$1005,"&lt;"&amp;E968,$E$6:$E$1005,"&gt;"&amp;D968,$F$6:$F$1005,"&lt;&gt;İptal")&gt;1),"HATA: oda bu tarihlerde çakışıyor",IF(AND(F968="Bekleniyor",D968&lt;RaporTarihi),"HATA: giriş günü geçti, Geldi veya İptal yapın","OK"))))))))))))</f>
        <v/>
      </c>
      <c r="L968" s="25">
        <f>IF(AND(ISNUMBER(A968),F968&lt;&gt;"İptal",ISNUMBER(D968),ISNUMBER(E968),D968&lt;=RaporTarihi,E968&gt;RaporTarihi),A968,"")</f>
        <v/>
      </c>
    </row>
    <row r="969">
      <c r="A969" s="22" t="n"/>
      <c r="B969" s="22" t="n"/>
      <c r="C969" s="22" t="n"/>
      <c r="D969" s="23" t="n"/>
      <c r="E969" s="23" t="n"/>
      <c r="F969" s="22" t="n"/>
      <c r="G969" s="24" t="n"/>
      <c r="H969" s="22" t="n"/>
      <c r="I969" s="25">
        <f>IF(AND(ISNUMBER(D969),ISNUMBER(E969)),E969-D969,"")</f>
        <v/>
      </c>
      <c r="J969" s="26">
        <f>IF(AND(ISNUMBER(I969),ISNUMBER(G969)),IF(I969&gt;0,G969/I969,""),"")</f>
        <v/>
      </c>
      <c r="K969" s="25">
        <f>IF(COUNTA(A969:H969)=0,"",IF(OR(A969="",B969="",C969="",D969="",E969="",F969="",G969="",H969=""),"HATA: eksik bilgi",IF(COUNTIF(OdaListesi,A969)=0,"HATA: geçersiz oda no",IF(OR(NOT(ISNUMBER(D969)),NOT(ISNUMBER(E969))),"HATA: tarih geçersiz",IF(E969&lt;=D969,"HATA: çıkış girişten sonra olmalı",IF(OR(NOT(ISNUMBER(C969)),C969&lt;1,C969&gt;MaxKisi,C969&lt;&gt;INT(C969)),"HATA: kişi sayısı geçersiz",IF(OR(NOT(ISNUMBER(G969)),G969&lt;0),"HATA: tutar geçersiz",IF(B969&lt;&gt;TRIM(B969),"HATA: isimde baştaki/sondaki boşluk",IF(COUNTIF(KaynakAralik,H969)=0,"HATA: kaynak listede yok",IF(AND(F969&lt;&gt;"Bekleniyor",F969&lt;&gt;"Geldi",F969&lt;&gt;"İptal"),"HATA: giriş durumu geçersiz",IF(AND(F969&lt;&gt;"İptal",COUNTIFS($A$6:$A$1005,A969,$D$6:$D$1005,"&lt;"&amp;E969,$E$6:$E$1005,"&gt;"&amp;D969,$F$6:$F$1005,"&lt;&gt;İptal")&gt;1),"HATA: oda bu tarihlerde çakışıyor",IF(AND(F969="Bekleniyor",D969&lt;RaporTarihi),"HATA: giriş günü geçti, Geldi veya İptal yapın","OK"))))))))))))</f>
        <v/>
      </c>
      <c r="L969" s="25">
        <f>IF(AND(ISNUMBER(A969),F969&lt;&gt;"İptal",ISNUMBER(D969),ISNUMBER(E969),D969&lt;=RaporTarihi,E969&gt;RaporTarihi),A969,"")</f>
        <v/>
      </c>
    </row>
    <row r="970">
      <c r="A970" s="22" t="n"/>
      <c r="B970" s="22" t="n"/>
      <c r="C970" s="22" t="n"/>
      <c r="D970" s="23" t="n"/>
      <c r="E970" s="23" t="n"/>
      <c r="F970" s="22" t="n"/>
      <c r="G970" s="24" t="n"/>
      <c r="H970" s="22" t="n"/>
      <c r="I970" s="25">
        <f>IF(AND(ISNUMBER(D970),ISNUMBER(E970)),E970-D970,"")</f>
        <v/>
      </c>
      <c r="J970" s="26">
        <f>IF(AND(ISNUMBER(I970),ISNUMBER(G970)),IF(I970&gt;0,G970/I970,""),"")</f>
        <v/>
      </c>
      <c r="K970" s="25">
        <f>IF(COUNTA(A970:H970)=0,"",IF(OR(A970="",B970="",C970="",D970="",E970="",F970="",G970="",H970=""),"HATA: eksik bilgi",IF(COUNTIF(OdaListesi,A970)=0,"HATA: geçersiz oda no",IF(OR(NOT(ISNUMBER(D970)),NOT(ISNUMBER(E970))),"HATA: tarih geçersiz",IF(E970&lt;=D970,"HATA: çıkış girişten sonra olmalı",IF(OR(NOT(ISNUMBER(C970)),C970&lt;1,C970&gt;MaxKisi,C970&lt;&gt;INT(C970)),"HATA: kişi sayısı geçersiz",IF(OR(NOT(ISNUMBER(G970)),G970&lt;0),"HATA: tutar geçersiz",IF(B970&lt;&gt;TRIM(B970),"HATA: isimde baştaki/sondaki boşluk",IF(COUNTIF(KaynakAralik,H970)=0,"HATA: kaynak listede yok",IF(AND(F970&lt;&gt;"Bekleniyor",F970&lt;&gt;"Geldi",F970&lt;&gt;"İptal"),"HATA: giriş durumu geçersiz",IF(AND(F970&lt;&gt;"İptal",COUNTIFS($A$6:$A$1005,A970,$D$6:$D$1005,"&lt;"&amp;E970,$E$6:$E$1005,"&gt;"&amp;D970,$F$6:$F$1005,"&lt;&gt;İptal")&gt;1),"HATA: oda bu tarihlerde çakışıyor",IF(AND(F970="Bekleniyor",D970&lt;RaporTarihi),"HATA: giriş günü geçti, Geldi veya İptal yapın","OK"))))))))))))</f>
        <v/>
      </c>
      <c r="L970" s="25">
        <f>IF(AND(ISNUMBER(A970),F970&lt;&gt;"İptal",ISNUMBER(D970),ISNUMBER(E970),D970&lt;=RaporTarihi,E970&gt;RaporTarihi),A970,"")</f>
        <v/>
      </c>
    </row>
    <row r="971">
      <c r="A971" s="22" t="n"/>
      <c r="B971" s="22" t="n"/>
      <c r="C971" s="22" t="n"/>
      <c r="D971" s="23" t="n"/>
      <c r="E971" s="23" t="n"/>
      <c r="F971" s="22" t="n"/>
      <c r="G971" s="24" t="n"/>
      <c r="H971" s="22" t="n"/>
      <c r="I971" s="25">
        <f>IF(AND(ISNUMBER(D971),ISNUMBER(E971)),E971-D971,"")</f>
        <v/>
      </c>
      <c r="J971" s="26">
        <f>IF(AND(ISNUMBER(I971),ISNUMBER(G971)),IF(I971&gt;0,G971/I971,""),"")</f>
        <v/>
      </c>
      <c r="K971" s="25">
        <f>IF(COUNTA(A971:H971)=0,"",IF(OR(A971="",B971="",C971="",D971="",E971="",F971="",G971="",H971=""),"HATA: eksik bilgi",IF(COUNTIF(OdaListesi,A971)=0,"HATA: geçersiz oda no",IF(OR(NOT(ISNUMBER(D971)),NOT(ISNUMBER(E971))),"HATA: tarih geçersiz",IF(E971&lt;=D971,"HATA: çıkış girişten sonra olmalı",IF(OR(NOT(ISNUMBER(C971)),C971&lt;1,C971&gt;MaxKisi,C971&lt;&gt;INT(C971)),"HATA: kişi sayısı geçersiz",IF(OR(NOT(ISNUMBER(G971)),G971&lt;0),"HATA: tutar geçersiz",IF(B971&lt;&gt;TRIM(B971),"HATA: isimde baştaki/sondaki boşluk",IF(COUNTIF(KaynakAralik,H971)=0,"HATA: kaynak listede yok",IF(AND(F971&lt;&gt;"Bekleniyor",F971&lt;&gt;"Geldi",F971&lt;&gt;"İptal"),"HATA: giriş durumu geçersiz",IF(AND(F971&lt;&gt;"İptal",COUNTIFS($A$6:$A$1005,A971,$D$6:$D$1005,"&lt;"&amp;E971,$E$6:$E$1005,"&gt;"&amp;D971,$F$6:$F$1005,"&lt;&gt;İptal")&gt;1),"HATA: oda bu tarihlerde çakışıyor",IF(AND(F971="Bekleniyor",D971&lt;RaporTarihi),"HATA: giriş günü geçti, Geldi veya İptal yapın","OK"))))))))))))</f>
        <v/>
      </c>
      <c r="L971" s="25">
        <f>IF(AND(ISNUMBER(A971),F971&lt;&gt;"İptal",ISNUMBER(D971),ISNUMBER(E971),D971&lt;=RaporTarihi,E971&gt;RaporTarihi),A971,"")</f>
        <v/>
      </c>
    </row>
    <row r="972">
      <c r="A972" s="22" t="n"/>
      <c r="B972" s="22" t="n"/>
      <c r="C972" s="22" t="n"/>
      <c r="D972" s="23" t="n"/>
      <c r="E972" s="23" t="n"/>
      <c r="F972" s="22" t="n"/>
      <c r="G972" s="24" t="n"/>
      <c r="H972" s="22" t="n"/>
      <c r="I972" s="25">
        <f>IF(AND(ISNUMBER(D972),ISNUMBER(E972)),E972-D972,"")</f>
        <v/>
      </c>
      <c r="J972" s="26">
        <f>IF(AND(ISNUMBER(I972),ISNUMBER(G972)),IF(I972&gt;0,G972/I972,""),"")</f>
        <v/>
      </c>
      <c r="K972" s="25">
        <f>IF(COUNTA(A972:H972)=0,"",IF(OR(A972="",B972="",C972="",D972="",E972="",F972="",G972="",H972=""),"HATA: eksik bilgi",IF(COUNTIF(OdaListesi,A972)=0,"HATA: geçersiz oda no",IF(OR(NOT(ISNUMBER(D972)),NOT(ISNUMBER(E972))),"HATA: tarih geçersiz",IF(E972&lt;=D972,"HATA: çıkış girişten sonra olmalı",IF(OR(NOT(ISNUMBER(C972)),C972&lt;1,C972&gt;MaxKisi,C972&lt;&gt;INT(C972)),"HATA: kişi sayısı geçersiz",IF(OR(NOT(ISNUMBER(G972)),G972&lt;0),"HATA: tutar geçersiz",IF(B972&lt;&gt;TRIM(B972),"HATA: isimde baştaki/sondaki boşluk",IF(COUNTIF(KaynakAralik,H972)=0,"HATA: kaynak listede yok",IF(AND(F972&lt;&gt;"Bekleniyor",F972&lt;&gt;"Geldi",F972&lt;&gt;"İptal"),"HATA: giriş durumu geçersiz",IF(AND(F972&lt;&gt;"İptal",COUNTIFS($A$6:$A$1005,A972,$D$6:$D$1005,"&lt;"&amp;E972,$E$6:$E$1005,"&gt;"&amp;D972,$F$6:$F$1005,"&lt;&gt;İptal")&gt;1),"HATA: oda bu tarihlerde çakışıyor",IF(AND(F972="Bekleniyor",D972&lt;RaporTarihi),"HATA: giriş günü geçti, Geldi veya İptal yapın","OK"))))))))))))</f>
        <v/>
      </c>
      <c r="L972" s="25">
        <f>IF(AND(ISNUMBER(A972),F972&lt;&gt;"İptal",ISNUMBER(D972),ISNUMBER(E972),D972&lt;=RaporTarihi,E972&gt;RaporTarihi),A972,"")</f>
        <v/>
      </c>
    </row>
    <row r="973">
      <c r="A973" s="22" t="n"/>
      <c r="B973" s="22" t="n"/>
      <c r="C973" s="22" t="n"/>
      <c r="D973" s="23" t="n"/>
      <c r="E973" s="23" t="n"/>
      <c r="F973" s="22" t="n"/>
      <c r="G973" s="24" t="n"/>
      <c r="H973" s="22" t="n"/>
      <c r="I973" s="25">
        <f>IF(AND(ISNUMBER(D973),ISNUMBER(E973)),E973-D973,"")</f>
        <v/>
      </c>
      <c r="J973" s="26">
        <f>IF(AND(ISNUMBER(I973),ISNUMBER(G973)),IF(I973&gt;0,G973/I973,""),"")</f>
        <v/>
      </c>
      <c r="K973" s="25">
        <f>IF(COUNTA(A973:H973)=0,"",IF(OR(A973="",B973="",C973="",D973="",E973="",F973="",G973="",H973=""),"HATA: eksik bilgi",IF(COUNTIF(OdaListesi,A973)=0,"HATA: geçersiz oda no",IF(OR(NOT(ISNUMBER(D973)),NOT(ISNUMBER(E973))),"HATA: tarih geçersiz",IF(E973&lt;=D973,"HATA: çıkış girişten sonra olmalı",IF(OR(NOT(ISNUMBER(C973)),C973&lt;1,C973&gt;MaxKisi,C973&lt;&gt;INT(C973)),"HATA: kişi sayısı geçersiz",IF(OR(NOT(ISNUMBER(G973)),G973&lt;0),"HATA: tutar geçersiz",IF(B973&lt;&gt;TRIM(B973),"HATA: isimde baştaki/sondaki boşluk",IF(COUNTIF(KaynakAralik,H973)=0,"HATA: kaynak listede yok",IF(AND(F973&lt;&gt;"Bekleniyor",F973&lt;&gt;"Geldi",F973&lt;&gt;"İptal"),"HATA: giriş durumu geçersiz",IF(AND(F973&lt;&gt;"İptal",COUNTIFS($A$6:$A$1005,A973,$D$6:$D$1005,"&lt;"&amp;E973,$E$6:$E$1005,"&gt;"&amp;D973,$F$6:$F$1005,"&lt;&gt;İptal")&gt;1),"HATA: oda bu tarihlerde çakışıyor",IF(AND(F973="Bekleniyor",D973&lt;RaporTarihi),"HATA: giriş günü geçti, Geldi veya İptal yapın","OK"))))))))))))</f>
        <v/>
      </c>
      <c r="L973" s="25">
        <f>IF(AND(ISNUMBER(A973),F973&lt;&gt;"İptal",ISNUMBER(D973),ISNUMBER(E973),D973&lt;=RaporTarihi,E973&gt;RaporTarihi),A973,"")</f>
        <v/>
      </c>
    </row>
    <row r="974">
      <c r="A974" s="22" t="n"/>
      <c r="B974" s="22" t="n"/>
      <c r="C974" s="22" t="n"/>
      <c r="D974" s="23" t="n"/>
      <c r="E974" s="23" t="n"/>
      <c r="F974" s="22" t="n"/>
      <c r="G974" s="24" t="n"/>
      <c r="H974" s="22" t="n"/>
      <c r="I974" s="25">
        <f>IF(AND(ISNUMBER(D974),ISNUMBER(E974)),E974-D974,"")</f>
        <v/>
      </c>
      <c r="J974" s="26">
        <f>IF(AND(ISNUMBER(I974),ISNUMBER(G974)),IF(I974&gt;0,G974/I974,""),"")</f>
        <v/>
      </c>
      <c r="K974" s="25">
        <f>IF(COUNTA(A974:H974)=0,"",IF(OR(A974="",B974="",C974="",D974="",E974="",F974="",G974="",H974=""),"HATA: eksik bilgi",IF(COUNTIF(OdaListesi,A974)=0,"HATA: geçersiz oda no",IF(OR(NOT(ISNUMBER(D974)),NOT(ISNUMBER(E974))),"HATA: tarih geçersiz",IF(E974&lt;=D974,"HATA: çıkış girişten sonra olmalı",IF(OR(NOT(ISNUMBER(C974)),C974&lt;1,C974&gt;MaxKisi,C974&lt;&gt;INT(C974)),"HATA: kişi sayısı geçersiz",IF(OR(NOT(ISNUMBER(G974)),G974&lt;0),"HATA: tutar geçersiz",IF(B974&lt;&gt;TRIM(B974),"HATA: isimde baştaki/sondaki boşluk",IF(COUNTIF(KaynakAralik,H974)=0,"HATA: kaynak listede yok",IF(AND(F974&lt;&gt;"Bekleniyor",F974&lt;&gt;"Geldi",F974&lt;&gt;"İptal"),"HATA: giriş durumu geçersiz",IF(AND(F974&lt;&gt;"İptal",COUNTIFS($A$6:$A$1005,A974,$D$6:$D$1005,"&lt;"&amp;E974,$E$6:$E$1005,"&gt;"&amp;D974,$F$6:$F$1005,"&lt;&gt;İptal")&gt;1),"HATA: oda bu tarihlerde çakışıyor",IF(AND(F974="Bekleniyor",D974&lt;RaporTarihi),"HATA: giriş günü geçti, Geldi veya İptal yapın","OK"))))))))))))</f>
        <v/>
      </c>
      <c r="L974" s="25">
        <f>IF(AND(ISNUMBER(A974),F974&lt;&gt;"İptal",ISNUMBER(D974),ISNUMBER(E974),D974&lt;=RaporTarihi,E974&gt;RaporTarihi),A974,"")</f>
        <v/>
      </c>
    </row>
    <row r="975">
      <c r="A975" s="22" t="n"/>
      <c r="B975" s="22" t="n"/>
      <c r="C975" s="22" t="n"/>
      <c r="D975" s="23" t="n"/>
      <c r="E975" s="23" t="n"/>
      <c r="F975" s="22" t="n"/>
      <c r="G975" s="24" t="n"/>
      <c r="H975" s="22" t="n"/>
      <c r="I975" s="25">
        <f>IF(AND(ISNUMBER(D975),ISNUMBER(E975)),E975-D975,"")</f>
        <v/>
      </c>
      <c r="J975" s="26">
        <f>IF(AND(ISNUMBER(I975),ISNUMBER(G975)),IF(I975&gt;0,G975/I975,""),"")</f>
        <v/>
      </c>
      <c r="K975" s="25">
        <f>IF(COUNTA(A975:H975)=0,"",IF(OR(A975="",B975="",C975="",D975="",E975="",F975="",G975="",H975=""),"HATA: eksik bilgi",IF(COUNTIF(OdaListesi,A975)=0,"HATA: geçersiz oda no",IF(OR(NOT(ISNUMBER(D975)),NOT(ISNUMBER(E975))),"HATA: tarih geçersiz",IF(E975&lt;=D975,"HATA: çıkış girişten sonra olmalı",IF(OR(NOT(ISNUMBER(C975)),C975&lt;1,C975&gt;MaxKisi,C975&lt;&gt;INT(C975)),"HATA: kişi sayısı geçersiz",IF(OR(NOT(ISNUMBER(G975)),G975&lt;0),"HATA: tutar geçersiz",IF(B975&lt;&gt;TRIM(B975),"HATA: isimde baştaki/sondaki boşluk",IF(COUNTIF(KaynakAralik,H975)=0,"HATA: kaynak listede yok",IF(AND(F975&lt;&gt;"Bekleniyor",F975&lt;&gt;"Geldi",F975&lt;&gt;"İptal"),"HATA: giriş durumu geçersiz",IF(AND(F975&lt;&gt;"İptal",COUNTIFS($A$6:$A$1005,A975,$D$6:$D$1005,"&lt;"&amp;E975,$E$6:$E$1005,"&gt;"&amp;D975,$F$6:$F$1005,"&lt;&gt;İptal")&gt;1),"HATA: oda bu tarihlerde çakışıyor",IF(AND(F975="Bekleniyor",D975&lt;RaporTarihi),"HATA: giriş günü geçti, Geldi veya İptal yapın","OK"))))))))))))</f>
        <v/>
      </c>
      <c r="L975" s="25">
        <f>IF(AND(ISNUMBER(A975),F975&lt;&gt;"İptal",ISNUMBER(D975),ISNUMBER(E975),D975&lt;=RaporTarihi,E975&gt;RaporTarihi),A975,"")</f>
        <v/>
      </c>
    </row>
    <row r="976">
      <c r="A976" s="22" t="n"/>
      <c r="B976" s="22" t="n"/>
      <c r="C976" s="22" t="n"/>
      <c r="D976" s="23" t="n"/>
      <c r="E976" s="23" t="n"/>
      <c r="F976" s="22" t="n"/>
      <c r="G976" s="24" t="n"/>
      <c r="H976" s="22" t="n"/>
      <c r="I976" s="25">
        <f>IF(AND(ISNUMBER(D976),ISNUMBER(E976)),E976-D976,"")</f>
        <v/>
      </c>
      <c r="J976" s="26">
        <f>IF(AND(ISNUMBER(I976),ISNUMBER(G976)),IF(I976&gt;0,G976/I976,""),"")</f>
        <v/>
      </c>
      <c r="K976" s="25">
        <f>IF(COUNTA(A976:H976)=0,"",IF(OR(A976="",B976="",C976="",D976="",E976="",F976="",G976="",H976=""),"HATA: eksik bilgi",IF(COUNTIF(OdaListesi,A976)=0,"HATA: geçersiz oda no",IF(OR(NOT(ISNUMBER(D976)),NOT(ISNUMBER(E976))),"HATA: tarih geçersiz",IF(E976&lt;=D976,"HATA: çıkış girişten sonra olmalı",IF(OR(NOT(ISNUMBER(C976)),C976&lt;1,C976&gt;MaxKisi,C976&lt;&gt;INT(C976)),"HATA: kişi sayısı geçersiz",IF(OR(NOT(ISNUMBER(G976)),G976&lt;0),"HATA: tutar geçersiz",IF(B976&lt;&gt;TRIM(B976),"HATA: isimde baştaki/sondaki boşluk",IF(COUNTIF(KaynakAralik,H976)=0,"HATA: kaynak listede yok",IF(AND(F976&lt;&gt;"Bekleniyor",F976&lt;&gt;"Geldi",F976&lt;&gt;"İptal"),"HATA: giriş durumu geçersiz",IF(AND(F976&lt;&gt;"İptal",COUNTIFS($A$6:$A$1005,A976,$D$6:$D$1005,"&lt;"&amp;E976,$E$6:$E$1005,"&gt;"&amp;D976,$F$6:$F$1005,"&lt;&gt;İptal")&gt;1),"HATA: oda bu tarihlerde çakışıyor",IF(AND(F976="Bekleniyor",D976&lt;RaporTarihi),"HATA: giriş günü geçti, Geldi veya İptal yapın","OK"))))))))))))</f>
        <v/>
      </c>
      <c r="L976" s="25">
        <f>IF(AND(ISNUMBER(A976),F976&lt;&gt;"İptal",ISNUMBER(D976),ISNUMBER(E976),D976&lt;=RaporTarihi,E976&gt;RaporTarihi),A976,"")</f>
        <v/>
      </c>
    </row>
    <row r="977">
      <c r="A977" s="22" t="n"/>
      <c r="B977" s="22" t="n"/>
      <c r="C977" s="22" t="n"/>
      <c r="D977" s="23" t="n"/>
      <c r="E977" s="23" t="n"/>
      <c r="F977" s="22" t="n"/>
      <c r="G977" s="24" t="n"/>
      <c r="H977" s="22" t="n"/>
      <c r="I977" s="25">
        <f>IF(AND(ISNUMBER(D977),ISNUMBER(E977)),E977-D977,"")</f>
        <v/>
      </c>
      <c r="J977" s="26">
        <f>IF(AND(ISNUMBER(I977),ISNUMBER(G977)),IF(I977&gt;0,G977/I977,""),"")</f>
        <v/>
      </c>
      <c r="K977" s="25">
        <f>IF(COUNTA(A977:H977)=0,"",IF(OR(A977="",B977="",C977="",D977="",E977="",F977="",G977="",H977=""),"HATA: eksik bilgi",IF(COUNTIF(OdaListesi,A977)=0,"HATA: geçersiz oda no",IF(OR(NOT(ISNUMBER(D977)),NOT(ISNUMBER(E977))),"HATA: tarih geçersiz",IF(E977&lt;=D977,"HATA: çıkış girişten sonra olmalı",IF(OR(NOT(ISNUMBER(C977)),C977&lt;1,C977&gt;MaxKisi,C977&lt;&gt;INT(C977)),"HATA: kişi sayısı geçersiz",IF(OR(NOT(ISNUMBER(G977)),G977&lt;0),"HATA: tutar geçersiz",IF(B977&lt;&gt;TRIM(B977),"HATA: isimde baştaki/sondaki boşluk",IF(COUNTIF(KaynakAralik,H977)=0,"HATA: kaynak listede yok",IF(AND(F977&lt;&gt;"Bekleniyor",F977&lt;&gt;"Geldi",F977&lt;&gt;"İptal"),"HATA: giriş durumu geçersiz",IF(AND(F977&lt;&gt;"İptal",COUNTIFS($A$6:$A$1005,A977,$D$6:$D$1005,"&lt;"&amp;E977,$E$6:$E$1005,"&gt;"&amp;D977,$F$6:$F$1005,"&lt;&gt;İptal")&gt;1),"HATA: oda bu tarihlerde çakışıyor",IF(AND(F977="Bekleniyor",D977&lt;RaporTarihi),"HATA: giriş günü geçti, Geldi veya İptal yapın","OK"))))))))))))</f>
        <v/>
      </c>
      <c r="L977" s="25">
        <f>IF(AND(ISNUMBER(A977),F977&lt;&gt;"İptal",ISNUMBER(D977),ISNUMBER(E977),D977&lt;=RaporTarihi,E977&gt;RaporTarihi),A977,"")</f>
        <v/>
      </c>
    </row>
    <row r="978">
      <c r="A978" s="22" t="n"/>
      <c r="B978" s="22" t="n"/>
      <c r="C978" s="22" t="n"/>
      <c r="D978" s="23" t="n"/>
      <c r="E978" s="23" t="n"/>
      <c r="F978" s="22" t="n"/>
      <c r="G978" s="24" t="n"/>
      <c r="H978" s="22" t="n"/>
      <c r="I978" s="25">
        <f>IF(AND(ISNUMBER(D978),ISNUMBER(E978)),E978-D978,"")</f>
        <v/>
      </c>
      <c r="J978" s="26">
        <f>IF(AND(ISNUMBER(I978),ISNUMBER(G978)),IF(I978&gt;0,G978/I978,""),"")</f>
        <v/>
      </c>
      <c r="K978" s="25">
        <f>IF(COUNTA(A978:H978)=0,"",IF(OR(A978="",B978="",C978="",D978="",E978="",F978="",G978="",H978=""),"HATA: eksik bilgi",IF(COUNTIF(OdaListesi,A978)=0,"HATA: geçersiz oda no",IF(OR(NOT(ISNUMBER(D978)),NOT(ISNUMBER(E978))),"HATA: tarih geçersiz",IF(E978&lt;=D978,"HATA: çıkış girişten sonra olmalı",IF(OR(NOT(ISNUMBER(C978)),C978&lt;1,C978&gt;MaxKisi,C978&lt;&gt;INT(C978)),"HATA: kişi sayısı geçersiz",IF(OR(NOT(ISNUMBER(G978)),G978&lt;0),"HATA: tutar geçersiz",IF(B978&lt;&gt;TRIM(B978),"HATA: isimde baştaki/sondaki boşluk",IF(COUNTIF(KaynakAralik,H978)=0,"HATA: kaynak listede yok",IF(AND(F978&lt;&gt;"Bekleniyor",F978&lt;&gt;"Geldi",F978&lt;&gt;"İptal"),"HATA: giriş durumu geçersiz",IF(AND(F978&lt;&gt;"İptal",COUNTIFS($A$6:$A$1005,A978,$D$6:$D$1005,"&lt;"&amp;E978,$E$6:$E$1005,"&gt;"&amp;D978,$F$6:$F$1005,"&lt;&gt;İptal")&gt;1),"HATA: oda bu tarihlerde çakışıyor",IF(AND(F978="Bekleniyor",D978&lt;RaporTarihi),"HATA: giriş günü geçti, Geldi veya İptal yapın","OK"))))))))))))</f>
        <v/>
      </c>
      <c r="L978" s="25">
        <f>IF(AND(ISNUMBER(A978),F978&lt;&gt;"İptal",ISNUMBER(D978),ISNUMBER(E978),D978&lt;=RaporTarihi,E978&gt;RaporTarihi),A978,"")</f>
        <v/>
      </c>
    </row>
    <row r="979">
      <c r="A979" s="22" t="n"/>
      <c r="B979" s="22" t="n"/>
      <c r="C979" s="22" t="n"/>
      <c r="D979" s="23" t="n"/>
      <c r="E979" s="23" t="n"/>
      <c r="F979" s="22" t="n"/>
      <c r="G979" s="24" t="n"/>
      <c r="H979" s="22" t="n"/>
      <c r="I979" s="25">
        <f>IF(AND(ISNUMBER(D979),ISNUMBER(E979)),E979-D979,"")</f>
        <v/>
      </c>
      <c r="J979" s="26">
        <f>IF(AND(ISNUMBER(I979),ISNUMBER(G979)),IF(I979&gt;0,G979/I979,""),"")</f>
        <v/>
      </c>
      <c r="K979" s="25">
        <f>IF(COUNTA(A979:H979)=0,"",IF(OR(A979="",B979="",C979="",D979="",E979="",F979="",G979="",H979=""),"HATA: eksik bilgi",IF(COUNTIF(OdaListesi,A979)=0,"HATA: geçersiz oda no",IF(OR(NOT(ISNUMBER(D979)),NOT(ISNUMBER(E979))),"HATA: tarih geçersiz",IF(E979&lt;=D979,"HATA: çıkış girişten sonra olmalı",IF(OR(NOT(ISNUMBER(C979)),C979&lt;1,C979&gt;MaxKisi,C979&lt;&gt;INT(C979)),"HATA: kişi sayısı geçersiz",IF(OR(NOT(ISNUMBER(G979)),G979&lt;0),"HATA: tutar geçersiz",IF(B979&lt;&gt;TRIM(B979),"HATA: isimde baştaki/sondaki boşluk",IF(COUNTIF(KaynakAralik,H979)=0,"HATA: kaynak listede yok",IF(AND(F979&lt;&gt;"Bekleniyor",F979&lt;&gt;"Geldi",F979&lt;&gt;"İptal"),"HATA: giriş durumu geçersiz",IF(AND(F979&lt;&gt;"İptal",COUNTIFS($A$6:$A$1005,A979,$D$6:$D$1005,"&lt;"&amp;E979,$E$6:$E$1005,"&gt;"&amp;D979,$F$6:$F$1005,"&lt;&gt;İptal")&gt;1),"HATA: oda bu tarihlerde çakışıyor",IF(AND(F979="Bekleniyor",D979&lt;RaporTarihi),"HATA: giriş günü geçti, Geldi veya İptal yapın","OK"))))))))))))</f>
        <v/>
      </c>
      <c r="L979" s="25">
        <f>IF(AND(ISNUMBER(A979),F979&lt;&gt;"İptal",ISNUMBER(D979),ISNUMBER(E979),D979&lt;=RaporTarihi,E979&gt;RaporTarihi),A979,"")</f>
        <v/>
      </c>
    </row>
    <row r="980">
      <c r="A980" s="22" t="n"/>
      <c r="B980" s="22" t="n"/>
      <c r="C980" s="22" t="n"/>
      <c r="D980" s="23" t="n"/>
      <c r="E980" s="23" t="n"/>
      <c r="F980" s="22" t="n"/>
      <c r="G980" s="24" t="n"/>
      <c r="H980" s="22" t="n"/>
      <c r="I980" s="25">
        <f>IF(AND(ISNUMBER(D980),ISNUMBER(E980)),E980-D980,"")</f>
        <v/>
      </c>
      <c r="J980" s="26">
        <f>IF(AND(ISNUMBER(I980),ISNUMBER(G980)),IF(I980&gt;0,G980/I980,""),"")</f>
        <v/>
      </c>
      <c r="K980" s="25">
        <f>IF(COUNTA(A980:H980)=0,"",IF(OR(A980="",B980="",C980="",D980="",E980="",F980="",G980="",H980=""),"HATA: eksik bilgi",IF(COUNTIF(OdaListesi,A980)=0,"HATA: geçersiz oda no",IF(OR(NOT(ISNUMBER(D980)),NOT(ISNUMBER(E980))),"HATA: tarih geçersiz",IF(E980&lt;=D980,"HATA: çıkış girişten sonra olmalı",IF(OR(NOT(ISNUMBER(C980)),C980&lt;1,C980&gt;MaxKisi,C980&lt;&gt;INT(C980)),"HATA: kişi sayısı geçersiz",IF(OR(NOT(ISNUMBER(G980)),G980&lt;0),"HATA: tutar geçersiz",IF(B980&lt;&gt;TRIM(B980),"HATA: isimde baştaki/sondaki boşluk",IF(COUNTIF(KaynakAralik,H980)=0,"HATA: kaynak listede yok",IF(AND(F980&lt;&gt;"Bekleniyor",F980&lt;&gt;"Geldi",F980&lt;&gt;"İptal"),"HATA: giriş durumu geçersiz",IF(AND(F980&lt;&gt;"İptal",COUNTIFS($A$6:$A$1005,A980,$D$6:$D$1005,"&lt;"&amp;E980,$E$6:$E$1005,"&gt;"&amp;D980,$F$6:$F$1005,"&lt;&gt;İptal")&gt;1),"HATA: oda bu tarihlerde çakışıyor",IF(AND(F980="Bekleniyor",D980&lt;RaporTarihi),"HATA: giriş günü geçti, Geldi veya İptal yapın","OK"))))))))))))</f>
        <v/>
      </c>
      <c r="L980" s="25">
        <f>IF(AND(ISNUMBER(A980),F980&lt;&gt;"İptal",ISNUMBER(D980),ISNUMBER(E980),D980&lt;=RaporTarihi,E980&gt;RaporTarihi),A980,"")</f>
        <v/>
      </c>
    </row>
    <row r="981">
      <c r="A981" s="22" t="n"/>
      <c r="B981" s="22" t="n"/>
      <c r="C981" s="22" t="n"/>
      <c r="D981" s="23" t="n"/>
      <c r="E981" s="23" t="n"/>
      <c r="F981" s="22" t="n"/>
      <c r="G981" s="24" t="n"/>
      <c r="H981" s="22" t="n"/>
      <c r="I981" s="25">
        <f>IF(AND(ISNUMBER(D981),ISNUMBER(E981)),E981-D981,"")</f>
        <v/>
      </c>
      <c r="J981" s="26">
        <f>IF(AND(ISNUMBER(I981),ISNUMBER(G981)),IF(I981&gt;0,G981/I981,""),"")</f>
        <v/>
      </c>
      <c r="K981" s="25">
        <f>IF(COUNTA(A981:H981)=0,"",IF(OR(A981="",B981="",C981="",D981="",E981="",F981="",G981="",H981=""),"HATA: eksik bilgi",IF(COUNTIF(OdaListesi,A981)=0,"HATA: geçersiz oda no",IF(OR(NOT(ISNUMBER(D981)),NOT(ISNUMBER(E981))),"HATA: tarih geçersiz",IF(E981&lt;=D981,"HATA: çıkış girişten sonra olmalı",IF(OR(NOT(ISNUMBER(C981)),C981&lt;1,C981&gt;MaxKisi,C981&lt;&gt;INT(C981)),"HATA: kişi sayısı geçersiz",IF(OR(NOT(ISNUMBER(G981)),G981&lt;0),"HATA: tutar geçersiz",IF(B981&lt;&gt;TRIM(B981),"HATA: isimde baştaki/sondaki boşluk",IF(COUNTIF(KaynakAralik,H981)=0,"HATA: kaynak listede yok",IF(AND(F981&lt;&gt;"Bekleniyor",F981&lt;&gt;"Geldi",F981&lt;&gt;"İptal"),"HATA: giriş durumu geçersiz",IF(AND(F981&lt;&gt;"İptal",COUNTIFS($A$6:$A$1005,A981,$D$6:$D$1005,"&lt;"&amp;E981,$E$6:$E$1005,"&gt;"&amp;D981,$F$6:$F$1005,"&lt;&gt;İptal")&gt;1),"HATA: oda bu tarihlerde çakışıyor",IF(AND(F981="Bekleniyor",D981&lt;RaporTarihi),"HATA: giriş günü geçti, Geldi veya İptal yapın","OK"))))))))))))</f>
        <v/>
      </c>
      <c r="L981" s="25">
        <f>IF(AND(ISNUMBER(A981),F981&lt;&gt;"İptal",ISNUMBER(D981),ISNUMBER(E981),D981&lt;=RaporTarihi,E981&gt;RaporTarihi),A981,"")</f>
        <v/>
      </c>
    </row>
    <row r="982">
      <c r="A982" s="22" t="n"/>
      <c r="B982" s="22" t="n"/>
      <c r="C982" s="22" t="n"/>
      <c r="D982" s="23" t="n"/>
      <c r="E982" s="23" t="n"/>
      <c r="F982" s="22" t="n"/>
      <c r="G982" s="24" t="n"/>
      <c r="H982" s="22" t="n"/>
      <c r="I982" s="25">
        <f>IF(AND(ISNUMBER(D982),ISNUMBER(E982)),E982-D982,"")</f>
        <v/>
      </c>
      <c r="J982" s="26">
        <f>IF(AND(ISNUMBER(I982),ISNUMBER(G982)),IF(I982&gt;0,G982/I982,""),"")</f>
        <v/>
      </c>
      <c r="K982" s="25">
        <f>IF(COUNTA(A982:H982)=0,"",IF(OR(A982="",B982="",C982="",D982="",E982="",F982="",G982="",H982=""),"HATA: eksik bilgi",IF(COUNTIF(OdaListesi,A982)=0,"HATA: geçersiz oda no",IF(OR(NOT(ISNUMBER(D982)),NOT(ISNUMBER(E982))),"HATA: tarih geçersiz",IF(E982&lt;=D982,"HATA: çıkış girişten sonra olmalı",IF(OR(NOT(ISNUMBER(C982)),C982&lt;1,C982&gt;MaxKisi,C982&lt;&gt;INT(C982)),"HATA: kişi sayısı geçersiz",IF(OR(NOT(ISNUMBER(G982)),G982&lt;0),"HATA: tutar geçersiz",IF(B982&lt;&gt;TRIM(B982),"HATA: isimde baştaki/sondaki boşluk",IF(COUNTIF(KaynakAralik,H982)=0,"HATA: kaynak listede yok",IF(AND(F982&lt;&gt;"Bekleniyor",F982&lt;&gt;"Geldi",F982&lt;&gt;"İptal"),"HATA: giriş durumu geçersiz",IF(AND(F982&lt;&gt;"İptal",COUNTIFS($A$6:$A$1005,A982,$D$6:$D$1005,"&lt;"&amp;E982,$E$6:$E$1005,"&gt;"&amp;D982,$F$6:$F$1005,"&lt;&gt;İptal")&gt;1),"HATA: oda bu tarihlerde çakışıyor",IF(AND(F982="Bekleniyor",D982&lt;RaporTarihi),"HATA: giriş günü geçti, Geldi veya İptal yapın","OK"))))))))))))</f>
        <v/>
      </c>
      <c r="L982" s="25">
        <f>IF(AND(ISNUMBER(A982),F982&lt;&gt;"İptal",ISNUMBER(D982),ISNUMBER(E982),D982&lt;=RaporTarihi,E982&gt;RaporTarihi),A982,"")</f>
        <v/>
      </c>
    </row>
    <row r="983">
      <c r="A983" s="22" t="n"/>
      <c r="B983" s="22" t="n"/>
      <c r="C983" s="22" t="n"/>
      <c r="D983" s="23" t="n"/>
      <c r="E983" s="23" t="n"/>
      <c r="F983" s="22" t="n"/>
      <c r="G983" s="24" t="n"/>
      <c r="H983" s="22" t="n"/>
      <c r="I983" s="25">
        <f>IF(AND(ISNUMBER(D983),ISNUMBER(E983)),E983-D983,"")</f>
        <v/>
      </c>
      <c r="J983" s="26">
        <f>IF(AND(ISNUMBER(I983),ISNUMBER(G983)),IF(I983&gt;0,G983/I983,""),"")</f>
        <v/>
      </c>
      <c r="K983" s="25">
        <f>IF(COUNTA(A983:H983)=0,"",IF(OR(A983="",B983="",C983="",D983="",E983="",F983="",G983="",H983=""),"HATA: eksik bilgi",IF(COUNTIF(OdaListesi,A983)=0,"HATA: geçersiz oda no",IF(OR(NOT(ISNUMBER(D983)),NOT(ISNUMBER(E983))),"HATA: tarih geçersiz",IF(E983&lt;=D983,"HATA: çıkış girişten sonra olmalı",IF(OR(NOT(ISNUMBER(C983)),C983&lt;1,C983&gt;MaxKisi,C983&lt;&gt;INT(C983)),"HATA: kişi sayısı geçersiz",IF(OR(NOT(ISNUMBER(G983)),G983&lt;0),"HATA: tutar geçersiz",IF(B983&lt;&gt;TRIM(B983),"HATA: isimde baştaki/sondaki boşluk",IF(COUNTIF(KaynakAralik,H983)=0,"HATA: kaynak listede yok",IF(AND(F983&lt;&gt;"Bekleniyor",F983&lt;&gt;"Geldi",F983&lt;&gt;"İptal"),"HATA: giriş durumu geçersiz",IF(AND(F983&lt;&gt;"İptal",COUNTIFS($A$6:$A$1005,A983,$D$6:$D$1005,"&lt;"&amp;E983,$E$6:$E$1005,"&gt;"&amp;D983,$F$6:$F$1005,"&lt;&gt;İptal")&gt;1),"HATA: oda bu tarihlerde çakışıyor",IF(AND(F983="Bekleniyor",D983&lt;RaporTarihi),"HATA: giriş günü geçti, Geldi veya İptal yapın","OK"))))))))))))</f>
        <v/>
      </c>
      <c r="L983" s="25">
        <f>IF(AND(ISNUMBER(A983),F983&lt;&gt;"İptal",ISNUMBER(D983),ISNUMBER(E983),D983&lt;=RaporTarihi,E983&gt;RaporTarihi),A983,"")</f>
        <v/>
      </c>
    </row>
    <row r="984">
      <c r="A984" s="22" t="n"/>
      <c r="B984" s="22" t="n"/>
      <c r="C984" s="22" t="n"/>
      <c r="D984" s="23" t="n"/>
      <c r="E984" s="23" t="n"/>
      <c r="F984" s="22" t="n"/>
      <c r="G984" s="24" t="n"/>
      <c r="H984" s="22" t="n"/>
      <c r="I984" s="25">
        <f>IF(AND(ISNUMBER(D984),ISNUMBER(E984)),E984-D984,"")</f>
        <v/>
      </c>
      <c r="J984" s="26">
        <f>IF(AND(ISNUMBER(I984),ISNUMBER(G984)),IF(I984&gt;0,G984/I984,""),"")</f>
        <v/>
      </c>
      <c r="K984" s="25">
        <f>IF(COUNTA(A984:H984)=0,"",IF(OR(A984="",B984="",C984="",D984="",E984="",F984="",G984="",H984=""),"HATA: eksik bilgi",IF(COUNTIF(OdaListesi,A984)=0,"HATA: geçersiz oda no",IF(OR(NOT(ISNUMBER(D984)),NOT(ISNUMBER(E984))),"HATA: tarih geçersiz",IF(E984&lt;=D984,"HATA: çıkış girişten sonra olmalı",IF(OR(NOT(ISNUMBER(C984)),C984&lt;1,C984&gt;MaxKisi,C984&lt;&gt;INT(C984)),"HATA: kişi sayısı geçersiz",IF(OR(NOT(ISNUMBER(G984)),G984&lt;0),"HATA: tutar geçersiz",IF(B984&lt;&gt;TRIM(B984),"HATA: isimde baştaki/sondaki boşluk",IF(COUNTIF(KaynakAralik,H984)=0,"HATA: kaynak listede yok",IF(AND(F984&lt;&gt;"Bekleniyor",F984&lt;&gt;"Geldi",F984&lt;&gt;"İptal"),"HATA: giriş durumu geçersiz",IF(AND(F984&lt;&gt;"İptal",COUNTIFS($A$6:$A$1005,A984,$D$6:$D$1005,"&lt;"&amp;E984,$E$6:$E$1005,"&gt;"&amp;D984,$F$6:$F$1005,"&lt;&gt;İptal")&gt;1),"HATA: oda bu tarihlerde çakışıyor",IF(AND(F984="Bekleniyor",D984&lt;RaporTarihi),"HATA: giriş günü geçti, Geldi veya İptal yapın","OK"))))))))))))</f>
        <v/>
      </c>
      <c r="L984" s="25">
        <f>IF(AND(ISNUMBER(A984),F984&lt;&gt;"İptal",ISNUMBER(D984),ISNUMBER(E984),D984&lt;=RaporTarihi,E984&gt;RaporTarihi),A984,"")</f>
        <v/>
      </c>
    </row>
    <row r="985">
      <c r="A985" s="22" t="n"/>
      <c r="B985" s="22" t="n"/>
      <c r="C985" s="22" t="n"/>
      <c r="D985" s="23" t="n"/>
      <c r="E985" s="23" t="n"/>
      <c r="F985" s="22" t="n"/>
      <c r="G985" s="24" t="n"/>
      <c r="H985" s="22" t="n"/>
      <c r="I985" s="25">
        <f>IF(AND(ISNUMBER(D985),ISNUMBER(E985)),E985-D985,"")</f>
        <v/>
      </c>
      <c r="J985" s="26">
        <f>IF(AND(ISNUMBER(I985),ISNUMBER(G985)),IF(I985&gt;0,G985/I985,""),"")</f>
        <v/>
      </c>
      <c r="K985" s="25">
        <f>IF(COUNTA(A985:H985)=0,"",IF(OR(A985="",B985="",C985="",D985="",E985="",F985="",G985="",H985=""),"HATA: eksik bilgi",IF(COUNTIF(OdaListesi,A985)=0,"HATA: geçersiz oda no",IF(OR(NOT(ISNUMBER(D985)),NOT(ISNUMBER(E985))),"HATA: tarih geçersiz",IF(E985&lt;=D985,"HATA: çıkış girişten sonra olmalı",IF(OR(NOT(ISNUMBER(C985)),C985&lt;1,C985&gt;MaxKisi,C985&lt;&gt;INT(C985)),"HATA: kişi sayısı geçersiz",IF(OR(NOT(ISNUMBER(G985)),G985&lt;0),"HATA: tutar geçersiz",IF(B985&lt;&gt;TRIM(B985),"HATA: isimde baştaki/sondaki boşluk",IF(COUNTIF(KaynakAralik,H985)=0,"HATA: kaynak listede yok",IF(AND(F985&lt;&gt;"Bekleniyor",F985&lt;&gt;"Geldi",F985&lt;&gt;"İptal"),"HATA: giriş durumu geçersiz",IF(AND(F985&lt;&gt;"İptal",COUNTIFS($A$6:$A$1005,A985,$D$6:$D$1005,"&lt;"&amp;E985,$E$6:$E$1005,"&gt;"&amp;D985,$F$6:$F$1005,"&lt;&gt;İptal")&gt;1),"HATA: oda bu tarihlerde çakışıyor",IF(AND(F985="Bekleniyor",D985&lt;RaporTarihi),"HATA: giriş günü geçti, Geldi veya İptal yapın","OK"))))))))))))</f>
        <v/>
      </c>
      <c r="L985" s="25">
        <f>IF(AND(ISNUMBER(A985),F985&lt;&gt;"İptal",ISNUMBER(D985),ISNUMBER(E985),D985&lt;=RaporTarihi,E985&gt;RaporTarihi),A985,"")</f>
        <v/>
      </c>
    </row>
    <row r="986">
      <c r="A986" s="22" t="n"/>
      <c r="B986" s="22" t="n"/>
      <c r="C986" s="22" t="n"/>
      <c r="D986" s="23" t="n"/>
      <c r="E986" s="23" t="n"/>
      <c r="F986" s="22" t="n"/>
      <c r="G986" s="24" t="n"/>
      <c r="H986" s="22" t="n"/>
      <c r="I986" s="25">
        <f>IF(AND(ISNUMBER(D986),ISNUMBER(E986)),E986-D986,"")</f>
        <v/>
      </c>
      <c r="J986" s="26">
        <f>IF(AND(ISNUMBER(I986),ISNUMBER(G986)),IF(I986&gt;0,G986/I986,""),"")</f>
        <v/>
      </c>
      <c r="K986" s="25">
        <f>IF(COUNTA(A986:H986)=0,"",IF(OR(A986="",B986="",C986="",D986="",E986="",F986="",G986="",H986=""),"HATA: eksik bilgi",IF(COUNTIF(OdaListesi,A986)=0,"HATA: geçersiz oda no",IF(OR(NOT(ISNUMBER(D986)),NOT(ISNUMBER(E986))),"HATA: tarih geçersiz",IF(E986&lt;=D986,"HATA: çıkış girişten sonra olmalı",IF(OR(NOT(ISNUMBER(C986)),C986&lt;1,C986&gt;MaxKisi,C986&lt;&gt;INT(C986)),"HATA: kişi sayısı geçersiz",IF(OR(NOT(ISNUMBER(G986)),G986&lt;0),"HATA: tutar geçersiz",IF(B986&lt;&gt;TRIM(B986),"HATA: isimde baştaki/sondaki boşluk",IF(COUNTIF(KaynakAralik,H986)=0,"HATA: kaynak listede yok",IF(AND(F986&lt;&gt;"Bekleniyor",F986&lt;&gt;"Geldi",F986&lt;&gt;"İptal"),"HATA: giriş durumu geçersiz",IF(AND(F986&lt;&gt;"İptal",COUNTIFS($A$6:$A$1005,A986,$D$6:$D$1005,"&lt;"&amp;E986,$E$6:$E$1005,"&gt;"&amp;D986,$F$6:$F$1005,"&lt;&gt;İptal")&gt;1),"HATA: oda bu tarihlerde çakışıyor",IF(AND(F986="Bekleniyor",D986&lt;RaporTarihi),"HATA: giriş günü geçti, Geldi veya İptal yapın","OK"))))))))))))</f>
        <v/>
      </c>
      <c r="L986" s="25">
        <f>IF(AND(ISNUMBER(A986),F986&lt;&gt;"İptal",ISNUMBER(D986),ISNUMBER(E986),D986&lt;=RaporTarihi,E986&gt;RaporTarihi),A986,"")</f>
        <v/>
      </c>
    </row>
    <row r="987">
      <c r="A987" s="22" t="n"/>
      <c r="B987" s="22" t="n"/>
      <c r="C987" s="22" t="n"/>
      <c r="D987" s="23" t="n"/>
      <c r="E987" s="23" t="n"/>
      <c r="F987" s="22" t="n"/>
      <c r="G987" s="24" t="n"/>
      <c r="H987" s="22" t="n"/>
      <c r="I987" s="25">
        <f>IF(AND(ISNUMBER(D987),ISNUMBER(E987)),E987-D987,"")</f>
        <v/>
      </c>
      <c r="J987" s="26">
        <f>IF(AND(ISNUMBER(I987),ISNUMBER(G987)),IF(I987&gt;0,G987/I987,""),"")</f>
        <v/>
      </c>
      <c r="K987" s="25">
        <f>IF(COUNTA(A987:H987)=0,"",IF(OR(A987="",B987="",C987="",D987="",E987="",F987="",G987="",H987=""),"HATA: eksik bilgi",IF(COUNTIF(OdaListesi,A987)=0,"HATA: geçersiz oda no",IF(OR(NOT(ISNUMBER(D987)),NOT(ISNUMBER(E987))),"HATA: tarih geçersiz",IF(E987&lt;=D987,"HATA: çıkış girişten sonra olmalı",IF(OR(NOT(ISNUMBER(C987)),C987&lt;1,C987&gt;MaxKisi,C987&lt;&gt;INT(C987)),"HATA: kişi sayısı geçersiz",IF(OR(NOT(ISNUMBER(G987)),G987&lt;0),"HATA: tutar geçersiz",IF(B987&lt;&gt;TRIM(B987),"HATA: isimde baştaki/sondaki boşluk",IF(COUNTIF(KaynakAralik,H987)=0,"HATA: kaynak listede yok",IF(AND(F987&lt;&gt;"Bekleniyor",F987&lt;&gt;"Geldi",F987&lt;&gt;"İptal"),"HATA: giriş durumu geçersiz",IF(AND(F987&lt;&gt;"İptal",COUNTIFS($A$6:$A$1005,A987,$D$6:$D$1005,"&lt;"&amp;E987,$E$6:$E$1005,"&gt;"&amp;D987,$F$6:$F$1005,"&lt;&gt;İptal")&gt;1),"HATA: oda bu tarihlerde çakışıyor",IF(AND(F987="Bekleniyor",D987&lt;RaporTarihi),"HATA: giriş günü geçti, Geldi veya İptal yapın","OK"))))))))))))</f>
        <v/>
      </c>
      <c r="L987" s="25">
        <f>IF(AND(ISNUMBER(A987),F987&lt;&gt;"İptal",ISNUMBER(D987),ISNUMBER(E987),D987&lt;=RaporTarihi,E987&gt;RaporTarihi),A987,"")</f>
        <v/>
      </c>
    </row>
    <row r="988">
      <c r="A988" s="22" t="n"/>
      <c r="B988" s="22" t="n"/>
      <c r="C988" s="22" t="n"/>
      <c r="D988" s="23" t="n"/>
      <c r="E988" s="23" t="n"/>
      <c r="F988" s="22" t="n"/>
      <c r="G988" s="24" t="n"/>
      <c r="H988" s="22" t="n"/>
      <c r="I988" s="25">
        <f>IF(AND(ISNUMBER(D988),ISNUMBER(E988)),E988-D988,"")</f>
        <v/>
      </c>
      <c r="J988" s="26">
        <f>IF(AND(ISNUMBER(I988),ISNUMBER(G988)),IF(I988&gt;0,G988/I988,""),"")</f>
        <v/>
      </c>
      <c r="K988" s="25">
        <f>IF(COUNTA(A988:H988)=0,"",IF(OR(A988="",B988="",C988="",D988="",E988="",F988="",G988="",H988=""),"HATA: eksik bilgi",IF(COUNTIF(OdaListesi,A988)=0,"HATA: geçersiz oda no",IF(OR(NOT(ISNUMBER(D988)),NOT(ISNUMBER(E988))),"HATA: tarih geçersiz",IF(E988&lt;=D988,"HATA: çıkış girişten sonra olmalı",IF(OR(NOT(ISNUMBER(C988)),C988&lt;1,C988&gt;MaxKisi,C988&lt;&gt;INT(C988)),"HATA: kişi sayısı geçersiz",IF(OR(NOT(ISNUMBER(G988)),G988&lt;0),"HATA: tutar geçersiz",IF(B988&lt;&gt;TRIM(B988),"HATA: isimde baştaki/sondaki boşluk",IF(COUNTIF(KaynakAralik,H988)=0,"HATA: kaynak listede yok",IF(AND(F988&lt;&gt;"Bekleniyor",F988&lt;&gt;"Geldi",F988&lt;&gt;"İptal"),"HATA: giriş durumu geçersiz",IF(AND(F988&lt;&gt;"İptal",COUNTIFS($A$6:$A$1005,A988,$D$6:$D$1005,"&lt;"&amp;E988,$E$6:$E$1005,"&gt;"&amp;D988,$F$6:$F$1005,"&lt;&gt;İptal")&gt;1),"HATA: oda bu tarihlerde çakışıyor",IF(AND(F988="Bekleniyor",D988&lt;RaporTarihi),"HATA: giriş günü geçti, Geldi veya İptal yapın","OK"))))))))))))</f>
        <v/>
      </c>
      <c r="L988" s="25">
        <f>IF(AND(ISNUMBER(A988),F988&lt;&gt;"İptal",ISNUMBER(D988),ISNUMBER(E988),D988&lt;=RaporTarihi,E988&gt;RaporTarihi),A988,"")</f>
        <v/>
      </c>
    </row>
    <row r="989">
      <c r="A989" s="22" t="n"/>
      <c r="B989" s="22" t="n"/>
      <c r="C989" s="22" t="n"/>
      <c r="D989" s="23" t="n"/>
      <c r="E989" s="23" t="n"/>
      <c r="F989" s="22" t="n"/>
      <c r="G989" s="24" t="n"/>
      <c r="H989" s="22" t="n"/>
      <c r="I989" s="25">
        <f>IF(AND(ISNUMBER(D989),ISNUMBER(E989)),E989-D989,"")</f>
        <v/>
      </c>
      <c r="J989" s="26">
        <f>IF(AND(ISNUMBER(I989),ISNUMBER(G989)),IF(I989&gt;0,G989/I989,""),"")</f>
        <v/>
      </c>
      <c r="K989" s="25">
        <f>IF(COUNTA(A989:H989)=0,"",IF(OR(A989="",B989="",C989="",D989="",E989="",F989="",G989="",H989=""),"HATA: eksik bilgi",IF(COUNTIF(OdaListesi,A989)=0,"HATA: geçersiz oda no",IF(OR(NOT(ISNUMBER(D989)),NOT(ISNUMBER(E989))),"HATA: tarih geçersiz",IF(E989&lt;=D989,"HATA: çıkış girişten sonra olmalı",IF(OR(NOT(ISNUMBER(C989)),C989&lt;1,C989&gt;MaxKisi,C989&lt;&gt;INT(C989)),"HATA: kişi sayısı geçersiz",IF(OR(NOT(ISNUMBER(G989)),G989&lt;0),"HATA: tutar geçersiz",IF(B989&lt;&gt;TRIM(B989),"HATA: isimde baştaki/sondaki boşluk",IF(COUNTIF(KaynakAralik,H989)=0,"HATA: kaynak listede yok",IF(AND(F989&lt;&gt;"Bekleniyor",F989&lt;&gt;"Geldi",F989&lt;&gt;"İptal"),"HATA: giriş durumu geçersiz",IF(AND(F989&lt;&gt;"İptal",COUNTIFS($A$6:$A$1005,A989,$D$6:$D$1005,"&lt;"&amp;E989,$E$6:$E$1005,"&gt;"&amp;D989,$F$6:$F$1005,"&lt;&gt;İptal")&gt;1),"HATA: oda bu tarihlerde çakışıyor",IF(AND(F989="Bekleniyor",D989&lt;RaporTarihi),"HATA: giriş günü geçti, Geldi veya İptal yapın","OK"))))))))))))</f>
        <v/>
      </c>
      <c r="L989" s="25">
        <f>IF(AND(ISNUMBER(A989),F989&lt;&gt;"İptal",ISNUMBER(D989),ISNUMBER(E989),D989&lt;=RaporTarihi,E989&gt;RaporTarihi),A989,"")</f>
        <v/>
      </c>
    </row>
    <row r="990">
      <c r="A990" s="22" t="n"/>
      <c r="B990" s="22" t="n"/>
      <c r="C990" s="22" t="n"/>
      <c r="D990" s="23" t="n"/>
      <c r="E990" s="23" t="n"/>
      <c r="F990" s="22" t="n"/>
      <c r="G990" s="24" t="n"/>
      <c r="H990" s="22" t="n"/>
      <c r="I990" s="25">
        <f>IF(AND(ISNUMBER(D990),ISNUMBER(E990)),E990-D990,"")</f>
        <v/>
      </c>
      <c r="J990" s="26">
        <f>IF(AND(ISNUMBER(I990),ISNUMBER(G990)),IF(I990&gt;0,G990/I990,""),"")</f>
        <v/>
      </c>
      <c r="K990" s="25">
        <f>IF(COUNTA(A990:H990)=0,"",IF(OR(A990="",B990="",C990="",D990="",E990="",F990="",G990="",H990=""),"HATA: eksik bilgi",IF(COUNTIF(OdaListesi,A990)=0,"HATA: geçersiz oda no",IF(OR(NOT(ISNUMBER(D990)),NOT(ISNUMBER(E990))),"HATA: tarih geçersiz",IF(E990&lt;=D990,"HATA: çıkış girişten sonra olmalı",IF(OR(NOT(ISNUMBER(C990)),C990&lt;1,C990&gt;MaxKisi,C990&lt;&gt;INT(C990)),"HATA: kişi sayısı geçersiz",IF(OR(NOT(ISNUMBER(G990)),G990&lt;0),"HATA: tutar geçersiz",IF(B990&lt;&gt;TRIM(B990),"HATA: isimde baştaki/sondaki boşluk",IF(COUNTIF(KaynakAralik,H990)=0,"HATA: kaynak listede yok",IF(AND(F990&lt;&gt;"Bekleniyor",F990&lt;&gt;"Geldi",F990&lt;&gt;"İptal"),"HATA: giriş durumu geçersiz",IF(AND(F990&lt;&gt;"İptal",COUNTIFS($A$6:$A$1005,A990,$D$6:$D$1005,"&lt;"&amp;E990,$E$6:$E$1005,"&gt;"&amp;D990,$F$6:$F$1005,"&lt;&gt;İptal")&gt;1),"HATA: oda bu tarihlerde çakışıyor",IF(AND(F990="Bekleniyor",D990&lt;RaporTarihi),"HATA: giriş günü geçti, Geldi veya İptal yapın","OK"))))))))))))</f>
        <v/>
      </c>
      <c r="L990" s="25">
        <f>IF(AND(ISNUMBER(A990),F990&lt;&gt;"İptal",ISNUMBER(D990),ISNUMBER(E990),D990&lt;=RaporTarihi,E990&gt;RaporTarihi),A990,"")</f>
        <v/>
      </c>
    </row>
    <row r="991">
      <c r="A991" s="22" t="n"/>
      <c r="B991" s="22" t="n"/>
      <c r="C991" s="22" t="n"/>
      <c r="D991" s="23" t="n"/>
      <c r="E991" s="23" t="n"/>
      <c r="F991" s="22" t="n"/>
      <c r="G991" s="24" t="n"/>
      <c r="H991" s="22" t="n"/>
      <c r="I991" s="25">
        <f>IF(AND(ISNUMBER(D991),ISNUMBER(E991)),E991-D991,"")</f>
        <v/>
      </c>
      <c r="J991" s="26">
        <f>IF(AND(ISNUMBER(I991),ISNUMBER(G991)),IF(I991&gt;0,G991/I991,""),"")</f>
        <v/>
      </c>
      <c r="K991" s="25">
        <f>IF(COUNTA(A991:H991)=0,"",IF(OR(A991="",B991="",C991="",D991="",E991="",F991="",G991="",H991=""),"HATA: eksik bilgi",IF(COUNTIF(OdaListesi,A991)=0,"HATA: geçersiz oda no",IF(OR(NOT(ISNUMBER(D991)),NOT(ISNUMBER(E991))),"HATA: tarih geçersiz",IF(E991&lt;=D991,"HATA: çıkış girişten sonra olmalı",IF(OR(NOT(ISNUMBER(C991)),C991&lt;1,C991&gt;MaxKisi,C991&lt;&gt;INT(C991)),"HATA: kişi sayısı geçersiz",IF(OR(NOT(ISNUMBER(G991)),G991&lt;0),"HATA: tutar geçersiz",IF(B991&lt;&gt;TRIM(B991),"HATA: isimde baştaki/sondaki boşluk",IF(COUNTIF(KaynakAralik,H991)=0,"HATA: kaynak listede yok",IF(AND(F991&lt;&gt;"Bekleniyor",F991&lt;&gt;"Geldi",F991&lt;&gt;"İptal"),"HATA: giriş durumu geçersiz",IF(AND(F991&lt;&gt;"İptal",COUNTIFS($A$6:$A$1005,A991,$D$6:$D$1005,"&lt;"&amp;E991,$E$6:$E$1005,"&gt;"&amp;D991,$F$6:$F$1005,"&lt;&gt;İptal")&gt;1),"HATA: oda bu tarihlerde çakışıyor",IF(AND(F991="Bekleniyor",D991&lt;RaporTarihi),"HATA: giriş günü geçti, Geldi veya İptal yapın","OK"))))))))))))</f>
        <v/>
      </c>
      <c r="L991" s="25">
        <f>IF(AND(ISNUMBER(A991),F991&lt;&gt;"İptal",ISNUMBER(D991),ISNUMBER(E991),D991&lt;=RaporTarihi,E991&gt;RaporTarihi),A991,"")</f>
        <v/>
      </c>
    </row>
    <row r="992">
      <c r="A992" s="22" t="n"/>
      <c r="B992" s="22" t="n"/>
      <c r="C992" s="22" t="n"/>
      <c r="D992" s="23" t="n"/>
      <c r="E992" s="23" t="n"/>
      <c r="F992" s="22" t="n"/>
      <c r="G992" s="24" t="n"/>
      <c r="H992" s="22" t="n"/>
      <c r="I992" s="25">
        <f>IF(AND(ISNUMBER(D992),ISNUMBER(E992)),E992-D992,"")</f>
        <v/>
      </c>
      <c r="J992" s="26">
        <f>IF(AND(ISNUMBER(I992),ISNUMBER(G992)),IF(I992&gt;0,G992/I992,""),"")</f>
        <v/>
      </c>
      <c r="K992" s="25">
        <f>IF(COUNTA(A992:H992)=0,"",IF(OR(A992="",B992="",C992="",D992="",E992="",F992="",G992="",H992=""),"HATA: eksik bilgi",IF(COUNTIF(OdaListesi,A992)=0,"HATA: geçersiz oda no",IF(OR(NOT(ISNUMBER(D992)),NOT(ISNUMBER(E992))),"HATA: tarih geçersiz",IF(E992&lt;=D992,"HATA: çıkış girişten sonra olmalı",IF(OR(NOT(ISNUMBER(C992)),C992&lt;1,C992&gt;MaxKisi,C992&lt;&gt;INT(C992)),"HATA: kişi sayısı geçersiz",IF(OR(NOT(ISNUMBER(G992)),G992&lt;0),"HATA: tutar geçersiz",IF(B992&lt;&gt;TRIM(B992),"HATA: isimde baştaki/sondaki boşluk",IF(COUNTIF(KaynakAralik,H992)=0,"HATA: kaynak listede yok",IF(AND(F992&lt;&gt;"Bekleniyor",F992&lt;&gt;"Geldi",F992&lt;&gt;"İptal"),"HATA: giriş durumu geçersiz",IF(AND(F992&lt;&gt;"İptal",COUNTIFS($A$6:$A$1005,A992,$D$6:$D$1005,"&lt;"&amp;E992,$E$6:$E$1005,"&gt;"&amp;D992,$F$6:$F$1005,"&lt;&gt;İptal")&gt;1),"HATA: oda bu tarihlerde çakışıyor",IF(AND(F992="Bekleniyor",D992&lt;RaporTarihi),"HATA: giriş günü geçti, Geldi veya İptal yapın","OK"))))))))))))</f>
        <v/>
      </c>
      <c r="L992" s="25">
        <f>IF(AND(ISNUMBER(A992),F992&lt;&gt;"İptal",ISNUMBER(D992),ISNUMBER(E992),D992&lt;=RaporTarihi,E992&gt;RaporTarihi),A992,"")</f>
        <v/>
      </c>
    </row>
    <row r="993">
      <c r="A993" s="22" t="n"/>
      <c r="B993" s="22" t="n"/>
      <c r="C993" s="22" t="n"/>
      <c r="D993" s="23" t="n"/>
      <c r="E993" s="23" t="n"/>
      <c r="F993" s="22" t="n"/>
      <c r="G993" s="24" t="n"/>
      <c r="H993" s="22" t="n"/>
      <c r="I993" s="25">
        <f>IF(AND(ISNUMBER(D993),ISNUMBER(E993)),E993-D993,"")</f>
        <v/>
      </c>
      <c r="J993" s="26">
        <f>IF(AND(ISNUMBER(I993),ISNUMBER(G993)),IF(I993&gt;0,G993/I993,""),"")</f>
        <v/>
      </c>
      <c r="K993" s="25">
        <f>IF(COUNTA(A993:H993)=0,"",IF(OR(A993="",B993="",C993="",D993="",E993="",F993="",G993="",H993=""),"HATA: eksik bilgi",IF(COUNTIF(OdaListesi,A993)=0,"HATA: geçersiz oda no",IF(OR(NOT(ISNUMBER(D993)),NOT(ISNUMBER(E993))),"HATA: tarih geçersiz",IF(E993&lt;=D993,"HATA: çıkış girişten sonra olmalı",IF(OR(NOT(ISNUMBER(C993)),C993&lt;1,C993&gt;MaxKisi,C993&lt;&gt;INT(C993)),"HATA: kişi sayısı geçersiz",IF(OR(NOT(ISNUMBER(G993)),G993&lt;0),"HATA: tutar geçersiz",IF(B993&lt;&gt;TRIM(B993),"HATA: isimde baştaki/sondaki boşluk",IF(COUNTIF(KaynakAralik,H993)=0,"HATA: kaynak listede yok",IF(AND(F993&lt;&gt;"Bekleniyor",F993&lt;&gt;"Geldi",F993&lt;&gt;"İptal"),"HATA: giriş durumu geçersiz",IF(AND(F993&lt;&gt;"İptal",COUNTIFS($A$6:$A$1005,A993,$D$6:$D$1005,"&lt;"&amp;E993,$E$6:$E$1005,"&gt;"&amp;D993,$F$6:$F$1005,"&lt;&gt;İptal")&gt;1),"HATA: oda bu tarihlerde çakışıyor",IF(AND(F993="Bekleniyor",D993&lt;RaporTarihi),"HATA: giriş günü geçti, Geldi veya İptal yapın","OK"))))))))))))</f>
        <v/>
      </c>
      <c r="L993" s="25">
        <f>IF(AND(ISNUMBER(A993),F993&lt;&gt;"İptal",ISNUMBER(D993),ISNUMBER(E993),D993&lt;=RaporTarihi,E993&gt;RaporTarihi),A993,"")</f>
        <v/>
      </c>
    </row>
    <row r="994">
      <c r="A994" s="22" t="n"/>
      <c r="B994" s="22" t="n"/>
      <c r="C994" s="22" t="n"/>
      <c r="D994" s="23" t="n"/>
      <c r="E994" s="23" t="n"/>
      <c r="F994" s="22" t="n"/>
      <c r="G994" s="24" t="n"/>
      <c r="H994" s="22" t="n"/>
      <c r="I994" s="25">
        <f>IF(AND(ISNUMBER(D994),ISNUMBER(E994)),E994-D994,"")</f>
        <v/>
      </c>
      <c r="J994" s="26">
        <f>IF(AND(ISNUMBER(I994),ISNUMBER(G994)),IF(I994&gt;0,G994/I994,""),"")</f>
        <v/>
      </c>
      <c r="K994" s="25">
        <f>IF(COUNTA(A994:H994)=0,"",IF(OR(A994="",B994="",C994="",D994="",E994="",F994="",G994="",H994=""),"HATA: eksik bilgi",IF(COUNTIF(OdaListesi,A994)=0,"HATA: geçersiz oda no",IF(OR(NOT(ISNUMBER(D994)),NOT(ISNUMBER(E994))),"HATA: tarih geçersiz",IF(E994&lt;=D994,"HATA: çıkış girişten sonra olmalı",IF(OR(NOT(ISNUMBER(C994)),C994&lt;1,C994&gt;MaxKisi,C994&lt;&gt;INT(C994)),"HATA: kişi sayısı geçersiz",IF(OR(NOT(ISNUMBER(G994)),G994&lt;0),"HATA: tutar geçersiz",IF(B994&lt;&gt;TRIM(B994),"HATA: isimde baştaki/sondaki boşluk",IF(COUNTIF(KaynakAralik,H994)=0,"HATA: kaynak listede yok",IF(AND(F994&lt;&gt;"Bekleniyor",F994&lt;&gt;"Geldi",F994&lt;&gt;"İptal"),"HATA: giriş durumu geçersiz",IF(AND(F994&lt;&gt;"İptal",COUNTIFS($A$6:$A$1005,A994,$D$6:$D$1005,"&lt;"&amp;E994,$E$6:$E$1005,"&gt;"&amp;D994,$F$6:$F$1005,"&lt;&gt;İptal")&gt;1),"HATA: oda bu tarihlerde çakışıyor",IF(AND(F994="Bekleniyor",D994&lt;RaporTarihi),"HATA: giriş günü geçti, Geldi veya İptal yapın","OK"))))))))))))</f>
        <v/>
      </c>
      <c r="L994" s="25">
        <f>IF(AND(ISNUMBER(A994),F994&lt;&gt;"İptal",ISNUMBER(D994),ISNUMBER(E994),D994&lt;=RaporTarihi,E994&gt;RaporTarihi),A994,"")</f>
        <v/>
      </c>
    </row>
    <row r="995">
      <c r="A995" s="22" t="n"/>
      <c r="B995" s="22" t="n"/>
      <c r="C995" s="22" t="n"/>
      <c r="D995" s="23" t="n"/>
      <c r="E995" s="23" t="n"/>
      <c r="F995" s="22" t="n"/>
      <c r="G995" s="24" t="n"/>
      <c r="H995" s="22" t="n"/>
      <c r="I995" s="25">
        <f>IF(AND(ISNUMBER(D995),ISNUMBER(E995)),E995-D995,"")</f>
        <v/>
      </c>
      <c r="J995" s="26">
        <f>IF(AND(ISNUMBER(I995),ISNUMBER(G995)),IF(I995&gt;0,G995/I995,""),"")</f>
        <v/>
      </c>
      <c r="K995" s="25">
        <f>IF(COUNTA(A995:H995)=0,"",IF(OR(A995="",B995="",C995="",D995="",E995="",F995="",G995="",H995=""),"HATA: eksik bilgi",IF(COUNTIF(OdaListesi,A995)=0,"HATA: geçersiz oda no",IF(OR(NOT(ISNUMBER(D995)),NOT(ISNUMBER(E995))),"HATA: tarih geçersiz",IF(E995&lt;=D995,"HATA: çıkış girişten sonra olmalı",IF(OR(NOT(ISNUMBER(C995)),C995&lt;1,C995&gt;MaxKisi,C995&lt;&gt;INT(C995)),"HATA: kişi sayısı geçersiz",IF(OR(NOT(ISNUMBER(G995)),G995&lt;0),"HATA: tutar geçersiz",IF(B995&lt;&gt;TRIM(B995),"HATA: isimde baştaki/sondaki boşluk",IF(COUNTIF(KaynakAralik,H995)=0,"HATA: kaynak listede yok",IF(AND(F995&lt;&gt;"Bekleniyor",F995&lt;&gt;"Geldi",F995&lt;&gt;"İptal"),"HATA: giriş durumu geçersiz",IF(AND(F995&lt;&gt;"İptal",COUNTIFS($A$6:$A$1005,A995,$D$6:$D$1005,"&lt;"&amp;E995,$E$6:$E$1005,"&gt;"&amp;D995,$F$6:$F$1005,"&lt;&gt;İptal")&gt;1),"HATA: oda bu tarihlerde çakışıyor",IF(AND(F995="Bekleniyor",D995&lt;RaporTarihi),"HATA: giriş günü geçti, Geldi veya İptal yapın","OK"))))))))))))</f>
        <v/>
      </c>
      <c r="L995" s="25">
        <f>IF(AND(ISNUMBER(A995),F995&lt;&gt;"İptal",ISNUMBER(D995),ISNUMBER(E995),D995&lt;=RaporTarihi,E995&gt;RaporTarihi),A995,"")</f>
        <v/>
      </c>
    </row>
    <row r="996">
      <c r="A996" s="22" t="n"/>
      <c r="B996" s="22" t="n"/>
      <c r="C996" s="22" t="n"/>
      <c r="D996" s="23" t="n"/>
      <c r="E996" s="23" t="n"/>
      <c r="F996" s="22" t="n"/>
      <c r="G996" s="24" t="n"/>
      <c r="H996" s="22" t="n"/>
      <c r="I996" s="25">
        <f>IF(AND(ISNUMBER(D996),ISNUMBER(E996)),E996-D996,"")</f>
        <v/>
      </c>
      <c r="J996" s="26">
        <f>IF(AND(ISNUMBER(I996),ISNUMBER(G996)),IF(I996&gt;0,G996/I996,""),"")</f>
        <v/>
      </c>
      <c r="K996" s="25">
        <f>IF(COUNTA(A996:H996)=0,"",IF(OR(A996="",B996="",C996="",D996="",E996="",F996="",G996="",H996=""),"HATA: eksik bilgi",IF(COUNTIF(OdaListesi,A996)=0,"HATA: geçersiz oda no",IF(OR(NOT(ISNUMBER(D996)),NOT(ISNUMBER(E996))),"HATA: tarih geçersiz",IF(E996&lt;=D996,"HATA: çıkış girişten sonra olmalı",IF(OR(NOT(ISNUMBER(C996)),C996&lt;1,C996&gt;MaxKisi,C996&lt;&gt;INT(C996)),"HATA: kişi sayısı geçersiz",IF(OR(NOT(ISNUMBER(G996)),G996&lt;0),"HATA: tutar geçersiz",IF(B996&lt;&gt;TRIM(B996),"HATA: isimde baştaki/sondaki boşluk",IF(COUNTIF(KaynakAralik,H996)=0,"HATA: kaynak listede yok",IF(AND(F996&lt;&gt;"Bekleniyor",F996&lt;&gt;"Geldi",F996&lt;&gt;"İptal"),"HATA: giriş durumu geçersiz",IF(AND(F996&lt;&gt;"İptal",COUNTIFS($A$6:$A$1005,A996,$D$6:$D$1005,"&lt;"&amp;E996,$E$6:$E$1005,"&gt;"&amp;D996,$F$6:$F$1005,"&lt;&gt;İptal")&gt;1),"HATA: oda bu tarihlerde çakışıyor",IF(AND(F996="Bekleniyor",D996&lt;RaporTarihi),"HATA: giriş günü geçti, Geldi veya İptal yapın","OK"))))))))))))</f>
        <v/>
      </c>
      <c r="L996" s="25">
        <f>IF(AND(ISNUMBER(A996),F996&lt;&gt;"İptal",ISNUMBER(D996),ISNUMBER(E996),D996&lt;=RaporTarihi,E996&gt;RaporTarihi),A996,"")</f>
        <v/>
      </c>
    </row>
    <row r="997">
      <c r="A997" s="22" t="n"/>
      <c r="B997" s="22" t="n"/>
      <c r="C997" s="22" t="n"/>
      <c r="D997" s="23" t="n"/>
      <c r="E997" s="23" t="n"/>
      <c r="F997" s="22" t="n"/>
      <c r="G997" s="24" t="n"/>
      <c r="H997" s="22" t="n"/>
      <c r="I997" s="25">
        <f>IF(AND(ISNUMBER(D997),ISNUMBER(E997)),E997-D997,"")</f>
        <v/>
      </c>
      <c r="J997" s="26">
        <f>IF(AND(ISNUMBER(I997),ISNUMBER(G997)),IF(I997&gt;0,G997/I997,""),"")</f>
        <v/>
      </c>
      <c r="K997" s="25">
        <f>IF(COUNTA(A997:H997)=0,"",IF(OR(A997="",B997="",C997="",D997="",E997="",F997="",G997="",H997=""),"HATA: eksik bilgi",IF(COUNTIF(OdaListesi,A997)=0,"HATA: geçersiz oda no",IF(OR(NOT(ISNUMBER(D997)),NOT(ISNUMBER(E997))),"HATA: tarih geçersiz",IF(E997&lt;=D997,"HATA: çıkış girişten sonra olmalı",IF(OR(NOT(ISNUMBER(C997)),C997&lt;1,C997&gt;MaxKisi,C997&lt;&gt;INT(C997)),"HATA: kişi sayısı geçersiz",IF(OR(NOT(ISNUMBER(G997)),G997&lt;0),"HATA: tutar geçersiz",IF(B997&lt;&gt;TRIM(B997),"HATA: isimde baştaki/sondaki boşluk",IF(COUNTIF(KaynakAralik,H997)=0,"HATA: kaynak listede yok",IF(AND(F997&lt;&gt;"Bekleniyor",F997&lt;&gt;"Geldi",F997&lt;&gt;"İptal"),"HATA: giriş durumu geçersiz",IF(AND(F997&lt;&gt;"İptal",COUNTIFS($A$6:$A$1005,A997,$D$6:$D$1005,"&lt;"&amp;E997,$E$6:$E$1005,"&gt;"&amp;D997,$F$6:$F$1005,"&lt;&gt;İptal")&gt;1),"HATA: oda bu tarihlerde çakışıyor",IF(AND(F997="Bekleniyor",D997&lt;RaporTarihi),"HATA: giriş günü geçti, Geldi veya İptal yapın","OK"))))))))))))</f>
        <v/>
      </c>
      <c r="L997" s="25">
        <f>IF(AND(ISNUMBER(A997),F997&lt;&gt;"İptal",ISNUMBER(D997),ISNUMBER(E997),D997&lt;=RaporTarihi,E997&gt;RaporTarihi),A997,"")</f>
        <v/>
      </c>
    </row>
    <row r="998">
      <c r="A998" s="22" t="n"/>
      <c r="B998" s="22" t="n"/>
      <c r="C998" s="22" t="n"/>
      <c r="D998" s="23" t="n"/>
      <c r="E998" s="23" t="n"/>
      <c r="F998" s="22" t="n"/>
      <c r="G998" s="24" t="n"/>
      <c r="H998" s="22" t="n"/>
      <c r="I998" s="25">
        <f>IF(AND(ISNUMBER(D998),ISNUMBER(E998)),E998-D998,"")</f>
        <v/>
      </c>
      <c r="J998" s="26">
        <f>IF(AND(ISNUMBER(I998),ISNUMBER(G998)),IF(I998&gt;0,G998/I998,""),"")</f>
        <v/>
      </c>
      <c r="K998" s="25">
        <f>IF(COUNTA(A998:H998)=0,"",IF(OR(A998="",B998="",C998="",D998="",E998="",F998="",G998="",H998=""),"HATA: eksik bilgi",IF(COUNTIF(OdaListesi,A998)=0,"HATA: geçersiz oda no",IF(OR(NOT(ISNUMBER(D998)),NOT(ISNUMBER(E998))),"HATA: tarih geçersiz",IF(E998&lt;=D998,"HATA: çıkış girişten sonra olmalı",IF(OR(NOT(ISNUMBER(C998)),C998&lt;1,C998&gt;MaxKisi,C998&lt;&gt;INT(C998)),"HATA: kişi sayısı geçersiz",IF(OR(NOT(ISNUMBER(G998)),G998&lt;0),"HATA: tutar geçersiz",IF(B998&lt;&gt;TRIM(B998),"HATA: isimde baştaki/sondaki boşluk",IF(COUNTIF(KaynakAralik,H998)=0,"HATA: kaynak listede yok",IF(AND(F998&lt;&gt;"Bekleniyor",F998&lt;&gt;"Geldi",F998&lt;&gt;"İptal"),"HATA: giriş durumu geçersiz",IF(AND(F998&lt;&gt;"İptal",COUNTIFS($A$6:$A$1005,A998,$D$6:$D$1005,"&lt;"&amp;E998,$E$6:$E$1005,"&gt;"&amp;D998,$F$6:$F$1005,"&lt;&gt;İptal")&gt;1),"HATA: oda bu tarihlerde çakışıyor",IF(AND(F998="Bekleniyor",D998&lt;RaporTarihi),"HATA: giriş günü geçti, Geldi veya İptal yapın","OK"))))))))))))</f>
        <v/>
      </c>
      <c r="L998" s="25">
        <f>IF(AND(ISNUMBER(A998),F998&lt;&gt;"İptal",ISNUMBER(D998),ISNUMBER(E998),D998&lt;=RaporTarihi,E998&gt;RaporTarihi),A998,"")</f>
        <v/>
      </c>
    </row>
    <row r="999">
      <c r="A999" s="22" t="n"/>
      <c r="B999" s="22" t="n"/>
      <c r="C999" s="22" t="n"/>
      <c r="D999" s="23" t="n"/>
      <c r="E999" s="23" t="n"/>
      <c r="F999" s="22" t="n"/>
      <c r="G999" s="24" t="n"/>
      <c r="H999" s="22" t="n"/>
      <c r="I999" s="25">
        <f>IF(AND(ISNUMBER(D999),ISNUMBER(E999)),E999-D999,"")</f>
        <v/>
      </c>
      <c r="J999" s="26">
        <f>IF(AND(ISNUMBER(I999),ISNUMBER(G999)),IF(I999&gt;0,G999/I999,""),"")</f>
        <v/>
      </c>
      <c r="K999" s="25">
        <f>IF(COUNTA(A999:H999)=0,"",IF(OR(A999="",B999="",C999="",D999="",E999="",F999="",G999="",H999=""),"HATA: eksik bilgi",IF(COUNTIF(OdaListesi,A999)=0,"HATA: geçersiz oda no",IF(OR(NOT(ISNUMBER(D999)),NOT(ISNUMBER(E999))),"HATA: tarih geçersiz",IF(E999&lt;=D999,"HATA: çıkış girişten sonra olmalı",IF(OR(NOT(ISNUMBER(C999)),C999&lt;1,C999&gt;MaxKisi,C999&lt;&gt;INT(C999)),"HATA: kişi sayısı geçersiz",IF(OR(NOT(ISNUMBER(G999)),G999&lt;0),"HATA: tutar geçersiz",IF(B999&lt;&gt;TRIM(B999),"HATA: isimde baştaki/sondaki boşluk",IF(COUNTIF(KaynakAralik,H999)=0,"HATA: kaynak listede yok",IF(AND(F999&lt;&gt;"Bekleniyor",F999&lt;&gt;"Geldi",F999&lt;&gt;"İptal"),"HATA: giriş durumu geçersiz",IF(AND(F999&lt;&gt;"İptal",COUNTIFS($A$6:$A$1005,A999,$D$6:$D$1005,"&lt;"&amp;E999,$E$6:$E$1005,"&gt;"&amp;D999,$F$6:$F$1005,"&lt;&gt;İptal")&gt;1),"HATA: oda bu tarihlerde çakışıyor",IF(AND(F999="Bekleniyor",D999&lt;RaporTarihi),"HATA: giriş günü geçti, Geldi veya İptal yapın","OK"))))))))))))</f>
        <v/>
      </c>
      <c r="L999" s="25">
        <f>IF(AND(ISNUMBER(A999),F999&lt;&gt;"İptal",ISNUMBER(D999),ISNUMBER(E999),D999&lt;=RaporTarihi,E999&gt;RaporTarihi),A999,"")</f>
        <v/>
      </c>
    </row>
    <row r="1000">
      <c r="A1000" s="22" t="n"/>
      <c r="B1000" s="22" t="n"/>
      <c r="C1000" s="22" t="n"/>
      <c r="D1000" s="23" t="n"/>
      <c r="E1000" s="23" t="n"/>
      <c r="F1000" s="22" t="n"/>
      <c r="G1000" s="24" t="n"/>
      <c r="H1000" s="22" t="n"/>
      <c r="I1000" s="25">
        <f>IF(AND(ISNUMBER(D1000),ISNUMBER(E1000)),E1000-D1000,"")</f>
        <v/>
      </c>
      <c r="J1000" s="26">
        <f>IF(AND(ISNUMBER(I1000),ISNUMBER(G1000)),IF(I1000&gt;0,G1000/I1000,""),"")</f>
        <v/>
      </c>
      <c r="K1000" s="25">
        <f>IF(COUNTA(A1000:H1000)=0,"",IF(OR(A1000="",B1000="",C1000="",D1000="",E1000="",F1000="",G1000="",H1000=""),"HATA: eksik bilgi",IF(COUNTIF(OdaListesi,A1000)=0,"HATA: geçersiz oda no",IF(OR(NOT(ISNUMBER(D1000)),NOT(ISNUMBER(E1000))),"HATA: tarih geçersiz",IF(E1000&lt;=D1000,"HATA: çıkış girişten sonra olmalı",IF(OR(NOT(ISNUMBER(C1000)),C1000&lt;1,C1000&gt;MaxKisi,C1000&lt;&gt;INT(C1000)),"HATA: kişi sayısı geçersiz",IF(OR(NOT(ISNUMBER(G1000)),G1000&lt;0),"HATA: tutar geçersiz",IF(B1000&lt;&gt;TRIM(B1000),"HATA: isimde baştaki/sondaki boşluk",IF(COUNTIF(KaynakAralik,H1000)=0,"HATA: kaynak listede yok",IF(AND(F1000&lt;&gt;"Bekleniyor",F1000&lt;&gt;"Geldi",F1000&lt;&gt;"İptal"),"HATA: giriş durumu geçersiz",IF(AND(F1000&lt;&gt;"İptal",COUNTIFS($A$6:$A$1005,A1000,$D$6:$D$1005,"&lt;"&amp;E1000,$E$6:$E$1005,"&gt;"&amp;D1000,$F$6:$F$1005,"&lt;&gt;İptal")&gt;1),"HATA: oda bu tarihlerde çakışıyor",IF(AND(F1000="Bekleniyor",D1000&lt;RaporTarihi),"HATA: giriş günü geçti, Geldi veya İptal yapın","OK"))))))))))))</f>
        <v/>
      </c>
      <c r="L1000" s="25">
        <f>IF(AND(ISNUMBER(A1000),F1000&lt;&gt;"İptal",ISNUMBER(D1000),ISNUMBER(E1000),D1000&lt;=RaporTarihi,E1000&gt;RaporTarihi),A1000,"")</f>
        <v/>
      </c>
    </row>
    <row r="1001">
      <c r="A1001" s="22" t="n"/>
      <c r="B1001" s="22" t="n"/>
      <c r="C1001" s="22" t="n"/>
      <c r="D1001" s="23" t="n"/>
      <c r="E1001" s="23" t="n"/>
      <c r="F1001" s="22" t="n"/>
      <c r="G1001" s="24" t="n"/>
      <c r="H1001" s="22" t="n"/>
      <c r="I1001" s="25">
        <f>IF(AND(ISNUMBER(D1001),ISNUMBER(E1001)),E1001-D1001,"")</f>
        <v/>
      </c>
      <c r="J1001" s="26">
        <f>IF(AND(ISNUMBER(I1001),ISNUMBER(G1001)),IF(I1001&gt;0,G1001/I1001,""),"")</f>
        <v/>
      </c>
      <c r="K1001" s="25">
        <f>IF(COUNTA(A1001:H1001)=0,"",IF(OR(A1001="",B1001="",C1001="",D1001="",E1001="",F1001="",G1001="",H1001=""),"HATA: eksik bilgi",IF(COUNTIF(OdaListesi,A1001)=0,"HATA: geçersiz oda no",IF(OR(NOT(ISNUMBER(D1001)),NOT(ISNUMBER(E1001))),"HATA: tarih geçersiz",IF(E1001&lt;=D1001,"HATA: çıkış girişten sonra olmalı",IF(OR(NOT(ISNUMBER(C1001)),C1001&lt;1,C1001&gt;MaxKisi,C1001&lt;&gt;INT(C1001)),"HATA: kişi sayısı geçersiz",IF(OR(NOT(ISNUMBER(G1001)),G1001&lt;0),"HATA: tutar geçersiz",IF(B1001&lt;&gt;TRIM(B1001),"HATA: isimde baştaki/sondaki boşluk",IF(COUNTIF(KaynakAralik,H1001)=0,"HATA: kaynak listede yok",IF(AND(F1001&lt;&gt;"Bekleniyor",F1001&lt;&gt;"Geldi",F1001&lt;&gt;"İptal"),"HATA: giriş durumu geçersiz",IF(AND(F1001&lt;&gt;"İptal",COUNTIFS($A$6:$A$1005,A1001,$D$6:$D$1005,"&lt;"&amp;E1001,$E$6:$E$1005,"&gt;"&amp;D1001,$F$6:$F$1005,"&lt;&gt;İptal")&gt;1),"HATA: oda bu tarihlerde çakışıyor",IF(AND(F1001="Bekleniyor",D1001&lt;RaporTarihi),"HATA: giriş günü geçti, Geldi veya İptal yapın","OK"))))))))))))</f>
        <v/>
      </c>
      <c r="L1001" s="25">
        <f>IF(AND(ISNUMBER(A1001),F1001&lt;&gt;"İptal",ISNUMBER(D1001),ISNUMBER(E1001),D1001&lt;=RaporTarihi,E1001&gt;RaporTarihi),A1001,"")</f>
        <v/>
      </c>
    </row>
    <row r="1002">
      <c r="A1002" s="22" t="n"/>
      <c r="B1002" s="22" t="n"/>
      <c r="C1002" s="22" t="n"/>
      <c r="D1002" s="23" t="n"/>
      <c r="E1002" s="23" t="n"/>
      <c r="F1002" s="22" t="n"/>
      <c r="G1002" s="24" t="n"/>
      <c r="H1002" s="22" t="n"/>
      <c r="I1002" s="25">
        <f>IF(AND(ISNUMBER(D1002),ISNUMBER(E1002)),E1002-D1002,"")</f>
        <v/>
      </c>
      <c r="J1002" s="26">
        <f>IF(AND(ISNUMBER(I1002),ISNUMBER(G1002)),IF(I1002&gt;0,G1002/I1002,""),"")</f>
        <v/>
      </c>
      <c r="K1002" s="25">
        <f>IF(COUNTA(A1002:H1002)=0,"",IF(OR(A1002="",B1002="",C1002="",D1002="",E1002="",F1002="",G1002="",H1002=""),"HATA: eksik bilgi",IF(COUNTIF(OdaListesi,A1002)=0,"HATA: geçersiz oda no",IF(OR(NOT(ISNUMBER(D1002)),NOT(ISNUMBER(E1002))),"HATA: tarih geçersiz",IF(E1002&lt;=D1002,"HATA: çıkış girişten sonra olmalı",IF(OR(NOT(ISNUMBER(C1002)),C1002&lt;1,C1002&gt;MaxKisi,C1002&lt;&gt;INT(C1002)),"HATA: kişi sayısı geçersiz",IF(OR(NOT(ISNUMBER(G1002)),G1002&lt;0),"HATA: tutar geçersiz",IF(B1002&lt;&gt;TRIM(B1002),"HATA: isimde baştaki/sondaki boşluk",IF(COUNTIF(KaynakAralik,H1002)=0,"HATA: kaynak listede yok",IF(AND(F1002&lt;&gt;"Bekleniyor",F1002&lt;&gt;"Geldi",F1002&lt;&gt;"İptal"),"HATA: giriş durumu geçersiz",IF(AND(F1002&lt;&gt;"İptal",COUNTIFS($A$6:$A$1005,A1002,$D$6:$D$1005,"&lt;"&amp;E1002,$E$6:$E$1005,"&gt;"&amp;D1002,$F$6:$F$1005,"&lt;&gt;İptal")&gt;1),"HATA: oda bu tarihlerde çakışıyor",IF(AND(F1002="Bekleniyor",D1002&lt;RaporTarihi),"HATA: giriş günü geçti, Geldi veya İptal yapın","OK"))))))))))))</f>
        <v/>
      </c>
      <c r="L1002" s="25">
        <f>IF(AND(ISNUMBER(A1002),F1002&lt;&gt;"İptal",ISNUMBER(D1002),ISNUMBER(E1002),D1002&lt;=RaporTarihi,E1002&gt;RaporTarihi),A1002,"")</f>
        <v/>
      </c>
    </row>
    <row r="1003">
      <c r="A1003" s="22" t="n"/>
      <c r="B1003" s="22" t="n"/>
      <c r="C1003" s="22" t="n"/>
      <c r="D1003" s="23" t="n"/>
      <c r="E1003" s="23" t="n"/>
      <c r="F1003" s="22" t="n"/>
      <c r="G1003" s="24" t="n"/>
      <c r="H1003" s="22" t="n"/>
      <c r="I1003" s="25">
        <f>IF(AND(ISNUMBER(D1003),ISNUMBER(E1003)),E1003-D1003,"")</f>
        <v/>
      </c>
      <c r="J1003" s="26">
        <f>IF(AND(ISNUMBER(I1003),ISNUMBER(G1003)),IF(I1003&gt;0,G1003/I1003,""),"")</f>
        <v/>
      </c>
      <c r="K1003" s="25">
        <f>IF(COUNTA(A1003:H1003)=0,"",IF(OR(A1003="",B1003="",C1003="",D1003="",E1003="",F1003="",G1003="",H1003=""),"HATA: eksik bilgi",IF(COUNTIF(OdaListesi,A1003)=0,"HATA: geçersiz oda no",IF(OR(NOT(ISNUMBER(D1003)),NOT(ISNUMBER(E1003))),"HATA: tarih geçersiz",IF(E1003&lt;=D1003,"HATA: çıkış girişten sonra olmalı",IF(OR(NOT(ISNUMBER(C1003)),C1003&lt;1,C1003&gt;MaxKisi,C1003&lt;&gt;INT(C1003)),"HATA: kişi sayısı geçersiz",IF(OR(NOT(ISNUMBER(G1003)),G1003&lt;0),"HATA: tutar geçersiz",IF(B1003&lt;&gt;TRIM(B1003),"HATA: isimde baştaki/sondaki boşluk",IF(COUNTIF(KaynakAralik,H1003)=0,"HATA: kaynak listede yok",IF(AND(F1003&lt;&gt;"Bekleniyor",F1003&lt;&gt;"Geldi",F1003&lt;&gt;"İptal"),"HATA: giriş durumu geçersiz",IF(AND(F1003&lt;&gt;"İptal",COUNTIFS($A$6:$A$1005,A1003,$D$6:$D$1005,"&lt;"&amp;E1003,$E$6:$E$1005,"&gt;"&amp;D1003,$F$6:$F$1005,"&lt;&gt;İptal")&gt;1),"HATA: oda bu tarihlerde çakışıyor",IF(AND(F1003="Bekleniyor",D1003&lt;RaporTarihi),"HATA: giriş günü geçti, Geldi veya İptal yapın","OK"))))))))))))</f>
        <v/>
      </c>
      <c r="L1003" s="25">
        <f>IF(AND(ISNUMBER(A1003),F1003&lt;&gt;"İptal",ISNUMBER(D1003),ISNUMBER(E1003),D1003&lt;=RaporTarihi,E1003&gt;RaporTarihi),A1003,"")</f>
        <v/>
      </c>
    </row>
    <row r="1004">
      <c r="A1004" s="22" t="n"/>
      <c r="B1004" s="22" t="n"/>
      <c r="C1004" s="22" t="n"/>
      <c r="D1004" s="23" t="n"/>
      <c r="E1004" s="23" t="n"/>
      <c r="F1004" s="22" t="n"/>
      <c r="G1004" s="24" t="n"/>
      <c r="H1004" s="22" t="n"/>
      <c r="I1004" s="25">
        <f>IF(AND(ISNUMBER(D1004),ISNUMBER(E1004)),E1004-D1004,"")</f>
        <v/>
      </c>
      <c r="J1004" s="26">
        <f>IF(AND(ISNUMBER(I1004),ISNUMBER(G1004)),IF(I1004&gt;0,G1004/I1004,""),"")</f>
        <v/>
      </c>
      <c r="K1004" s="25">
        <f>IF(COUNTA(A1004:H1004)=0,"",IF(OR(A1004="",B1004="",C1004="",D1004="",E1004="",F1004="",G1004="",H1004=""),"HATA: eksik bilgi",IF(COUNTIF(OdaListesi,A1004)=0,"HATA: geçersiz oda no",IF(OR(NOT(ISNUMBER(D1004)),NOT(ISNUMBER(E1004))),"HATA: tarih geçersiz",IF(E1004&lt;=D1004,"HATA: çıkış girişten sonra olmalı",IF(OR(NOT(ISNUMBER(C1004)),C1004&lt;1,C1004&gt;MaxKisi,C1004&lt;&gt;INT(C1004)),"HATA: kişi sayısı geçersiz",IF(OR(NOT(ISNUMBER(G1004)),G1004&lt;0),"HATA: tutar geçersiz",IF(B1004&lt;&gt;TRIM(B1004),"HATA: isimde baştaki/sondaki boşluk",IF(COUNTIF(KaynakAralik,H1004)=0,"HATA: kaynak listede yok",IF(AND(F1004&lt;&gt;"Bekleniyor",F1004&lt;&gt;"Geldi",F1004&lt;&gt;"İptal"),"HATA: giriş durumu geçersiz",IF(AND(F1004&lt;&gt;"İptal",COUNTIFS($A$6:$A$1005,A1004,$D$6:$D$1005,"&lt;"&amp;E1004,$E$6:$E$1005,"&gt;"&amp;D1004,$F$6:$F$1005,"&lt;&gt;İptal")&gt;1),"HATA: oda bu tarihlerde çakışıyor",IF(AND(F1004="Bekleniyor",D1004&lt;RaporTarihi),"HATA: giriş günü geçti, Geldi veya İptal yapın","OK"))))))))))))</f>
        <v/>
      </c>
      <c r="L1004" s="25">
        <f>IF(AND(ISNUMBER(A1004),F1004&lt;&gt;"İptal",ISNUMBER(D1004),ISNUMBER(E1004),D1004&lt;=RaporTarihi,E1004&gt;RaporTarihi),A1004,"")</f>
        <v/>
      </c>
    </row>
    <row r="1005">
      <c r="A1005" s="22" t="n"/>
      <c r="B1005" s="22" t="n"/>
      <c r="C1005" s="22" t="n"/>
      <c r="D1005" s="23" t="n"/>
      <c r="E1005" s="23" t="n"/>
      <c r="F1005" s="22" t="n"/>
      <c r="G1005" s="24" t="n"/>
      <c r="H1005" s="22" t="n"/>
      <c r="I1005" s="25">
        <f>IF(AND(ISNUMBER(D1005),ISNUMBER(E1005)),E1005-D1005,"")</f>
        <v/>
      </c>
      <c r="J1005" s="26">
        <f>IF(AND(ISNUMBER(I1005),ISNUMBER(G1005)),IF(I1005&gt;0,G1005/I1005,""),"")</f>
        <v/>
      </c>
      <c r="K1005" s="25">
        <f>IF(COUNTA(A1005:H1005)=0,"",IF(OR(A1005="",B1005="",C1005="",D1005="",E1005="",F1005="",G1005="",H1005=""),"HATA: eksik bilgi",IF(COUNTIF(OdaListesi,A1005)=0,"HATA: geçersiz oda no",IF(OR(NOT(ISNUMBER(D1005)),NOT(ISNUMBER(E1005))),"HATA: tarih geçersiz",IF(E1005&lt;=D1005,"HATA: çıkış girişten sonra olmalı",IF(OR(NOT(ISNUMBER(C1005)),C1005&lt;1,C1005&gt;MaxKisi,C1005&lt;&gt;INT(C1005)),"HATA: kişi sayısı geçersiz",IF(OR(NOT(ISNUMBER(G1005)),G1005&lt;0),"HATA: tutar geçersiz",IF(B1005&lt;&gt;TRIM(B1005),"HATA: isimde baştaki/sondaki boşluk",IF(COUNTIF(KaynakAralik,H1005)=0,"HATA: kaynak listede yok",IF(AND(F1005&lt;&gt;"Bekleniyor",F1005&lt;&gt;"Geldi",F1005&lt;&gt;"İptal"),"HATA: giriş durumu geçersiz",IF(AND(F1005&lt;&gt;"İptal",COUNTIFS($A$6:$A$1005,A1005,$D$6:$D$1005,"&lt;"&amp;E1005,$E$6:$E$1005,"&gt;"&amp;D1005,$F$6:$F$1005,"&lt;&gt;İptal")&gt;1),"HATA: oda bu tarihlerde çakışıyor",IF(AND(F1005="Bekleniyor",D1005&lt;RaporTarihi),"HATA: giriş günü geçti, Geldi veya İptal yapın","OK"))))))))))))</f>
        <v/>
      </c>
      <c r="L1005" s="25">
        <f>IF(AND(ISNUMBER(A1005),F1005&lt;&gt;"İptal",ISNUMBER(D1005),ISNUMBER(E1005),D1005&lt;=RaporTarihi,E1005&gt;RaporTarihi),A1005,"")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5:K1005"/>
  <conditionalFormatting sqref="A6:K1005">
    <cfRule type="expression" priority="1" dxfId="3">
      <formula>LEFT($K6,4)="HATA"</formula>
    </cfRule>
    <cfRule type="expression" priority="2" dxfId="4">
      <formula>$F6="İptal"</formula>
    </cfRule>
  </conditionalFormatting>
  <conditionalFormatting sqref="F6:F1005">
    <cfRule type="expression" priority="3" dxfId="2">
      <formula>$F6="Bekleniyor"</formula>
    </cfRule>
  </conditionalFormatting>
  <conditionalFormatting sqref="K6:K1005">
    <cfRule type="expression" priority="4" dxfId="5">
      <formula>$K6="OK"</formula>
    </cfRule>
  </conditionalFormatting>
  <dataValidations count="8">
    <dataValidation sqref="A6:A1005" showDropDown="0" showInputMessage="0" showErrorMessage="1" allowBlank="1" errorTitle="Geçersiz oda" error="Oda no 3-32 arasında listeden seçilmelidir." type="list" errorStyle="stop">
      <formula1>=OdaListesi</formula1>
    </dataValidation>
    <dataValidation sqref="B6:B1005" showDropDown="0" showInputMessage="0" showErrorMessage="1" allowBlank="1" errorTitle="Geçersiz isim" error="İsim en az 3 harf olmalı; başında/sonunda boşluk olmamalı." type="custom" errorStyle="stop">
      <formula1>=AND(LEN(B6)&gt;=3,B6=TRIM(B6))</formula1>
    </dataValidation>
    <dataValidation sqref="C6:C1005" showDropDown="0" showInputMessage="0" showErrorMessage="1" allowBlank="1" errorTitle="Geçersiz kişi sayısı" error="Kişi sayısı 1 ile 6 arasında tam sayı olmalı." type="whole" errorStyle="stop" operator="between">
      <formula1>1</formula1>
      <formula2>MaxKisi</formula2>
    </dataValidation>
    <dataValidation sqref="D6:D1005" showDropDown="0" showInputMessage="0" showErrorMessage="1" allowBlank="1" errorTitle="Geçersiz tarih" error="Giriş tarihi gerçek bir tarih olmalı (gg.aa.yyyy). Metin yazılamaz." type="date" errorStyle="stop" operator="between">
      <formula1>43831</formula1>
      <formula2>73050</formula2>
    </dataValidation>
    <dataValidation sqref="E6:E1005" showDropDown="0" showInputMessage="0" showErrorMessage="1" allowBlank="1" errorTitle="Geçersiz çıkış tarihi" error="Çıkış tarihi girişten SONRA olmalı ve oda bu tarihlerde başka bir misafirde olmamalı. Önce oda no ve giriş tarihini girin." type="custom" errorStyle="stop">
      <formula1>=AND(ISNUMBER(E6),E6&gt;D6,COUNTIFS($A$6:$A$1005,A6,$D$6:$D$1005,"&lt;"&amp;E6,$E$6:$E$1005,"&gt;"&amp;D6,$F$6:$F$1005,"&lt;&gt;İptal")&lt;=1)</formula1>
    </dataValidation>
    <dataValidation sqref="F6:F1005" showDropDown="0" showInputMessage="0" showErrorMessage="1" allowBlank="1" errorTitle="Geçersiz durum" error="Bekleniyor, Geldi veya İptal seçin." type="list" errorStyle="stop">
      <formula1>"Bekleniyor,Geldi,İptal"</formula1>
    </dataValidation>
    <dataValidation sqref="G6:G1005" showDropDown="0" showInputMessage="0" showErrorMessage="1" allowBlank="1" errorTitle="Geçersiz tutar" error="Tutar 0 veya daha büyük bir sayı olmalı (comp için 0)." type="decimal" errorStyle="stop" operator="greaterThanOrEqual">
      <formula1>0</formula1>
    </dataValidation>
    <dataValidation sqref="H6:H1005" showDropDown="0" showInputMessage="0" showErrorMessage="1" allowBlank="1" errorTitle="Listede yok" error="Listeden seçin. Yeni kaynak için yöneticiye (Ayarlar sayfası) başvurun." type="list" errorStyle="stop">
      <formula1>=KaynakListesi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14" customWidth="1" min="4" max="4"/>
    <col width="14" customWidth="1" min="5" max="5"/>
    <col width="30" customWidth="1" min="6" max="6"/>
    <col width="38" customWidth="1" min="7" max="7"/>
    <col hidden="1" width="6" customWidth="1" min="8" max="8"/>
  </cols>
  <sheetData>
    <row r="1">
      <c r="A1" s="20" t="inlineStr">
        <is>
          <t>ÖDEME KAYITLARI</t>
        </is>
      </c>
    </row>
    <row r="2">
      <c r="A2" t="inlineStr">
        <is>
          <t>Alınan her ödeme için bir satır. Tarih = ödemenin alındığı gün. Odada o tarihte misafir yoksa sistem kabul etmez.</t>
        </is>
      </c>
    </row>
    <row r="5">
      <c r="A5" s="4" t="inlineStr">
        <is>
          <t>Tarih</t>
        </is>
      </c>
      <c r="B5" s="4" t="inlineStr">
        <is>
          <t>Oda No</t>
        </is>
      </c>
      <c r="C5" s="4" t="inlineStr">
        <is>
          <t>Ödemeyi Yapan</t>
        </is>
      </c>
      <c r="D5" s="4" t="inlineStr">
        <is>
          <t>Tutar</t>
        </is>
      </c>
      <c r="E5" s="4" t="inlineStr">
        <is>
          <t>Ödeme Türü</t>
        </is>
      </c>
      <c r="F5" s="4" t="inlineStr">
        <is>
          <t>Açıklama (isteğe bağlı)</t>
        </is>
      </c>
      <c r="G5" s="4" t="inlineStr">
        <is>
          <t>Kontrol</t>
        </is>
      </c>
      <c r="H5" s="4" t="inlineStr">
        <is>
          <t>Sıra</t>
        </is>
      </c>
    </row>
    <row r="6">
      <c r="A6" s="23" t="n">
        <v>46295</v>
      </c>
      <c r="B6" s="22" t="n">
        <v>14</v>
      </c>
      <c r="C6" s="22" t="inlineStr">
        <is>
          <t>BATI BAKKALOĞLU</t>
        </is>
      </c>
      <c r="D6" s="24" t="n">
        <v>10000</v>
      </c>
      <c r="E6" s="22" t="inlineStr">
        <is>
          <t>KK</t>
        </is>
      </c>
      <c r="F6" s="22" t="inlineStr"/>
      <c r="G6" s="25">
        <f>IF(COUNTA(A6:F6)=0,"",IF(OR(A6="",B6="",C6="",D6="",E6=""),"HATA: eksik bilgi",IF(OR(NOT(ISNUMBER(A6)),NOT(ISNUMBER(D6)),D6&lt;=0),"HATA: tarih/tutar geçersiz",IF(C6&lt;&gt;TRIM(C6),"HATA: isimde baştaki/sondaki boşluk",IF(COUNTIF(TurAralik,E6)=0,"HATA: ödeme türü geçersiz",IF(COUNTIFS(kOda,B6,kGiris,"&lt;="&amp;A6,kCikis,"&gt;="&amp;A6,kDurum,"&lt;&gt;İptal")=0,"HATA: bu odada o tarihte misafir yok","OK"))))))</f>
        <v/>
      </c>
      <c r="H6" s="25">
        <f>IF(AND(ISNUMBER(A6),A6=RaporTarihi),COUNTIFS($A$6:A6,RaporTarihi),"")</f>
        <v/>
      </c>
    </row>
    <row r="7">
      <c r="A7" s="23" t="n"/>
      <c r="B7" s="22" t="n"/>
      <c r="C7" s="22" t="n"/>
      <c r="D7" s="24" t="n"/>
      <c r="E7" s="22" t="n"/>
      <c r="F7" s="22" t="n"/>
      <c r="G7" s="25">
        <f>IF(COUNTA(A7:F7)=0,"",IF(OR(A7="",B7="",C7="",D7="",E7=""),"HATA: eksik bilgi",IF(OR(NOT(ISNUMBER(A7)),NOT(ISNUMBER(D7)),D7&lt;=0),"HATA: tarih/tutar geçersiz",IF(C7&lt;&gt;TRIM(C7),"HATA: isimde baştaki/sondaki boşluk",IF(COUNTIF(TurAralik,E7)=0,"HATA: ödeme türü geçersiz",IF(COUNTIFS(kOda,B7,kGiris,"&lt;="&amp;A7,kCikis,"&gt;="&amp;A7,kDurum,"&lt;&gt;İptal")=0,"HATA: bu odada o tarihte misafir yok","OK"))))))</f>
        <v/>
      </c>
      <c r="H7" s="25">
        <f>IF(AND(ISNUMBER(A7),A7=RaporTarihi),COUNTIFS($A$6:A7,RaporTarihi),"")</f>
        <v/>
      </c>
    </row>
    <row r="8">
      <c r="A8" s="23" t="n"/>
      <c r="B8" s="22" t="n"/>
      <c r="C8" s="22" t="n"/>
      <c r="D8" s="24" t="n"/>
      <c r="E8" s="22" t="n"/>
      <c r="F8" s="22" t="n"/>
      <c r="G8" s="25">
        <f>IF(COUNTA(A8:F8)=0,"",IF(OR(A8="",B8="",C8="",D8="",E8=""),"HATA: eksik bilgi",IF(OR(NOT(ISNUMBER(A8)),NOT(ISNUMBER(D8)),D8&lt;=0),"HATA: tarih/tutar geçersiz",IF(C8&lt;&gt;TRIM(C8),"HATA: isimde baştaki/sondaki boşluk",IF(COUNTIF(TurAralik,E8)=0,"HATA: ödeme türü geçersiz",IF(COUNTIFS(kOda,B8,kGiris,"&lt;="&amp;A8,kCikis,"&gt;="&amp;A8,kDurum,"&lt;&gt;İptal")=0,"HATA: bu odada o tarihte misafir yok","OK"))))))</f>
        <v/>
      </c>
      <c r="H8" s="25">
        <f>IF(AND(ISNUMBER(A8),A8=RaporTarihi),COUNTIFS($A$6:A8,RaporTarihi),"")</f>
        <v/>
      </c>
    </row>
    <row r="9">
      <c r="A9" s="23" t="n"/>
      <c r="B9" s="22" t="n"/>
      <c r="C9" s="22" t="n"/>
      <c r="D9" s="24" t="n"/>
      <c r="E9" s="22" t="n"/>
      <c r="F9" s="22" t="n"/>
      <c r="G9" s="25">
        <f>IF(COUNTA(A9:F9)=0,"",IF(OR(A9="",B9="",C9="",D9="",E9=""),"HATA: eksik bilgi",IF(OR(NOT(ISNUMBER(A9)),NOT(ISNUMBER(D9)),D9&lt;=0),"HATA: tarih/tutar geçersiz",IF(C9&lt;&gt;TRIM(C9),"HATA: isimde baştaki/sondaki boşluk",IF(COUNTIF(TurAralik,E9)=0,"HATA: ödeme türü geçersiz",IF(COUNTIFS(kOda,B9,kGiris,"&lt;="&amp;A9,kCikis,"&gt;="&amp;A9,kDurum,"&lt;&gt;İptal")=0,"HATA: bu odada o tarihte misafir yok","OK"))))))</f>
        <v/>
      </c>
      <c r="H9" s="25">
        <f>IF(AND(ISNUMBER(A9),A9=RaporTarihi),COUNTIFS($A$6:A9,RaporTarihi),"")</f>
        <v/>
      </c>
    </row>
    <row r="10">
      <c r="A10" s="23" t="n"/>
      <c r="B10" s="22" t="n"/>
      <c r="C10" s="22" t="n"/>
      <c r="D10" s="24" t="n"/>
      <c r="E10" s="22" t="n"/>
      <c r="F10" s="22" t="n"/>
      <c r="G10" s="25">
        <f>IF(COUNTA(A10:F10)=0,"",IF(OR(A10="",B10="",C10="",D10="",E10=""),"HATA: eksik bilgi",IF(OR(NOT(ISNUMBER(A10)),NOT(ISNUMBER(D10)),D10&lt;=0),"HATA: tarih/tutar geçersiz",IF(C10&lt;&gt;TRIM(C10),"HATA: isimde baştaki/sondaki boşluk",IF(COUNTIF(TurAralik,E10)=0,"HATA: ödeme türü geçersiz",IF(COUNTIFS(kOda,B10,kGiris,"&lt;="&amp;A10,kCikis,"&gt;="&amp;A10,kDurum,"&lt;&gt;İptal")=0,"HATA: bu odada o tarihte misafir yok","OK"))))))</f>
        <v/>
      </c>
      <c r="H10" s="25">
        <f>IF(AND(ISNUMBER(A10),A10=RaporTarihi),COUNTIFS($A$6:A10,RaporTarihi),"")</f>
        <v/>
      </c>
    </row>
    <row r="11">
      <c r="A11" s="23" t="n"/>
      <c r="B11" s="22" t="n"/>
      <c r="C11" s="22" t="n"/>
      <c r="D11" s="24" t="n"/>
      <c r="E11" s="22" t="n"/>
      <c r="F11" s="22" t="n"/>
      <c r="G11" s="25">
        <f>IF(COUNTA(A11:F11)=0,"",IF(OR(A11="",B11="",C11="",D11="",E11=""),"HATA: eksik bilgi",IF(OR(NOT(ISNUMBER(A11)),NOT(ISNUMBER(D11)),D11&lt;=0),"HATA: tarih/tutar geçersiz",IF(C11&lt;&gt;TRIM(C11),"HATA: isimde baştaki/sondaki boşluk",IF(COUNTIF(TurAralik,E11)=0,"HATA: ödeme türü geçersiz",IF(COUNTIFS(kOda,B11,kGiris,"&lt;="&amp;A11,kCikis,"&gt;="&amp;A11,kDurum,"&lt;&gt;İptal")=0,"HATA: bu odada o tarihte misafir yok","OK"))))))</f>
        <v/>
      </c>
      <c r="H11" s="25">
        <f>IF(AND(ISNUMBER(A11),A11=RaporTarihi),COUNTIFS($A$6:A11,RaporTarihi),"")</f>
        <v/>
      </c>
    </row>
    <row r="12">
      <c r="A12" s="23" t="n"/>
      <c r="B12" s="22" t="n"/>
      <c r="C12" s="22" t="n"/>
      <c r="D12" s="24" t="n"/>
      <c r="E12" s="22" t="n"/>
      <c r="F12" s="22" t="n"/>
      <c r="G12" s="25">
        <f>IF(COUNTA(A12:F12)=0,"",IF(OR(A12="",B12="",C12="",D12="",E12=""),"HATA: eksik bilgi",IF(OR(NOT(ISNUMBER(A12)),NOT(ISNUMBER(D12)),D12&lt;=0),"HATA: tarih/tutar geçersiz",IF(C12&lt;&gt;TRIM(C12),"HATA: isimde baştaki/sondaki boşluk",IF(COUNTIF(TurAralik,E12)=0,"HATA: ödeme türü geçersiz",IF(COUNTIFS(kOda,B12,kGiris,"&lt;="&amp;A12,kCikis,"&gt;="&amp;A12,kDurum,"&lt;&gt;İptal")=0,"HATA: bu odada o tarihte misafir yok","OK"))))))</f>
        <v/>
      </c>
      <c r="H12" s="25">
        <f>IF(AND(ISNUMBER(A12),A12=RaporTarihi),COUNTIFS($A$6:A12,RaporTarihi),"")</f>
        <v/>
      </c>
    </row>
    <row r="13">
      <c r="A13" s="23" t="n"/>
      <c r="B13" s="22" t="n"/>
      <c r="C13" s="22" t="n"/>
      <c r="D13" s="24" t="n"/>
      <c r="E13" s="22" t="n"/>
      <c r="F13" s="22" t="n"/>
      <c r="G13" s="25">
        <f>IF(COUNTA(A13:F13)=0,"",IF(OR(A13="",B13="",C13="",D13="",E13=""),"HATA: eksik bilgi",IF(OR(NOT(ISNUMBER(A13)),NOT(ISNUMBER(D13)),D13&lt;=0),"HATA: tarih/tutar geçersiz",IF(C13&lt;&gt;TRIM(C13),"HATA: isimde baştaki/sondaki boşluk",IF(COUNTIF(TurAralik,E13)=0,"HATA: ödeme türü geçersiz",IF(COUNTIFS(kOda,B13,kGiris,"&lt;="&amp;A13,kCikis,"&gt;="&amp;A13,kDurum,"&lt;&gt;İptal")=0,"HATA: bu odada o tarihte misafir yok","OK"))))))</f>
        <v/>
      </c>
      <c r="H13" s="25">
        <f>IF(AND(ISNUMBER(A13),A13=RaporTarihi),COUNTIFS($A$6:A13,RaporTarihi),"")</f>
        <v/>
      </c>
    </row>
    <row r="14">
      <c r="A14" s="23" t="n"/>
      <c r="B14" s="22" t="n"/>
      <c r="C14" s="22" t="n"/>
      <c r="D14" s="24" t="n"/>
      <c r="E14" s="22" t="n"/>
      <c r="F14" s="22" t="n"/>
      <c r="G14" s="25">
        <f>IF(COUNTA(A14:F14)=0,"",IF(OR(A14="",B14="",C14="",D14="",E14=""),"HATA: eksik bilgi",IF(OR(NOT(ISNUMBER(A14)),NOT(ISNUMBER(D14)),D14&lt;=0),"HATA: tarih/tutar geçersiz",IF(C14&lt;&gt;TRIM(C14),"HATA: isimde baştaki/sondaki boşluk",IF(COUNTIF(TurAralik,E14)=0,"HATA: ödeme türü geçersiz",IF(COUNTIFS(kOda,B14,kGiris,"&lt;="&amp;A14,kCikis,"&gt;="&amp;A14,kDurum,"&lt;&gt;İptal")=0,"HATA: bu odada o tarihte misafir yok","OK"))))))</f>
        <v/>
      </c>
      <c r="H14" s="25">
        <f>IF(AND(ISNUMBER(A14),A14=RaporTarihi),COUNTIFS($A$6:A14,RaporTarihi),"")</f>
        <v/>
      </c>
    </row>
    <row r="15">
      <c r="A15" s="23" t="n"/>
      <c r="B15" s="22" t="n"/>
      <c r="C15" s="22" t="n"/>
      <c r="D15" s="24" t="n"/>
      <c r="E15" s="22" t="n"/>
      <c r="F15" s="22" t="n"/>
      <c r="G15" s="25">
        <f>IF(COUNTA(A15:F15)=0,"",IF(OR(A15="",B15="",C15="",D15="",E15=""),"HATA: eksik bilgi",IF(OR(NOT(ISNUMBER(A15)),NOT(ISNUMBER(D15)),D15&lt;=0),"HATA: tarih/tutar geçersiz",IF(C15&lt;&gt;TRIM(C15),"HATA: isimde baştaki/sondaki boşluk",IF(COUNTIF(TurAralik,E15)=0,"HATA: ödeme türü geçersiz",IF(COUNTIFS(kOda,B15,kGiris,"&lt;="&amp;A15,kCikis,"&gt;="&amp;A15,kDurum,"&lt;&gt;İptal")=0,"HATA: bu odada o tarihte misafir yok","OK"))))))</f>
        <v/>
      </c>
      <c r="H15" s="25">
        <f>IF(AND(ISNUMBER(A15),A15=RaporTarihi),COUNTIFS($A$6:A15,RaporTarihi),"")</f>
        <v/>
      </c>
    </row>
    <row r="16">
      <c r="A16" s="23" t="n"/>
      <c r="B16" s="22" t="n"/>
      <c r="C16" s="22" t="n"/>
      <c r="D16" s="24" t="n"/>
      <c r="E16" s="22" t="n"/>
      <c r="F16" s="22" t="n"/>
      <c r="G16" s="25">
        <f>IF(COUNTA(A16:F16)=0,"",IF(OR(A16="",B16="",C16="",D16="",E16=""),"HATA: eksik bilgi",IF(OR(NOT(ISNUMBER(A16)),NOT(ISNUMBER(D16)),D16&lt;=0),"HATA: tarih/tutar geçersiz",IF(C16&lt;&gt;TRIM(C16),"HATA: isimde baştaki/sondaki boşluk",IF(COUNTIF(TurAralik,E16)=0,"HATA: ödeme türü geçersiz",IF(COUNTIFS(kOda,B16,kGiris,"&lt;="&amp;A16,kCikis,"&gt;="&amp;A16,kDurum,"&lt;&gt;İptal")=0,"HATA: bu odada o tarihte misafir yok","OK"))))))</f>
        <v/>
      </c>
      <c r="H16" s="25">
        <f>IF(AND(ISNUMBER(A16),A16=RaporTarihi),COUNTIFS($A$6:A16,RaporTarihi),"")</f>
        <v/>
      </c>
    </row>
    <row r="17">
      <c r="A17" s="23" t="n"/>
      <c r="B17" s="22" t="n"/>
      <c r="C17" s="22" t="n"/>
      <c r="D17" s="24" t="n"/>
      <c r="E17" s="22" t="n"/>
      <c r="F17" s="22" t="n"/>
      <c r="G17" s="25">
        <f>IF(COUNTA(A17:F17)=0,"",IF(OR(A17="",B17="",C17="",D17="",E17=""),"HATA: eksik bilgi",IF(OR(NOT(ISNUMBER(A17)),NOT(ISNUMBER(D17)),D17&lt;=0),"HATA: tarih/tutar geçersiz",IF(C17&lt;&gt;TRIM(C17),"HATA: isimde baştaki/sondaki boşluk",IF(COUNTIF(TurAralik,E17)=0,"HATA: ödeme türü geçersiz",IF(COUNTIFS(kOda,B17,kGiris,"&lt;="&amp;A17,kCikis,"&gt;="&amp;A17,kDurum,"&lt;&gt;İptal")=0,"HATA: bu odada o tarihte misafir yok","OK"))))))</f>
        <v/>
      </c>
      <c r="H17" s="25">
        <f>IF(AND(ISNUMBER(A17),A17=RaporTarihi),COUNTIFS($A$6:A17,RaporTarihi),"")</f>
        <v/>
      </c>
    </row>
    <row r="18">
      <c r="A18" s="23" t="n"/>
      <c r="B18" s="22" t="n"/>
      <c r="C18" s="22" t="n"/>
      <c r="D18" s="24" t="n"/>
      <c r="E18" s="22" t="n"/>
      <c r="F18" s="22" t="n"/>
      <c r="G18" s="25">
        <f>IF(COUNTA(A18:F18)=0,"",IF(OR(A18="",B18="",C18="",D18="",E18=""),"HATA: eksik bilgi",IF(OR(NOT(ISNUMBER(A18)),NOT(ISNUMBER(D18)),D18&lt;=0),"HATA: tarih/tutar geçersiz",IF(C18&lt;&gt;TRIM(C18),"HATA: isimde baştaki/sondaki boşluk",IF(COUNTIF(TurAralik,E18)=0,"HATA: ödeme türü geçersiz",IF(COUNTIFS(kOda,B18,kGiris,"&lt;="&amp;A18,kCikis,"&gt;="&amp;A18,kDurum,"&lt;&gt;İptal")=0,"HATA: bu odada o tarihte misafir yok","OK"))))))</f>
        <v/>
      </c>
      <c r="H18" s="25">
        <f>IF(AND(ISNUMBER(A18),A18=RaporTarihi),COUNTIFS($A$6:A18,RaporTarihi),"")</f>
        <v/>
      </c>
    </row>
    <row r="19">
      <c r="A19" s="23" t="n"/>
      <c r="B19" s="22" t="n"/>
      <c r="C19" s="22" t="n"/>
      <c r="D19" s="24" t="n"/>
      <c r="E19" s="22" t="n"/>
      <c r="F19" s="22" t="n"/>
      <c r="G19" s="25">
        <f>IF(COUNTA(A19:F19)=0,"",IF(OR(A19="",B19="",C19="",D19="",E19=""),"HATA: eksik bilgi",IF(OR(NOT(ISNUMBER(A19)),NOT(ISNUMBER(D19)),D19&lt;=0),"HATA: tarih/tutar geçersiz",IF(C19&lt;&gt;TRIM(C19),"HATA: isimde baştaki/sondaki boşluk",IF(COUNTIF(TurAralik,E19)=0,"HATA: ödeme türü geçersiz",IF(COUNTIFS(kOda,B19,kGiris,"&lt;="&amp;A19,kCikis,"&gt;="&amp;A19,kDurum,"&lt;&gt;İptal")=0,"HATA: bu odada o tarihte misafir yok","OK"))))))</f>
        <v/>
      </c>
      <c r="H19" s="25">
        <f>IF(AND(ISNUMBER(A19),A19=RaporTarihi),COUNTIFS($A$6:A19,RaporTarihi),"")</f>
        <v/>
      </c>
    </row>
    <row r="20">
      <c r="A20" s="23" t="n"/>
      <c r="B20" s="22" t="n"/>
      <c r="C20" s="22" t="n"/>
      <c r="D20" s="24" t="n"/>
      <c r="E20" s="22" t="n"/>
      <c r="F20" s="22" t="n"/>
      <c r="G20" s="25">
        <f>IF(COUNTA(A20:F20)=0,"",IF(OR(A20="",B20="",C20="",D20="",E20=""),"HATA: eksik bilgi",IF(OR(NOT(ISNUMBER(A20)),NOT(ISNUMBER(D20)),D20&lt;=0),"HATA: tarih/tutar geçersiz",IF(C20&lt;&gt;TRIM(C20),"HATA: isimde baştaki/sondaki boşluk",IF(COUNTIF(TurAralik,E20)=0,"HATA: ödeme türü geçersiz",IF(COUNTIFS(kOda,B20,kGiris,"&lt;="&amp;A20,kCikis,"&gt;="&amp;A20,kDurum,"&lt;&gt;İptal")=0,"HATA: bu odada o tarihte misafir yok","OK"))))))</f>
        <v/>
      </c>
      <c r="H20" s="25">
        <f>IF(AND(ISNUMBER(A20),A20=RaporTarihi),COUNTIFS($A$6:A20,RaporTarihi),"")</f>
        <v/>
      </c>
    </row>
    <row r="21">
      <c r="A21" s="23" t="n"/>
      <c r="B21" s="22" t="n"/>
      <c r="C21" s="22" t="n"/>
      <c r="D21" s="24" t="n"/>
      <c r="E21" s="22" t="n"/>
      <c r="F21" s="22" t="n"/>
      <c r="G21" s="25">
        <f>IF(COUNTA(A21:F21)=0,"",IF(OR(A21="",B21="",C21="",D21="",E21=""),"HATA: eksik bilgi",IF(OR(NOT(ISNUMBER(A21)),NOT(ISNUMBER(D21)),D21&lt;=0),"HATA: tarih/tutar geçersiz",IF(C21&lt;&gt;TRIM(C21),"HATA: isimde baştaki/sondaki boşluk",IF(COUNTIF(TurAralik,E21)=0,"HATA: ödeme türü geçersiz",IF(COUNTIFS(kOda,B21,kGiris,"&lt;="&amp;A21,kCikis,"&gt;="&amp;A21,kDurum,"&lt;&gt;İptal")=0,"HATA: bu odada o tarihte misafir yok","OK"))))))</f>
        <v/>
      </c>
      <c r="H21" s="25">
        <f>IF(AND(ISNUMBER(A21),A21=RaporTarihi),COUNTIFS($A$6:A21,RaporTarihi),"")</f>
        <v/>
      </c>
    </row>
    <row r="22">
      <c r="A22" s="23" t="n"/>
      <c r="B22" s="22" t="n"/>
      <c r="C22" s="22" t="n"/>
      <c r="D22" s="24" t="n"/>
      <c r="E22" s="22" t="n"/>
      <c r="F22" s="22" t="n"/>
      <c r="G22" s="25">
        <f>IF(COUNTA(A22:F22)=0,"",IF(OR(A22="",B22="",C22="",D22="",E22=""),"HATA: eksik bilgi",IF(OR(NOT(ISNUMBER(A22)),NOT(ISNUMBER(D22)),D22&lt;=0),"HATA: tarih/tutar geçersiz",IF(C22&lt;&gt;TRIM(C22),"HATA: isimde baştaki/sondaki boşluk",IF(COUNTIF(TurAralik,E22)=0,"HATA: ödeme türü geçersiz",IF(COUNTIFS(kOda,B22,kGiris,"&lt;="&amp;A22,kCikis,"&gt;="&amp;A22,kDurum,"&lt;&gt;İptal")=0,"HATA: bu odada o tarihte misafir yok","OK"))))))</f>
        <v/>
      </c>
      <c r="H22" s="25">
        <f>IF(AND(ISNUMBER(A22),A22=RaporTarihi),COUNTIFS($A$6:A22,RaporTarihi),"")</f>
        <v/>
      </c>
    </row>
    <row r="23">
      <c r="A23" s="23" t="n"/>
      <c r="B23" s="22" t="n"/>
      <c r="C23" s="22" t="n"/>
      <c r="D23" s="24" t="n"/>
      <c r="E23" s="22" t="n"/>
      <c r="F23" s="22" t="n"/>
      <c r="G23" s="25">
        <f>IF(COUNTA(A23:F23)=0,"",IF(OR(A23="",B23="",C23="",D23="",E23=""),"HATA: eksik bilgi",IF(OR(NOT(ISNUMBER(A23)),NOT(ISNUMBER(D23)),D23&lt;=0),"HATA: tarih/tutar geçersiz",IF(C23&lt;&gt;TRIM(C23),"HATA: isimde baştaki/sondaki boşluk",IF(COUNTIF(TurAralik,E23)=0,"HATA: ödeme türü geçersiz",IF(COUNTIFS(kOda,B23,kGiris,"&lt;="&amp;A23,kCikis,"&gt;="&amp;A23,kDurum,"&lt;&gt;İptal")=0,"HATA: bu odada o tarihte misafir yok","OK"))))))</f>
        <v/>
      </c>
      <c r="H23" s="25">
        <f>IF(AND(ISNUMBER(A23),A23=RaporTarihi),COUNTIFS($A$6:A23,RaporTarihi),"")</f>
        <v/>
      </c>
    </row>
    <row r="24">
      <c r="A24" s="23" t="n"/>
      <c r="B24" s="22" t="n"/>
      <c r="C24" s="22" t="n"/>
      <c r="D24" s="24" t="n"/>
      <c r="E24" s="22" t="n"/>
      <c r="F24" s="22" t="n"/>
      <c r="G24" s="25">
        <f>IF(COUNTA(A24:F24)=0,"",IF(OR(A24="",B24="",C24="",D24="",E24=""),"HATA: eksik bilgi",IF(OR(NOT(ISNUMBER(A24)),NOT(ISNUMBER(D24)),D24&lt;=0),"HATA: tarih/tutar geçersiz",IF(C24&lt;&gt;TRIM(C24),"HATA: isimde baştaki/sondaki boşluk",IF(COUNTIF(TurAralik,E24)=0,"HATA: ödeme türü geçersiz",IF(COUNTIFS(kOda,B24,kGiris,"&lt;="&amp;A24,kCikis,"&gt;="&amp;A24,kDurum,"&lt;&gt;İptal")=0,"HATA: bu odada o tarihte misafir yok","OK"))))))</f>
        <v/>
      </c>
      <c r="H24" s="25">
        <f>IF(AND(ISNUMBER(A24),A24=RaporTarihi),COUNTIFS($A$6:A24,RaporTarihi),"")</f>
        <v/>
      </c>
    </row>
    <row r="25">
      <c r="A25" s="23" t="n"/>
      <c r="B25" s="22" t="n"/>
      <c r="C25" s="22" t="n"/>
      <c r="D25" s="24" t="n"/>
      <c r="E25" s="22" t="n"/>
      <c r="F25" s="22" t="n"/>
      <c r="G25" s="25">
        <f>IF(COUNTA(A25:F25)=0,"",IF(OR(A25="",B25="",C25="",D25="",E25=""),"HATA: eksik bilgi",IF(OR(NOT(ISNUMBER(A25)),NOT(ISNUMBER(D25)),D25&lt;=0),"HATA: tarih/tutar geçersiz",IF(C25&lt;&gt;TRIM(C25),"HATA: isimde baştaki/sondaki boşluk",IF(COUNTIF(TurAralik,E25)=0,"HATA: ödeme türü geçersiz",IF(COUNTIFS(kOda,B25,kGiris,"&lt;="&amp;A25,kCikis,"&gt;="&amp;A25,kDurum,"&lt;&gt;İptal")=0,"HATA: bu odada o tarihte misafir yok","OK"))))))</f>
        <v/>
      </c>
      <c r="H25" s="25">
        <f>IF(AND(ISNUMBER(A25),A25=RaporTarihi),COUNTIFS($A$6:A25,RaporTarihi),"")</f>
        <v/>
      </c>
    </row>
    <row r="26">
      <c r="A26" s="23" t="n"/>
      <c r="B26" s="22" t="n"/>
      <c r="C26" s="22" t="n"/>
      <c r="D26" s="24" t="n"/>
      <c r="E26" s="22" t="n"/>
      <c r="F26" s="22" t="n"/>
      <c r="G26" s="25">
        <f>IF(COUNTA(A26:F26)=0,"",IF(OR(A26="",B26="",C26="",D26="",E26=""),"HATA: eksik bilgi",IF(OR(NOT(ISNUMBER(A26)),NOT(ISNUMBER(D26)),D26&lt;=0),"HATA: tarih/tutar geçersiz",IF(C26&lt;&gt;TRIM(C26),"HATA: isimde baştaki/sondaki boşluk",IF(COUNTIF(TurAralik,E26)=0,"HATA: ödeme türü geçersiz",IF(COUNTIFS(kOda,B26,kGiris,"&lt;="&amp;A26,kCikis,"&gt;="&amp;A26,kDurum,"&lt;&gt;İptal")=0,"HATA: bu odada o tarihte misafir yok","OK"))))))</f>
        <v/>
      </c>
      <c r="H26" s="25">
        <f>IF(AND(ISNUMBER(A26),A26=RaporTarihi),COUNTIFS($A$6:A26,RaporTarihi),"")</f>
        <v/>
      </c>
    </row>
    <row r="27">
      <c r="A27" s="23" t="n"/>
      <c r="B27" s="22" t="n"/>
      <c r="C27" s="22" t="n"/>
      <c r="D27" s="24" t="n"/>
      <c r="E27" s="22" t="n"/>
      <c r="F27" s="22" t="n"/>
      <c r="G27" s="25">
        <f>IF(COUNTA(A27:F27)=0,"",IF(OR(A27="",B27="",C27="",D27="",E27=""),"HATA: eksik bilgi",IF(OR(NOT(ISNUMBER(A27)),NOT(ISNUMBER(D27)),D27&lt;=0),"HATA: tarih/tutar geçersiz",IF(C27&lt;&gt;TRIM(C27),"HATA: isimde baştaki/sondaki boşluk",IF(COUNTIF(TurAralik,E27)=0,"HATA: ödeme türü geçersiz",IF(COUNTIFS(kOda,B27,kGiris,"&lt;="&amp;A27,kCikis,"&gt;="&amp;A27,kDurum,"&lt;&gt;İptal")=0,"HATA: bu odada o tarihte misafir yok","OK"))))))</f>
        <v/>
      </c>
      <c r="H27" s="25">
        <f>IF(AND(ISNUMBER(A27),A27=RaporTarihi),COUNTIFS($A$6:A27,RaporTarihi),"")</f>
        <v/>
      </c>
    </row>
    <row r="28">
      <c r="A28" s="23" t="n"/>
      <c r="B28" s="22" t="n"/>
      <c r="C28" s="22" t="n"/>
      <c r="D28" s="24" t="n"/>
      <c r="E28" s="22" t="n"/>
      <c r="F28" s="22" t="n"/>
      <c r="G28" s="25">
        <f>IF(COUNTA(A28:F28)=0,"",IF(OR(A28="",B28="",C28="",D28="",E28=""),"HATA: eksik bilgi",IF(OR(NOT(ISNUMBER(A28)),NOT(ISNUMBER(D28)),D28&lt;=0),"HATA: tarih/tutar geçersiz",IF(C28&lt;&gt;TRIM(C28),"HATA: isimde baştaki/sondaki boşluk",IF(COUNTIF(TurAralik,E28)=0,"HATA: ödeme türü geçersiz",IF(COUNTIFS(kOda,B28,kGiris,"&lt;="&amp;A28,kCikis,"&gt;="&amp;A28,kDurum,"&lt;&gt;İptal")=0,"HATA: bu odada o tarihte misafir yok","OK"))))))</f>
        <v/>
      </c>
      <c r="H28" s="25">
        <f>IF(AND(ISNUMBER(A28),A28=RaporTarihi),COUNTIFS($A$6:A28,RaporTarihi),"")</f>
        <v/>
      </c>
    </row>
    <row r="29">
      <c r="A29" s="23" t="n"/>
      <c r="B29" s="22" t="n"/>
      <c r="C29" s="22" t="n"/>
      <c r="D29" s="24" t="n"/>
      <c r="E29" s="22" t="n"/>
      <c r="F29" s="22" t="n"/>
      <c r="G29" s="25">
        <f>IF(COUNTA(A29:F29)=0,"",IF(OR(A29="",B29="",C29="",D29="",E29=""),"HATA: eksik bilgi",IF(OR(NOT(ISNUMBER(A29)),NOT(ISNUMBER(D29)),D29&lt;=0),"HATA: tarih/tutar geçersiz",IF(C29&lt;&gt;TRIM(C29),"HATA: isimde baştaki/sondaki boşluk",IF(COUNTIF(TurAralik,E29)=0,"HATA: ödeme türü geçersiz",IF(COUNTIFS(kOda,B29,kGiris,"&lt;="&amp;A29,kCikis,"&gt;="&amp;A29,kDurum,"&lt;&gt;İptal")=0,"HATA: bu odada o tarihte misafir yok","OK"))))))</f>
        <v/>
      </c>
      <c r="H29" s="25">
        <f>IF(AND(ISNUMBER(A29),A29=RaporTarihi),COUNTIFS($A$6:A29,RaporTarihi),"")</f>
        <v/>
      </c>
    </row>
    <row r="30">
      <c r="A30" s="23" t="n"/>
      <c r="B30" s="22" t="n"/>
      <c r="C30" s="22" t="n"/>
      <c r="D30" s="24" t="n"/>
      <c r="E30" s="22" t="n"/>
      <c r="F30" s="22" t="n"/>
      <c r="G30" s="25">
        <f>IF(COUNTA(A30:F30)=0,"",IF(OR(A30="",B30="",C30="",D30="",E30=""),"HATA: eksik bilgi",IF(OR(NOT(ISNUMBER(A30)),NOT(ISNUMBER(D30)),D30&lt;=0),"HATA: tarih/tutar geçersiz",IF(C30&lt;&gt;TRIM(C30),"HATA: isimde baştaki/sondaki boşluk",IF(COUNTIF(TurAralik,E30)=0,"HATA: ödeme türü geçersiz",IF(COUNTIFS(kOda,B30,kGiris,"&lt;="&amp;A30,kCikis,"&gt;="&amp;A30,kDurum,"&lt;&gt;İptal")=0,"HATA: bu odada o tarihte misafir yok","OK"))))))</f>
        <v/>
      </c>
      <c r="H30" s="25">
        <f>IF(AND(ISNUMBER(A30),A30=RaporTarihi),COUNTIFS($A$6:A30,RaporTarihi),"")</f>
        <v/>
      </c>
    </row>
    <row r="31">
      <c r="A31" s="23" t="n"/>
      <c r="B31" s="22" t="n"/>
      <c r="C31" s="22" t="n"/>
      <c r="D31" s="24" t="n"/>
      <c r="E31" s="22" t="n"/>
      <c r="F31" s="22" t="n"/>
      <c r="G31" s="25">
        <f>IF(COUNTA(A31:F31)=0,"",IF(OR(A31="",B31="",C31="",D31="",E31=""),"HATA: eksik bilgi",IF(OR(NOT(ISNUMBER(A31)),NOT(ISNUMBER(D31)),D31&lt;=0),"HATA: tarih/tutar geçersiz",IF(C31&lt;&gt;TRIM(C31),"HATA: isimde baştaki/sondaki boşluk",IF(COUNTIF(TurAralik,E31)=0,"HATA: ödeme türü geçersiz",IF(COUNTIFS(kOda,B31,kGiris,"&lt;="&amp;A31,kCikis,"&gt;="&amp;A31,kDurum,"&lt;&gt;İptal")=0,"HATA: bu odada o tarihte misafir yok","OK"))))))</f>
        <v/>
      </c>
      <c r="H31" s="25">
        <f>IF(AND(ISNUMBER(A31),A31=RaporTarihi),COUNTIFS($A$6:A31,RaporTarihi),"")</f>
        <v/>
      </c>
    </row>
    <row r="32">
      <c r="A32" s="23" t="n"/>
      <c r="B32" s="22" t="n"/>
      <c r="C32" s="22" t="n"/>
      <c r="D32" s="24" t="n"/>
      <c r="E32" s="22" t="n"/>
      <c r="F32" s="22" t="n"/>
      <c r="G32" s="25">
        <f>IF(COUNTA(A32:F32)=0,"",IF(OR(A32="",B32="",C32="",D32="",E32=""),"HATA: eksik bilgi",IF(OR(NOT(ISNUMBER(A32)),NOT(ISNUMBER(D32)),D32&lt;=0),"HATA: tarih/tutar geçersiz",IF(C32&lt;&gt;TRIM(C32),"HATA: isimde baştaki/sondaki boşluk",IF(COUNTIF(TurAralik,E32)=0,"HATA: ödeme türü geçersiz",IF(COUNTIFS(kOda,B32,kGiris,"&lt;="&amp;A32,kCikis,"&gt;="&amp;A32,kDurum,"&lt;&gt;İptal")=0,"HATA: bu odada o tarihte misafir yok","OK"))))))</f>
        <v/>
      </c>
      <c r="H32" s="25">
        <f>IF(AND(ISNUMBER(A32),A32=RaporTarihi),COUNTIFS($A$6:A32,RaporTarihi),"")</f>
        <v/>
      </c>
    </row>
    <row r="33">
      <c r="A33" s="23" t="n"/>
      <c r="B33" s="22" t="n"/>
      <c r="C33" s="22" t="n"/>
      <c r="D33" s="24" t="n"/>
      <c r="E33" s="22" t="n"/>
      <c r="F33" s="22" t="n"/>
      <c r="G33" s="25">
        <f>IF(COUNTA(A33:F33)=0,"",IF(OR(A33="",B33="",C33="",D33="",E33=""),"HATA: eksik bilgi",IF(OR(NOT(ISNUMBER(A33)),NOT(ISNUMBER(D33)),D33&lt;=0),"HATA: tarih/tutar geçersiz",IF(C33&lt;&gt;TRIM(C33),"HATA: isimde baştaki/sondaki boşluk",IF(COUNTIF(TurAralik,E33)=0,"HATA: ödeme türü geçersiz",IF(COUNTIFS(kOda,B33,kGiris,"&lt;="&amp;A33,kCikis,"&gt;="&amp;A33,kDurum,"&lt;&gt;İptal")=0,"HATA: bu odada o tarihte misafir yok","OK"))))))</f>
        <v/>
      </c>
      <c r="H33" s="25">
        <f>IF(AND(ISNUMBER(A33),A33=RaporTarihi),COUNTIFS($A$6:A33,RaporTarihi),"")</f>
        <v/>
      </c>
    </row>
    <row r="34">
      <c r="A34" s="23" t="n"/>
      <c r="B34" s="22" t="n"/>
      <c r="C34" s="22" t="n"/>
      <c r="D34" s="24" t="n"/>
      <c r="E34" s="22" t="n"/>
      <c r="F34" s="22" t="n"/>
      <c r="G34" s="25">
        <f>IF(COUNTA(A34:F34)=0,"",IF(OR(A34="",B34="",C34="",D34="",E34=""),"HATA: eksik bilgi",IF(OR(NOT(ISNUMBER(A34)),NOT(ISNUMBER(D34)),D34&lt;=0),"HATA: tarih/tutar geçersiz",IF(C34&lt;&gt;TRIM(C34),"HATA: isimde baştaki/sondaki boşluk",IF(COUNTIF(TurAralik,E34)=0,"HATA: ödeme türü geçersiz",IF(COUNTIFS(kOda,B34,kGiris,"&lt;="&amp;A34,kCikis,"&gt;="&amp;A34,kDurum,"&lt;&gt;İptal")=0,"HATA: bu odada o tarihte misafir yok","OK"))))))</f>
        <v/>
      </c>
      <c r="H34" s="25">
        <f>IF(AND(ISNUMBER(A34),A34=RaporTarihi),COUNTIFS($A$6:A34,RaporTarihi),"")</f>
        <v/>
      </c>
    </row>
    <row r="35">
      <c r="A35" s="23" t="n"/>
      <c r="B35" s="22" t="n"/>
      <c r="C35" s="22" t="n"/>
      <c r="D35" s="24" t="n"/>
      <c r="E35" s="22" t="n"/>
      <c r="F35" s="22" t="n"/>
      <c r="G35" s="25">
        <f>IF(COUNTA(A35:F35)=0,"",IF(OR(A35="",B35="",C35="",D35="",E35=""),"HATA: eksik bilgi",IF(OR(NOT(ISNUMBER(A35)),NOT(ISNUMBER(D35)),D35&lt;=0),"HATA: tarih/tutar geçersiz",IF(C35&lt;&gt;TRIM(C35),"HATA: isimde baştaki/sondaki boşluk",IF(COUNTIF(TurAralik,E35)=0,"HATA: ödeme türü geçersiz",IF(COUNTIFS(kOda,B35,kGiris,"&lt;="&amp;A35,kCikis,"&gt;="&amp;A35,kDurum,"&lt;&gt;İptal")=0,"HATA: bu odada o tarihte misafir yok","OK"))))))</f>
        <v/>
      </c>
      <c r="H35" s="25">
        <f>IF(AND(ISNUMBER(A35),A35=RaporTarihi),COUNTIFS($A$6:A35,RaporTarihi),"")</f>
        <v/>
      </c>
    </row>
    <row r="36">
      <c r="A36" s="23" t="n"/>
      <c r="B36" s="22" t="n"/>
      <c r="C36" s="22" t="n"/>
      <c r="D36" s="24" t="n"/>
      <c r="E36" s="22" t="n"/>
      <c r="F36" s="22" t="n"/>
      <c r="G36" s="25">
        <f>IF(COUNTA(A36:F36)=0,"",IF(OR(A36="",B36="",C36="",D36="",E36=""),"HATA: eksik bilgi",IF(OR(NOT(ISNUMBER(A36)),NOT(ISNUMBER(D36)),D36&lt;=0),"HATA: tarih/tutar geçersiz",IF(C36&lt;&gt;TRIM(C36),"HATA: isimde baştaki/sondaki boşluk",IF(COUNTIF(TurAralik,E36)=0,"HATA: ödeme türü geçersiz",IF(COUNTIFS(kOda,B36,kGiris,"&lt;="&amp;A36,kCikis,"&gt;="&amp;A36,kDurum,"&lt;&gt;İptal")=0,"HATA: bu odada o tarihte misafir yok","OK"))))))</f>
        <v/>
      </c>
      <c r="H36" s="25">
        <f>IF(AND(ISNUMBER(A36),A36=RaporTarihi),COUNTIFS($A$6:A36,RaporTarihi),"")</f>
        <v/>
      </c>
    </row>
    <row r="37">
      <c r="A37" s="23" t="n"/>
      <c r="B37" s="22" t="n"/>
      <c r="C37" s="22" t="n"/>
      <c r="D37" s="24" t="n"/>
      <c r="E37" s="22" t="n"/>
      <c r="F37" s="22" t="n"/>
      <c r="G37" s="25">
        <f>IF(COUNTA(A37:F37)=0,"",IF(OR(A37="",B37="",C37="",D37="",E37=""),"HATA: eksik bilgi",IF(OR(NOT(ISNUMBER(A37)),NOT(ISNUMBER(D37)),D37&lt;=0),"HATA: tarih/tutar geçersiz",IF(C37&lt;&gt;TRIM(C37),"HATA: isimde baştaki/sondaki boşluk",IF(COUNTIF(TurAralik,E37)=0,"HATA: ödeme türü geçersiz",IF(COUNTIFS(kOda,B37,kGiris,"&lt;="&amp;A37,kCikis,"&gt;="&amp;A37,kDurum,"&lt;&gt;İptal")=0,"HATA: bu odada o tarihte misafir yok","OK"))))))</f>
        <v/>
      </c>
      <c r="H37" s="25">
        <f>IF(AND(ISNUMBER(A37),A37=RaporTarihi),COUNTIFS($A$6:A37,RaporTarihi),"")</f>
        <v/>
      </c>
    </row>
    <row r="38">
      <c r="A38" s="23" t="n"/>
      <c r="B38" s="22" t="n"/>
      <c r="C38" s="22" t="n"/>
      <c r="D38" s="24" t="n"/>
      <c r="E38" s="22" t="n"/>
      <c r="F38" s="22" t="n"/>
      <c r="G38" s="25">
        <f>IF(COUNTA(A38:F38)=0,"",IF(OR(A38="",B38="",C38="",D38="",E38=""),"HATA: eksik bilgi",IF(OR(NOT(ISNUMBER(A38)),NOT(ISNUMBER(D38)),D38&lt;=0),"HATA: tarih/tutar geçersiz",IF(C38&lt;&gt;TRIM(C38),"HATA: isimde baştaki/sondaki boşluk",IF(COUNTIF(TurAralik,E38)=0,"HATA: ödeme türü geçersiz",IF(COUNTIFS(kOda,B38,kGiris,"&lt;="&amp;A38,kCikis,"&gt;="&amp;A38,kDurum,"&lt;&gt;İptal")=0,"HATA: bu odada o tarihte misafir yok","OK"))))))</f>
        <v/>
      </c>
      <c r="H38" s="25">
        <f>IF(AND(ISNUMBER(A38),A38=RaporTarihi),COUNTIFS($A$6:A38,RaporTarihi),"")</f>
        <v/>
      </c>
    </row>
    <row r="39">
      <c r="A39" s="23" t="n"/>
      <c r="B39" s="22" t="n"/>
      <c r="C39" s="22" t="n"/>
      <c r="D39" s="24" t="n"/>
      <c r="E39" s="22" t="n"/>
      <c r="F39" s="22" t="n"/>
      <c r="G39" s="25">
        <f>IF(COUNTA(A39:F39)=0,"",IF(OR(A39="",B39="",C39="",D39="",E39=""),"HATA: eksik bilgi",IF(OR(NOT(ISNUMBER(A39)),NOT(ISNUMBER(D39)),D39&lt;=0),"HATA: tarih/tutar geçersiz",IF(C39&lt;&gt;TRIM(C39),"HATA: isimde baştaki/sondaki boşluk",IF(COUNTIF(TurAralik,E39)=0,"HATA: ödeme türü geçersiz",IF(COUNTIFS(kOda,B39,kGiris,"&lt;="&amp;A39,kCikis,"&gt;="&amp;A39,kDurum,"&lt;&gt;İptal")=0,"HATA: bu odada o tarihte misafir yok","OK"))))))</f>
        <v/>
      </c>
      <c r="H39" s="25">
        <f>IF(AND(ISNUMBER(A39),A39=RaporTarihi),COUNTIFS($A$6:A39,RaporTarihi),"")</f>
        <v/>
      </c>
    </row>
    <row r="40">
      <c r="A40" s="23" t="n"/>
      <c r="B40" s="22" t="n"/>
      <c r="C40" s="22" t="n"/>
      <c r="D40" s="24" t="n"/>
      <c r="E40" s="22" t="n"/>
      <c r="F40" s="22" t="n"/>
      <c r="G40" s="25">
        <f>IF(COUNTA(A40:F40)=0,"",IF(OR(A40="",B40="",C40="",D40="",E40=""),"HATA: eksik bilgi",IF(OR(NOT(ISNUMBER(A40)),NOT(ISNUMBER(D40)),D40&lt;=0),"HATA: tarih/tutar geçersiz",IF(C40&lt;&gt;TRIM(C40),"HATA: isimde baştaki/sondaki boşluk",IF(COUNTIF(TurAralik,E40)=0,"HATA: ödeme türü geçersiz",IF(COUNTIFS(kOda,B40,kGiris,"&lt;="&amp;A40,kCikis,"&gt;="&amp;A40,kDurum,"&lt;&gt;İptal")=0,"HATA: bu odada o tarihte misafir yok","OK"))))))</f>
        <v/>
      </c>
      <c r="H40" s="25">
        <f>IF(AND(ISNUMBER(A40),A40=RaporTarihi),COUNTIFS($A$6:A40,RaporTarihi),"")</f>
        <v/>
      </c>
    </row>
    <row r="41">
      <c r="A41" s="23" t="n"/>
      <c r="B41" s="22" t="n"/>
      <c r="C41" s="22" t="n"/>
      <c r="D41" s="24" t="n"/>
      <c r="E41" s="22" t="n"/>
      <c r="F41" s="22" t="n"/>
      <c r="G41" s="25">
        <f>IF(COUNTA(A41:F41)=0,"",IF(OR(A41="",B41="",C41="",D41="",E41=""),"HATA: eksik bilgi",IF(OR(NOT(ISNUMBER(A41)),NOT(ISNUMBER(D41)),D41&lt;=0),"HATA: tarih/tutar geçersiz",IF(C41&lt;&gt;TRIM(C41),"HATA: isimde baştaki/sondaki boşluk",IF(COUNTIF(TurAralik,E41)=0,"HATA: ödeme türü geçersiz",IF(COUNTIFS(kOda,B41,kGiris,"&lt;="&amp;A41,kCikis,"&gt;="&amp;A41,kDurum,"&lt;&gt;İptal")=0,"HATA: bu odada o tarihte misafir yok","OK"))))))</f>
        <v/>
      </c>
      <c r="H41" s="25">
        <f>IF(AND(ISNUMBER(A41),A41=RaporTarihi),COUNTIFS($A$6:A41,RaporTarihi),"")</f>
        <v/>
      </c>
    </row>
    <row r="42">
      <c r="A42" s="23" t="n"/>
      <c r="B42" s="22" t="n"/>
      <c r="C42" s="22" t="n"/>
      <c r="D42" s="24" t="n"/>
      <c r="E42" s="22" t="n"/>
      <c r="F42" s="22" t="n"/>
      <c r="G42" s="25">
        <f>IF(COUNTA(A42:F42)=0,"",IF(OR(A42="",B42="",C42="",D42="",E42=""),"HATA: eksik bilgi",IF(OR(NOT(ISNUMBER(A42)),NOT(ISNUMBER(D42)),D42&lt;=0),"HATA: tarih/tutar geçersiz",IF(C42&lt;&gt;TRIM(C42),"HATA: isimde baştaki/sondaki boşluk",IF(COUNTIF(TurAralik,E42)=0,"HATA: ödeme türü geçersiz",IF(COUNTIFS(kOda,B42,kGiris,"&lt;="&amp;A42,kCikis,"&gt;="&amp;A42,kDurum,"&lt;&gt;İptal")=0,"HATA: bu odada o tarihte misafir yok","OK"))))))</f>
        <v/>
      </c>
      <c r="H42" s="25">
        <f>IF(AND(ISNUMBER(A42),A42=RaporTarihi),COUNTIFS($A$6:A42,RaporTarihi),"")</f>
        <v/>
      </c>
    </row>
    <row r="43">
      <c r="A43" s="23" t="n"/>
      <c r="B43" s="22" t="n"/>
      <c r="C43" s="22" t="n"/>
      <c r="D43" s="24" t="n"/>
      <c r="E43" s="22" t="n"/>
      <c r="F43" s="22" t="n"/>
      <c r="G43" s="25">
        <f>IF(COUNTA(A43:F43)=0,"",IF(OR(A43="",B43="",C43="",D43="",E43=""),"HATA: eksik bilgi",IF(OR(NOT(ISNUMBER(A43)),NOT(ISNUMBER(D43)),D43&lt;=0),"HATA: tarih/tutar geçersiz",IF(C43&lt;&gt;TRIM(C43),"HATA: isimde baştaki/sondaki boşluk",IF(COUNTIF(TurAralik,E43)=0,"HATA: ödeme türü geçersiz",IF(COUNTIFS(kOda,B43,kGiris,"&lt;="&amp;A43,kCikis,"&gt;="&amp;A43,kDurum,"&lt;&gt;İptal")=0,"HATA: bu odada o tarihte misafir yok","OK"))))))</f>
        <v/>
      </c>
      <c r="H43" s="25">
        <f>IF(AND(ISNUMBER(A43),A43=RaporTarihi),COUNTIFS($A$6:A43,RaporTarihi),"")</f>
        <v/>
      </c>
    </row>
    <row r="44">
      <c r="A44" s="23" t="n"/>
      <c r="B44" s="22" t="n"/>
      <c r="C44" s="22" t="n"/>
      <c r="D44" s="24" t="n"/>
      <c r="E44" s="22" t="n"/>
      <c r="F44" s="22" t="n"/>
      <c r="G44" s="25">
        <f>IF(COUNTA(A44:F44)=0,"",IF(OR(A44="",B44="",C44="",D44="",E44=""),"HATA: eksik bilgi",IF(OR(NOT(ISNUMBER(A44)),NOT(ISNUMBER(D44)),D44&lt;=0),"HATA: tarih/tutar geçersiz",IF(C44&lt;&gt;TRIM(C44),"HATA: isimde baştaki/sondaki boşluk",IF(COUNTIF(TurAralik,E44)=0,"HATA: ödeme türü geçersiz",IF(COUNTIFS(kOda,B44,kGiris,"&lt;="&amp;A44,kCikis,"&gt;="&amp;A44,kDurum,"&lt;&gt;İptal")=0,"HATA: bu odada o tarihte misafir yok","OK"))))))</f>
        <v/>
      </c>
      <c r="H44" s="25">
        <f>IF(AND(ISNUMBER(A44),A44=RaporTarihi),COUNTIFS($A$6:A44,RaporTarihi),"")</f>
        <v/>
      </c>
    </row>
    <row r="45">
      <c r="A45" s="23" t="n"/>
      <c r="B45" s="22" t="n"/>
      <c r="C45" s="22" t="n"/>
      <c r="D45" s="24" t="n"/>
      <c r="E45" s="22" t="n"/>
      <c r="F45" s="22" t="n"/>
      <c r="G45" s="25">
        <f>IF(COUNTA(A45:F45)=0,"",IF(OR(A45="",B45="",C45="",D45="",E45=""),"HATA: eksik bilgi",IF(OR(NOT(ISNUMBER(A45)),NOT(ISNUMBER(D45)),D45&lt;=0),"HATA: tarih/tutar geçersiz",IF(C45&lt;&gt;TRIM(C45),"HATA: isimde baştaki/sondaki boşluk",IF(COUNTIF(TurAralik,E45)=0,"HATA: ödeme türü geçersiz",IF(COUNTIFS(kOda,B45,kGiris,"&lt;="&amp;A45,kCikis,"&gt;="&amp;A45,kDurum,"&lt;&gt;İptal")=0,"HATA: bu odada o tarihte misafir yok","OK"))))))</f>
        <v/>
      </c>
      <c r="H45" s="25">
        <f>IF(AND(ISNUMBER(A45),A45=RaporTarihi),COUNTIFS($A$6:A45,RaporTarihi),"")</f>
        <v/>
      </c>
    </row>
    <row r="46">
      <c r="A46" s="23" t="n"/>
      <c r="B46" s="22" t="n"/>
      <c r="C46" s="22" t="n"/>
      <c r="D46" s="24" t="n"/>
      <c r="E46" s="22" t="n"/>
      <c r="F46" s="22" t="n"/>
      <c r="G46" s="25">
        <f>IF(COUNTA(A46:F46)=0,"",IF(OR(A46="",B46="",C46="",D46="",E46=""),"HATA: eksik bilgi",IF(OR(NOT(ISNUMBER(A46)),NOT(ISNUMBER(D46)),D46&lt;=0),"HATA: tarih/tutar geçersiz",IF(C46&lt;&gt;TRIM(C46),"HATA: isimde baştaki/sondaki boşluk",IF(COUNTIF(TurAralik,E46)=0,"HATA: ödeme türü geçersiz",IF(COUNTIFS(kOda,B46,kGiris,"&lt;="&amp;A46,kCikis,"&gt;="&amp;A46,kDurum,"&lt;&gt;İptal")=0,"HATA: bu odada o tarihte misafir yok","OK"))))))</f>
        <v/>
      </c>
      <c r="H46" s="25">
        <f>IF(AND(ISNUMBER(A46),A46=RaporTarihi),COUNTIFS($A$6:A46,RaporTarihi),"")</f>
        <v/>
      </c>
    </row>
    <row r="47">
      <c r="A47" s="23" t="n"/>
      <c r="B47" s="22" t="n"/>
      <c r="C47" s="22" t="n"/>
      <c r="D47" s="24" t="n"/>
      <c r="E47" s="22" t="n"/>
      <c r="F47" s="22" t="n"/>
      <c r="G47" s="25">
        <f>IF(COUNTA(A47:F47)=0,"",IF(OR(A47="",B47="",C47="",D47="",E47=""),"HATA: eksik bilgi",IF(OR(NOT(ISNUMBER(A47)),NOT(ISNUMBER(D47)),D47&lt;=0),"HATA: tarih/tutar geçersiz",IF(C47&lt;&gt;TRIM(C47),"HATA: isimde baştaki/sondaki boşluk",IF(COUNTIF(TurAralik,E47)=0,"HATA: ödeme türü geçersiz",IF(COUNTIFS(kOda,B47,kGiris,"&lt;="&amp;A47,kCikis,"&gt;="&amp;A47,kDurum,"&lt;&gt;İptal")=0,"HATA: bu odada o tarihte misafir yok","OK"))))))</f>
        <v/>
      </c>
      <c r="H47" s="25">
        <f>IF(AND(ISNUMBER(A47),A47=RaporTarihi),COUNTIFS($A$6:A47,RaporTarihi),"")</f>
        <v/>
      </c>
    </row>
    <row r="48">
      <c r="A48" s="23" t="n"/>
      <c r="B48" s="22" t="n"/>
      <c r="C48" s="22" t="n"/>
      <c r="D48" s="24" t="n"/>
      <c r="E48" s="22" t="n"/>
      <c r="F48" s="22" t="n"/>
      <c r="G48" s="25">
        <f>IF(COUNTA(A48:F48)=0,"",IF(OR(A48="",B48="",C48="",D48="",E48=""),"HATA: eksik bilgi",IF(OR(NOT(ISNUMBER(A48)),NOT(ISNUMBER(D48)),D48&lt;=0),"HATA: tarih/tutar geçersiz",IF(C48&lt;&gt;TRIM(C48),"HATA: isimde baştaki/sondaki boşluk",IF(COUNTIF(TurAralik,E48)=0,"HATA: ödeme türü geçersiz",IF(COUNTIFS(kOda,B48,kGiris,"&lt;="&amp;A48,kCikis,"&gt;="&amp;A48,kDurum,"&lt;&gt;İptal")=0,"HATA: bu odada o tarihte misafir yok","OK"))))))</f>
        <v/>
      </c>
      <c r="H48" s="25">
        <f>IF(AND(ISNUMBER(A48),A48=RaporTarihi),COUNTIFS($A$6:A48,RaporTarihi),"")</f>
        <v/>
      </c>
    </row>
    <row r="49">
      <c r="A49" s="23" t="n"/>
      <c r="B49" s="22" t="n"/>
      <c r="C49" s="22" t="n"/>
      <c r="D49" s="24" t="n"/>
      <c r="E49" s="22" t="n"/>
      <c r="F49" s="22" t="n"/>
      <c r="G49" s="25">
        <f>IF(COUNTA(A49:F49)=0,"",IF(OR(A49="",B49="",C49="",D49="",E49=""),"HATA: eksik bilgi",IF(OR(NOT(ISNUMBER(A49)),NOT(ISNUMBER(D49)),D49&lt;=0),"HATA: tarih/tutar geçersiz",IF(C49&lt;&gt;TRIM(C49),"HATA: isimde baştaki/sondaki boşluk",IF(COUNTIF(TurAralik,E49)=0,"HATA: ödeme türü geçersiz",IF(COUNTIFS(kOda,B49,kGiris,"&lt;="&amp;A49,kCikis,"&gt;="&amp;A49,kDurum,"&lt;&gt;İptal")=0,"HATA: bu odada o tarihte misafir yok","OK"))))))</f>
        <v/>
      </c>
      <c r="H49" s="25">
        <f>IF(AND(ISNUMBER(A49),A49=RaporTarihi),COUNTIFS($A$6:A49,RaporTarihi),"")</f>
        <v/>
      </c>
    </row>
    <row r="50">
      <c r="A50" s="23" t="n"/>
      <c r="B50" s="22" t="n"/>
      <c r="C50" s="22" t="n"/>
      <c r="D50" s="24" t="n"/>
      <c r="E50" s="22" t="n"/>
      <c r="F50" s="22" t="n"/>
      <c r="G50" s="25">
        <f>IF(COUNTA(A50:F50)=0,"",IF(OR(A50="",B50="",C50="",D50="",E50=""),"HATA: eksik bilgi",IF(OR(NOT(ISNUMBER(A50)),NOT(ISNUMBER(D50)),D50&lt;=0),"HATA: tarih/tutar geçersiz",IF(C50&lt;&gt;TRIM(C50),"HATA: isimde baştaki/sondaki boşluk",IF(COUNTIF(TurAralik,E50)=0,"HATA: ödeme türü geçersiz",IF(COUNTIFS(kOda,B50,kGiris,"&lt;="&amp;A50,kCikis,"&gt;="&amp;A50,kDurum,"&lt;&gt;İptal")=0,"HATA: bu odada o tarihte misafir yok","OK"))))))</f>
        <v/>
      </c>
      <c r="H50" s="25">
        <f>IF(AND(ISNUMBER(A50),A50=RaporTarihi),COUNTIFS($A$6:A50,RaporTarihi),"")</f>
        <v/>
      </c>
    </row>
    <row r="51">
      <c r="A51" s="23" t="n"/>
      <c r="B51" s="22" t="n"/>
      <c r="C51" s="22" t="n"/>
      <c r="D51" s="24" t="n"/>
      <c r="E51" s="22" t="n"/>
      <c r="F51" s="22" t="n"/>
      <c r="G51" s="25">
        <f>IF(COUNTA(A51:F51)=0,"",IF(OR(A51="",B51="",C51="",D51="",E51=""),"HATA: eksik bilgi",IF(OR(NOT(ISNUMBER(A51)),NOT(ISNUMBER(D51)),D51&lt;=0),"HATA: tarih/tutar geçersiz",IF(C51&lt;&gt;TRIM(C51),"HATA: isimde baştaki/sondaki boşluk",IF(COUNTIF(TurAralik,E51)=0,"HATA: ödeme türü geçersiz",IF(COUNTIFS(kOda,B51,kGiris,"&lt;="&amp;A51,kCikis,"&gt;="&amp;A51,kDurum,"&lt;&gt;İptal")=0,"HATA: bu odada o tarihte misafir yok","OK"))))))</f>
        <v/>
      </c>
      <c r="H51" s="25">
        <f>IF(AND(ISNUMBER(A51),A51=RaporTarihi),COUNTIFS($A$6:A51,RaporTarihi),"")</f>
        <v/>
      </c>
    </row>
    <row r="52">
      <c r="A52" s="23" t="n"/>
      <c r="B52" s="22" t="n"/>
      <c r="C52" s="22" t="n"/>
      <c r="D52" s="24" t="n"/>
      <c r="E52" s="22" t="n"/>
      <c r="F52" s="22" t="n"/>
      <c r="G52" s="25">
        <f>IF(COUNTA(A52:F52)=0,"",IF(OR(A52="",B52="",C52="",D52="",E52=""),"HATA: eksik bilgi",IF(OR(NOT(ISNUMBER(A52)),NOT(ISNUMBER(D52)),D52&lt;=0),"HATA: tarih/tutar geçersiz",IF(C52&lt;&gt;TRIM(C52),"HATA: isimde baştaki/sondaki boşluk",IF(COUNTIF(TurAralik,E52)=0,"HATA: ödeme türü geçersiz",IF(COUNTIFS(kOda,B52,kGiris,"&lt;="&amp;A52,kCikis,"&gt;="&amp;A52,kDurum,"&lt;&gt;İptal")=0,"HATA: bu odada o tarihte misafir yok","OK"))))))</f>
        <v/>
      </c>
      <c r="H52" s="25">
        <f>IF(AND(ISNUMBER(A52),A52=RaporTarihi),COUNTIFS($A$6:A52,RaporTarihi),"")</f>
        <v/>
      </c>
    </row>
    <row r="53">
      <c r="A53" s="23" t="n"/>
      <c r="B53" s="22" t="n"/>
      <c r="C53" s="22" t="n"/>
      <c r="D53" s="24" t="n"/>
      <c r="E53" s="22" t="n"/>
      <c r="F53" s="22" t="n"/>
      <c r="G53" s="25">
        <f>IF(COUNTA(A53:F53)=0,"",IF(OR(A53="",B53="",C53="",D53="",E53=""),"HATA: eksik bilgi",IF(OR(NOT(ISNUMBER(A53)),NOT(ISNUMBER(D53)),D53&lt;=0),"HATA: tarih/tutar geçersiz",IF(C53&lt;&gt;TRIM(C53),"HATA: isimde baştaki/sondaki boşluk",IF(COUNTIF(TurAralik,E53)=0,"HATA: ödeme türü geçersiz",IF(COUNTIFS(kOda,B53,kGiris,"&lt;="&amp;A53,kCikis,"&gt;="&amp;A53,kDurum,"&lt;&gt;İptal")=0,"HATA: bu odada o tarihte misafir yok","OK"))))))</f>
        <v/>
      </c>
      <c r="H53" s="25">
        <f>IF(AND(ISNUMBER(A53),A53=RaporTarihi),COUNTIFS($A$6:A53,RaporTarihi),"")</f>
        <v/>
      </c>
    </row>
    <row r="54">
      <c r="A54" s="23" t="n"/>
      <c r="B54" s="22" t="n"/>
      <c r="C54" s="22" t="n"/>
      <c r="D54" s="24" t="n"/>
      <c r="E54" s="22" t="n"/>
      <c r="F54" s="22" t="n"/>
      <c r="G54" s="25">
        <f>IF(COUNTA(A54:F54)=0,"",IF(OR(A54="",B54="",C54="",D54="",E54=""),"HATA: eksik bilgi",IF(OR(NOT(ISNUMBER(A54)),NOT(ISNUMBER(D54)),D54&lt;=0),"HATA: tarih/tutar geçersiz",IF(C54&lt;&gt;TRIM(C54),"HATA: isimde baştaki/sondaki boşluk",IF(COUNTIF(TurAralik,E54)=0,"HATA: ödeme türü geçersiz",IF(COUNTIFS(kOda,B54,kGiris,"&lt;="&amp;A54,kCikis,"&gt;="&amp;A54,kDurum,"&lt;&gt;İptal")=0,"HATA: bu odada o tarihte misafir yok","OK"))))))</f>
        <v/>
      </c>
      <c r="H54" s="25">
        <f>IF(AND(ISNUMBER(A54),A54=RaporTarihi),COUNTIFS($A$6:A54,RaporTarihi),"")</f>
        <v/>
      </c>
    </row>
    <row r="55">
      <c r="A55" s="23" t="n"/>
      <c r="B55" s="22" t="n"/>
      <c r="C55" s="22" t="n"/>
      <c r="D55" s="24" t="n"/>
      <c r="E55" s="22" t="n"/>
      <c r="F55" s="22" t="n"/>
      <c r="G55" s="25">
        <f>IF(COUNTA(A55:F55)=0,"",IF(OR(A55="",B55="",C55="",D55="",E55=""),"HATA: eksik bilgi",IF(OR(NOT(ISNUMBER(A55)),NOT(ISNUMBER(D55)),D55&lt;=0),"HATA: tarih/tutar geçersiz",IF(C55&lt;&gt;TRIM(C55),"HATA: isimde baştaki/sondaki boşluk",IF(COUNTIF(TurAralik,E55)=0,"HATA: ödeme türü geçersiz",IF(COUNTIFS(kOda,B55,kGiris,"&lt;="&amp;A55,kCikis,"&gt;="&amp;A55,kDurum,"&lt;&gt;İptal")=0,"HATA: bu odada o tarihte misafir yok","OK"))))))</f>
        <v/>
      </c>
      <c r="H55" s="25">
        <f>IF(AND(ISNUMBER(A55),A55=RaporTarihi),COUNTIFS($A$6:A55,RaporTarihi),"")</f>
        <v/>
      </c>
    </row>
    <row r="56">
      <c r="A56" s="23" t="n"/>
      <c r="B56" s="22" t="n"/>
      <c r="C56" s="22" t="n"/>
      <c r="D56" s="24" t="n"/>
      <c r="E56" s="22" t="n"/>
      <c r="F56" s="22" t="n"/>
      <c r="G56" s="25">
        <f>IF(COUNTA(A56:F56)=0,"",IF(OR(A56="",B56="",C56="",D56="",E56=""),"HATA: eksik bilgi",IF(OR(NOT(ISNUMBER(A56)),NOT(ISNUMBER(D56)),D56&lt;=0),"HATA: tarih/tutar geçersiz",IF(C56&lt;&gt;TRIM(C56),"HATA: isimde baştaki/sondaki boşluk",IF(COUNTIF(TurAralik,E56)=0,"HATA: ödeme türü geçersiz",IF(COUNTIFS(kOda,B56,kGiris,"&lt;="&amp;A56,kCikis,"&gt;="&amp;A56,kDurum,"&lt;&gt;İptal")=0,"HATA: bu odada o tarihte misafir yok","OK"))))))</f>
        <v/>
      </c>
      <c r="H56" s="25">
        <f>IF(AND(ISNUMBER(A56),A56=RaporTarihi),COUNTIFS($A$6:A56,RaporTarihi),"")</f>
        <v/>
      </c>
    </row>
    <row r="57">
      <c r="A57" s="23" t="n"/>
      <c r="B57" s="22" t="n"/>
      <c r="C57" s="22" t="n"/>
      <c r="D57" s="24" t="n"/>
      <c r="E57" s="22" t="n"/>
      <c r="F57" s="22" t="n"/>
      <c r="G57" s="25">
        <f>IF(COUNTA(A57:F57)=0,"",IF(OR(A57="",B57="",C57="",D57="",E57=""),"HATA: eksik bilgi",IF(OR(NOT(ISNUMBER(A57)),NOT(ISNUMBER(D57)),D57&lt;=0),"HATA: tarih/tutar geçersiz",IF(C57&lt;&gt;TRIM(C57),"HATA: isimde baştaki/sondaki boşluk",IF(COUNTIF(TurAralik,E57)=0,"HATA: ödeme türü geçersiz",IF(COUNTIFS(kOda,B57,kGiris,"&lt;="&amp;A57,kCikis,"&gt;="&amp;A57,kDurum,"&lt;&gt;İptal")=0,"HATA: bu odada o tarihte misafir yok","OK"))))))</f>
        <v/>
      </c>
      <c r="H57" s="25">
        <f>IF(AND(ISNUMBER(A57),A57=RaporTarihi),COUNTIFS($A$6:A57,RaporTarihi),"")</f>
        <v/>
      </c>
    </row>
    <row r="58">
      <c r="A58" s="23" t="n"/>
      <c r="B58" s="22" t="n"/>
      <c r="C58" s="22" t="n"/>
      <c r="D58" s="24" t="n"/>
      <c r="E58" s="22" t="n"/>
      <c r="F58" s="22" t="n"/>
      <c r="G58" s="25">
        <f>IF(COUNTA(A58:F58)=0,"",IF(OR(A58="",B58="",C58="",D58="",E58=""),"HATA: eksik bilgi",IF(OR(NOT(ISNUMBER(A58)),NOT(ISNUMBER(D58)),D58&lt;=0),"HATA: tarih/tutar geçersiz",IF(C58&lt;&gt;TRIM(C58),"HATA: isimde baştaki/sondaki boşluk",IF(COUNTIF(TurAralik,E58)=0,"HATA: ödeme türü geçersiz",IF(COUNTIFS(kOda,B58,kGiris,"&lt;="&amp;A58,kCikis,"&gt;="&amp;A58,kDurum,"&lt;&gt;İptal")=0,"HATA: bu odada o tarihte misafir yok","OK"))))))</f>
        <v/>
      </c>
      <c r="H58" s="25">
        <f>IF(AND(ISNUMBER(A58),A58=RaporTarihi),COUNTIFS($A$6:A58,RaporTarihi),"")</f>
        <v/>
      </c>
    </row>
    <row r="59">
      <c r="A59" s="23" t="n"/>
      <c r="B59" s="22" t="n"/>
      <c r="C59" s="22" t="n"/>
      <c r="D59" s="24" t="n"/>
      <c r="E59" s="22" t="n"/>
      <c r="F59" s="22" t="n"/>
      <c r="G59" s="25">
        <f>IF(COUNTA(A59:F59)=0,"",IF(OR(A59="",B59="",C59="",D59="",E59=""),"HATA: eksik bilgi",IF(OR(NOT(ISNUMBER(A59)),NOT(ISNUMBER(D59)),D59&lt;=0),"HATA: tarih/tutar geçersiz",IF(C59&lt;&gt;TRIM(C59),"HATA: isimde baştaki/sondaki boşluk",IF(COUNTIF(TurAralik,E59)=0,"HATA: ödeme türü geçersiz",IF(COUNTIFS(kOda,B59,kGiris,"&lt;="&amp;A59,kCikis,"&gt;="&amp;A59,kDurum,"&lt;&gt;İptal")=0,"HATA: bu odada o tarihte misafir yok","OK"))))))</f>
        <v/>
      </c>
      <c r="H59" s="25">
        <f>IF(AND(ISNUMBER(A59),A59=RaporTarihi),COUNTIFS($A$6:A59,RaporTarihi),"")</f>
        <v/>
      </c>
    </row>
    <row r="60">
      <c r="A60" s="23" t="n"/>
      <c r="B60" s="22" t="n"/>
      <c r="C60" s="22" t="n"/>
      <c r="D60" s="24" t="n"/>
      <c r="E60" s="22" t="n"/>
      <c r="F60" s="22" t="n"/>
      <c r="G60" s="25">
        <f>IF(COUNTA(A60:F60)=0,"",IF(OR(A60="",B60="",C60="",D60="",E60=""),"HATA: eksik bilgi",IF(OR(NOT(ISNUMBER(A60)),NOT(ISNUMBER(D60)),D60&lt;=0),"HATA: tarih/tutar geçersiz",IF(C60&lt;&gt;TRIM(C60),"HATA: isimde baştaki/sondaki boşluk",IF(COUNTIF(TurAralik,E60)=0,"HATA: ödeme türü geçersiz",IF(COUNTIFS(kOda,B60,kGiris,"&lt;="&amp;A60,kCikis,"&gt;="&amp;A60,kDurum,"&lt;&gt;İptal")=0,"HATA: bu odada o tarihte misafir yok","OK"))))))</f>
        <v/>
      </c>
      <c r="H60" s="25">
        <f>IF(AND(ISNUMBER(A60),A60=RaporTarihi),COUNTIFS($A$6:A60,RaporTarihi),"")</f>
        <v/>
      </c>
    </row>
    <row r="61">
      <c r="A61" s="23" t="n"/>
      <c r="B61" s="22" t="n"/>
      <c r="C61" s="22" t="n"/>
      <c r="D61" s="24" t="n"/>
      <c r="E61" s="22" t="n"/>
      <c r="F61" s="22" t="n"/>
      <c r="G61" s="25">
        <f>IF(COUNTA(A61:F61)=0,"",IF(OR(A61="",B61="",C61="",D61="",E61=""),"HATA: eksik bilgi",IF(OR(NOT(ISNUMBER(A61)),NOT(ISNUMBER(D61)),D61&lt;=0),"HATA: tarih/tutar geçersiz",IF(C61&lt;&gt;TRIM(C61),"HATA: isimde baştaki/sondaki boşluk",IF(COUNTIF(TurAralik,E61)=0,"HATA: ödeme türü geçersiz",IF(COUNTIFS(kOda,B61,kGiris,"&lt;="&amp;A61,kCikis,"&gt;="&amp;A61,kDurum,"&lt;&gt;İptal")=0,"HATA: bu odada o tarihte misafir yok","OK"))))))</f>
        <v/>
      </c>
      <c r="H61" s="25">
        <f>IF(AND(ISNUMBER(A61),A61=RaporTarihi),COUNTIFS($A$6:A61,RaporTarihi),"")</f>
        <v/>
      </c>
    </row>
    <row r="62">
      <c r="A62" s="23" t="n"/>
      <c r="B62" s="22" t="n"/>
      <c r="C62" s="22" t="n"/>
      <c r="D62" s="24" t="n"/>
      <c r="E62" s="22" t="n"/>
      <c r="F62" s="22" t="n"/>
      <c r="G62" s="25">
        <f>IF(COUNTA(A62:F62)=0,"",IF(OR(A62="",B62="",C62="",D62="",E62=""),"HATA: eksik bilgi",IF(OR(NOT(ISNUMBER(A62)),NOT(ISNUMBER(D62)),D62&lt;=0),"HATA: tarih/tutar geçersiz",IF(C62&lt;&gt;TRIM(C62),"HATA: isimde baştaki/sondaki boşluk",IF(COUNTIF(TurAralik,E62)=0,"HATA: ödeme türü geçersiz",IF(COUNTIFS(kOda,B62,kGiris,"&lt;="&amp;A62,kCikis,"&gt;="&amp;A62,kDurum,"&lt;&gt;İptal")=0,"HATA: bu odada o tarihte misafir yok","OK"))))))</f>
        <v/>
      </c>
      <c r="H62" s="25">
        <f>IF(AND(ISNUMBER(A62),A62=RaporTarihi),COUNTIFS($A$6:A62,RaporTarihi),"")</f>
        <v/>
      </c>
    </row>
    <row r="63">
      <c r="A63" s="23" t="n"/>
      <c r="B63" s="22" t="n"/>
      <c r="C63" s="22" t="n"/>
      <c r="D63" s="24" t="n"/>
      <c r="E63" s="22" t="n"/>
      <c r="F63" s="22" t="n"/>
      <c r="G63" s="25">
        <f>IF(COUNTA(A63:F63)=0,"",IF(OR(A63="",B63="",C63="",D63="",E63=""),"HATA: eksik bilgi",IF(OR(NOT(ISNUMBER(A63)),NOT(ISNUMBER(D63)),D63&lt;=0),"HATA: tarih/tutar geçersiz",IF(C63&lt;&gt;TRIM(C63),"HATA: isimde baştaki/sondaki boşluk",IF(COUNTIF(TurAralik,E63)=0,"HATA: ödeme türü geçersiz",IF(COUNTIFS(kOda,B63,kGiris,"&lt;="&amp;A63,kCikis,"&gt;="&amp;A63,kDurum,"&lt;&gt;İptal")=0,"HATA: bu odada o tarihte misafir yok","OK"))))))</f>
        <v/>
      </c>
      <c r="H63" s="25">
        <f>IF(AND(ISNUMBER(A63),A63=RaporTarihi),COUNTIFS($A$6:A63,RaporTarihi),"")</f>
        <v/>
      </c>
    </row>
    <row r="64">
      <c r="A64" s="23" t="n"/>
      <c r="B64" s="22" t="n"/>
      <c r="C64" s="22" t="n"/>
      <c r="D64" s="24" t="n"/>
      <c r="E64" s="22" t="n"/>
      <c r="F64" s="22" t="n"/>
      <c r="G64" s="25">
        <f>IF(COUNTA(A64:F64)=0,"",IF(OR(A64="",B64="",C64="",D64="",E64=""),"HATA: eksik bilgi",IF(OR(NOT(ISNUMBER(A64)),NOT(ISNUMBER(D64)),D64&lt;=0),"HATA: tarih/tutar geçersiz",IF(C64&lt;&gt;TRIM(C64),"HATA: isimde baştaki/sondaki boşluk",IF(COUNTIF(TurAralik,E64)=0,"HATA: ödeme türü geçersiz",IF(COUNTIFS(kOda,B64,kGiris,"&lt;="&amp;A64,kCikis,"&gt;="&amp;A64,kDurum,"&lt;&gt;İptal")=0,"HATA: bu odada o tarihte misafir yok","OK"))))))</f>
        <v/>
      </c>
      <c r="H64" s="25">
        <f>IF(AND(ISNUMBER(A64),A64=RaporTarihi),COUNTIFS($A$6:A64,RaporTarihi),"")</f>
        <v/>
      </c>
    </row>
    <row r="65">
      <c r="A65" s="23" t="n"/>
      <c r="B65" s="22" t="n"/>
      <c r="C65" s="22" t="n"/>
      <c r="D65" s="24" t="n"/>
      <c r="E65" s="22" t="n"/>
      <c r="F65" s="22" t="n"/>
      <c r="G65" s="25">
        <f>IF(COUNTA(A65:F65)=0,"",IF(OR(A65="",B65="",C65="",D65="",E65=""),"HATA: eksik bilgi",IF(OR(NOT(ISNUMBER(A65)),NOT(ISNUMBER(D65)),D65&lt;=0),"HATA: tarih/tutar geçersiz",IF(C65&lt;&gt;TRIM(C65),"HATA: isimde baştaki/sondaki boşluk",IF(COUNTIF(TurAralik,E65)=0,"HATA: ödeme türü geçersiz",IF(COUNTIFS(kOda,B65,kGiris,"&lt;="&amp;A65,kCikis,"&gt;="&amp;A65,kDurum,"&lt;&gt;İptal")=0,"HATA: bu odada o tarihte misafir yok","OK"))))))</f>
        <v/>
      </c>
      <c r="H65" s="25">
        <f>IF(AND(ISNUMBER(A65),A65=RaporTarihi),COUNTIFS($A$6:A65,RaporTarihi),"")</f>
        <v/>
      </c>
    </row>
    <row r="66">
      <c r="A66" s="23" t="n"/>
      <c r="B66" s="22" t="n"/>
      <c r="C66" s="22" t="n"/>
      <c r="D66" s="24" t="n"/>
      <c r="E66" s="22" t="n"/>
      <c r="F66" s="22" t="n"/>
      <c r="G66" s="25">
        <f>IF(COUNTA(A66:F66)=0,"",IF(OR(A66="",B66="",C66="",D66="",E66=""),"HATA: eksik bilgi",IF(OR(NOT(ISNUMBER(A66)),NOT(ISNUMBER(D66)),D66&lt;=0),"HATA: tarih/tutar geçersiz",IF(C66&lt;&gt;TRIM(C66),"HATA: isimde baştaki/sondaki boşluk",IF(COUNTIF(TurAralik,E66)=0,"HATA: ödeme türü geçersiz",IF(COUNTIFS(kOda,B66,kGiris,"&lt;="&amp;A66,kCikis,"&gt;="&amp;A66,kDurum,"&lt;&gt;İptal")=0,"HATA: bu odada o tarihte misafir yok","OK"))))))</f>
        <v/>
      </c>
      <c r="H66" s="25">
        <f>IF(AND(ISNUMBER(A66),A66=RaporTarihi),COUNTIFS($A$6:A66,RaporTarihi),"")</f>
        <v/>
      </c>
    </row>
    <row r="67">
      <c r="A67" s="23" t="n"/>
      <c r="B67" s="22" t="n"/>
      <c r="C67" s="22" t="n"/>
      <c r="D67" s="24" t="n"/>
      <c r="E67" s="22" t="n"/>
      <c r="F67" s="22" t="n"/>
      <c r="G67" s="25">
        <f>IF(COUNTA(A67:F67)=0,"",IF(OR(A67="",B67="",C67="",D67="",E67=""),"HATA: eksik bilgi",IF(OR(NOT(ISNUMBER(A67)),NOT(ISNUMBER(D67)),D67&lt;=0),"HATA: tarih/tutar geçersiz",IF(C67&lt;&gt;TRIM(C67),"HATA: isimde baştaki/sondaki boşluk",IF(COUNTIF(TurAralik,E67)=0,"HATA: ödeme türü geçersiz",IF(COUNTIFS(kOda,B67,kGiris,"&lt;="&amp;A67,kCikis,"&gt;="&amp;A67,kDurum,"&lt;&gt;İptal")=0,"HATA: bu odada o tarihte misafir yok","OK"))))))</f>
        <v/>
      </c>
      <c r="H67" s="25">
        <f>IF(AND(ISNUMBER(A67),A67=RaporTarihi),COUNTIFS($A$6:A67,RaporTarihi),"")</f>
        <v/>
      </c>
    </row>
    <row r="68">
      <c r="A68" s="23" t="n"/>
      <c r="B68" s="22" t="n"/>
      <c r="C68" s="22" t="n"/>
      <c r="D68" s="24" t="n"/>
      <c r="E68" s="22" t="n"/>
      <c r="F68" s="22" t="n"/>
      <c r="G68" s="25">
        <f>IF(COUNTA(A68:F68)=0,"",IF(OR(A68="",B68="",C68="",D68="",E68=""),"HATA: eksik bilgi",IF(OR(NOT(ISNUMBER(A68)),NOT(ISNUMBER(D68)),D68&lt;=0),"HATA: tarih/tutar geçersiz",IF(C68&lt;&gt;TRIM(C68),"HATA: isimde baştaki/sondaki boşluk",IF(COUNTIF(TurAralik,E68)=0,"HATA: ödeme türü geçersiz",IF(COUNTIFS(kOda,B68,kGiris,"&lt;="&amp;A68,kCikis,"&gt;="&amp;A68,kDurum,"&lt;&gt;İptal")=0,"HATA: bu odada o tarihte misafir yok","OK"))))))</f>
        <v/>
      </c>
      <c r="H68" s="25">
        <f>IF(AND(ISNUMBER(A68),A68=RaporTarihi),COUNTIFS($A$6:A68,RaporTarihi),"")</f>
        <v/>
      </c>
    </row>
    <row r="69">
      <c r="A69" s="23" t="n"/>
      <c r="B69" s="22" t="n"/>
      <c r="C69" s="22" t="n"/>
      <c r="D69" s="24" t="n"/>
      <c r="E69" s="22" t="n"/>
      <c r="F69" s="22" t="n"/>
      <c r="G69" s="25">
        <f>IF(COUNTA(A69:F69)=0,"",IF(OR(A69="",B69="",C69="",D69="",E69=""),"HATA: eksik bilgi",IF(OR(NOT(ISNUMBER(A69)),NOT(ISNUMBER(D69)),D69&lt;=0),"HATA: tarih/tutar geçersiz",IF(C69&lt;&gt;TRIM(C69),"HATA: isimde baştaki/sondaki boşluk",IF(COUNTIF(TurAralik,E69)=0,"HATA: ödeme türü geçersiz",IF(COUNTIFS(kOda,B69,kGiris,"&lt;="&amp;A69,kCikis,"&gt;="&amp;A69,kDurum,"&lt;&gt;İptal")=0,"HATA: bu odada o tarihte misafir yok","OK"))))))</f>
        <v/>
      </c>
      <c r="H69" s="25">
        <f>IF(AND(ISNUMBER(A69),A69=RaporTarihi),COUNTIFS($A$6:A69,RaporTarihi),"")</f>
        <v/>
      </c>
    </row>
    <row r="70">
      <c r="A70" s="23" t="n"/>
      <c r="B70" s="22" t="n"/>
      <c r="C70" s="22" t="n"/>
      <c r="D70" s="24" t="n"/>
      <c r="E70" s="22" t="n"/>
      <c r="F70" s="22" t="n"/>
      <c r="G70" s="25">
        <f>IF(COUNTA(A70:F70)=0,"",IF(OR(A70="",B70="",C70="",D70="",E70=""),"HATA: eksik bilgi",IF(OR(NOT(ISNUMBER(A70)),NOT(ISNUMBER(D70)),D70&lt;=0),"HATA: tarih/tutar geçersiz",IF(C70&lt;&gt;TRIM(C70),"HATA: isimde baştaki/sondaki boşluk",IF(COUNTIF(TurAralik,E70)=0,"HATA: ödeme türü geçersiz",IF(COUNTIFS(kOda,B70,kGiris,"&lt;="&amp;A70,kCikis,"&gt;="&amp;A70,kDurum,"&lt;&gt;İptal")=0,"HATA: bu odada o tarihte misafir yok","OK"))))))</f>
        <v/>
      </c>
      <c r="H70" s="25">
        <f>IF(AND(ISNUMBER(A70),A70=RaporTarihi),COUNTIFS($A$6:A70,RaporTarihi),"")</f>
        <v/>
      </c>
    </row>
    <row r="71">
      <c r="A71" s="23" t="n"/>
      <c r="B71" s="22" t="n"/>
      <c r="C71" s="22" t="n"/>
      <c r="D71" s="24" t="n"/>
      <c r="E71" s="22" t="n"/>
      <c r="F71" s="22" t="n"/>
      <c r="G71" s="25">
        <f>IF(COUNTA(A71:F71)=0,"",IF(OR(A71="",B71="",C71="",D71="",E71=""),"HATA: eksik bilgi",IF(OR(NOT(ISNUMBER(A71)),NOT(ISNUMBER(D71)),D71&lt;=0),"HATA: tarih/tutar geçersiz",IF(C71&lt;&gt;TRIM(C71),"HATA: isimde baştaki/sondaki boşluk",IF(COUNTIF(TurAralik,E71)=0,"HATA: ödeme türü geçersiz",IF(COUNTIFS(kOda,B71,kGiris,"&lt;="&amp;A71,kCikis,"&gt;="&amp;A71,kDurum,"&lt;&gt;İptal")=0,"HATA: bu odada o tarihte misafir yok","OK"))))))</f>
        <v/>
      </c>
      <c r="H71" s="25">
        <f>IF(AND(ISNUMBER(A71),A71=RaporTarihi),COUNTIFS($A$6:A71,RaporTarihi),"")</f>
        <v/>
      </c>
    </row>
    <row r="72">
      <c r="A72" s="23" t="n"/>
      <c r="B72" s="22" t="n"/>
      <c r="C72" s="22" t="n"/>
      <c r="D72" s="24" t="n"/>
      <c r="E72" s="22" t="n"/>
      <c r="F72" s="22" t="n"/>
      <c r="G72" s="25">
        <f>IF(COUNTA(A72:F72)=0,"",IF(OR(A72="",B72="",C72="",D72="",E72=""),"HATA: eksik bilgi",IF(OR(NOT(ISNUMBER(A72)),NOT(ISNUMBER(D72)),D72&lt;=0),"HATA: tarih/tutar geçersiz",IF(C72&lt;&gt;TRIM(C72),"HATA: isimde baştaki/sondaki boşluk",IF(COUNTIF(TurAralik,E72)=0,"HATA: ödeme türü geçersiz",IF(COUNTIFS(kOda,B72,kGiris,"&lt;="&amp;A72,kCikis,"&gt;="&amp;A72,kDurum,"&lt;&gt;İptal")=0,"HATA: bu odada o tarihte misafir yok","OK"))))))</f>
        <v/>
      </c>
      <c r="H72" s="25">
        <f>IF(AND(ISNUMBER(A72),A72=RaporTarihi),COUNTIFS($A$6:A72,RaporTarihi),"")</f>
        <v/>
      </c>
    </row>
    <row r="73">
      <c r="A73" s="23" t="n"/>
      <c r="B73" s="22" t="n"/>
      <c r="C73" s="22" t="n"/>
      <c r="D73" s="24" t="n"/>
      <c r="E73" s="22" t="n"/>
      <c r="F73" s="22" t="n"/>
      <c r="G73" s="25">
        <f>IF(COUNTA(A73:F73)=0,"",IF(OR(A73="",B73="",C73="",D73="",E73=""),"HATA: eksik bilgi",IF(OR(NOT(ISNUMBER(A73)),NOT(ISNUMBER(D73)),D73&lt;=0),"HATA: tarih/tutar geçersiz",IF(C73&lt;&gt;TRIM(C73),"HATA: isimde baştaki/sondaki boşluk",IF(COUNTIF(TurAralik,E73)=0,"HATA: ödeme türü geçersiz",IF(COUNTIFS(kOda,B73,kGiris,"&lt;="&amp;A73,kCikis,"&gt;="&amp;A73,kDurum,"&lt;&gt;İptal")=0,"HATA: bu odada o tarihte misafir yok","OK"))))))</f>
        <v/>
      </c>
      <c r="H73" s="25">
        <f>IF(AND(ISNUMBER(A73),A73=RaporTarihi),COUNTIFS($A$6:A73,RaporTarihi),"")</f>
        <v/>
      </c>
    </row>
    <row r="74">
      <c r="A74" s="23" t="n"/>
      <c r="B74" s="22" t="n"/>
      <c r="C74" s="22" t="n"/>
      <c r="D74" s="24" t="n"/>
      <c r="E74" s="22" t="n"/>
      <c r="F74" s="22" t="n"/>
      <c r="G74" s="25">
        <f>IF(COUNTA(A74:F74)=0,"",IF(OR(A74="",B74="",C74="",D74="",E74=""),"HATA: eksik bilgi",IF(OR(NOT(ISNUMBER(A74)),NOT(ISNUMBER(D74)),D74&lt;=0),"HATA: tarih/tutar geçersiz",IF(C74&lt;&gt;TRIM(C74),"HATA: isimde baştaki/sondaki boşluk",IF(COUNTIF(TurAralik,E74)=0,"HATA: ödeme türü geçersiz",IF(COUNTIFS(kOda,B74,kGiris,"&lt;="&amp;A74,kCikis,"&gt;="&amp;A74,kDurum,"&lt;&gt;İptal")=0,"HATA: bu odada o tarihte misafir yok","OK"))))))</f>
        <v/>
      </c>
      <c r="H74" s="25">
        <f>IF(AND(ISNUMBER(A74),A74=RaporTarihi),COUNTIFS($A$6:A74,RaporTarihi),"")</f>
        <v/>
      </c>
    </row>
    <row r="75">
      <c r="A75" s="23" t="n"/>
      <c r="B75" s="22" t="n"/>
      <c r="C75" s="22" t="n"/>
      <c r="D75" s="24" t="n"/>
      <c r="E75" s="22" t="n"/>
      <c r="F75" s="22" t="n"/>
      <c r="G75" s="25">
        <f>IF(COUNTA(A75:F75)=0,"",IF(OR(A75="",B75="",C75="",D75="",E75=""),"HATA: eksik bilgi",IF(OR(NOT(ISNUMBER(A75)),NOT(ISNUMBER(D75)),D75&lt;=0),"HATA: tarih/tutar geçersiz",IF(C75&lt;&gt;TRIM(C75),"HATA: isimde baştaki/sondaki boşluk",IF(COUNTIF(TurAralik,E75)=0,"HATA: ödeme türü geçersiz",IF(COUNTIFS(kOda,B75,kGiris,"&lt;="&amp;A75,kCikis,"&gt;="&amp;A75,kDurum,"&lt;&gt;İptal")=0,"HATA: bu odada o tarihte misafir yok","OK"))))))</f>
        <v/>
      </c>
      <c r="H75" s="25">
        <f>IF(AND(ISNUMBER(A75),A75=RaporTarihi),COUNTIFS($A$6:A75,RaporTarihi),"")</f>
        <v/>
      </c>
    </row>
    <row r="76">
      <c r="A76" s="23" t="n"/>
      <c r="B76" s="22" t="n"/>
      <c r="C76" s="22" t="n"/>
      <c r="D76" s="24" t="n"/>
      <c r="E76" s="22" t="n"/>
      <c r="F76" s="22" t="n"/>
      <c r="G76" s="25">
        <f>IF(COUNTA(A76:F76)=0,"",IF(OR(A76="",B76="",C76="",D76="",E76=""),"HATA: eksik bilgi",IF(OR(NOT(ISNUMBER(A76)),NOT(ISNUMBER(D76)),D76&lt;=0),"HATA: tarih/tutar geçersiz",IF(C76&lt;&gt;TRIM(C76),"HATA: isimde baştaki/sondaki boşluk",IF(COUNTIF(TurAralik,E76)=0,"HATA: ödeme türü geçersiz",IF(COUNTIFS(kOda,B76,kGiris,"&lt;="&amp;A76,kCikis,"&gt;="&amp;A76,kDurum,"&lt;&gt;İptal")=0,"HATA: bu odada o tarihte misafir yok","OK"))))))</f>
        <v/>
      </c>
      <c r="H76" s="25">
        <f>IF(AND(ISNUMBER(A76),A76=RaporTarihi),COUNTIFS($A$6:A76,RaporTarihi),"")</f>
        <v/>
      </c>
    </row>
    <row r="77">
      <c r="A77" s="23" t="n"/>
      <c r="B77" s="22" t="n"/>
      <c r="C77" s="22" t="n"/>
      <c r="D77" s="24" t="n"/>
      <c r="E77" s="22" t="n"/>
      <c r="F77" s="22" t="n"/>
      <c r="G77" s="25">
        <f>IF(COUNTA(A77:F77)=0,"",IF(OR(A77="",B77="",C77="",D77="",E77=""),"HATA: eksik bilgi",IF(OR(NOT(ISNUMBER(A77)),NOT(ISNUMBER(D77)),D77&lt;=0),"HATA: tarih/tutar geçersiz",IF(C77&lt;&gt;TRIM(C77),"HATA: isimde baştaki/sondaki boşluk",IF(COUNTIF(TurAralik,E77)=0,"HATA: ödeme türü geçersiz",IF(COUNTIFS(kOda,B77,kGiris,"&lt;="&amp;A77,kCikis,"&gt;="&amp;A77,kDurum,"&lt;&gt;İptal")=0,"HATA: bu odada o tarihte misafir yok","OK"))))))</f>
        <v/>
      </c>
      <c r="H77" s="25">
        <f>IF(AND(ISNUMBER(A77),A77=RaporTarihi),COUNTIFS($A$6:A77,RaporTarihi),"")</f>
        <v/>
      </c>
    </row>
    <row r="78">
      <c r="A78" s="23" t="n"/>
      <c r="B78" s="22" t="n"/>
      <c r="C78" s="22" t="n"/>
      <c r="D78" s="24" t="n"/>
      <c r="E78" s="22" t="n"/>
      <c r="F78" s="22" t="n"/>
      <c r="G78" s="25">
        <f>IF(COUNTA(A78:F78)=0,"",IF(OR(A78="",B78="",C78="",D78="",E78=""),"HATA: eksik bilgi",IF(OR(NOT(ISNUMBER(A78)),NOT(ISNUMBER(D78)),D78&lt;=0),"HATA: tarih/tutar geçersiz",IF(C78&lt;&gt;TRIM(C78),"HATA: isimde baştaki/sondaki boşluk",IF(COUNTIF(TurAralik,E78)=0,"HATA: ödeme türü geçersiz",IF(COUNTIFS(kOda,B78,kGiris,"&lt;="&amp;A78,kCikis,"&gt;="&amp;A78,kDurum,"&lt;&gt;İptal")=0,"HATA: bu odada o tarihte misafir yok","OK"))))))</f>
        <v/>
      </c>
      <c r="H78" s="25">
        <f>IF(AND(ISNUMBER(A78),A78=RaporTarihi),COUNTIFS($A$6:A78,RaporTarihi),"")</f>
        <v/>
      </c>
    </row>
    <row r="79">
      <c r="A79" s="23" t="n"/>
      <c r="B79" s="22" t="n"/>
      <c r="C79" s="22" t="n"/>
      <c r="D79" s="24" t="n"/>
      <c r="E79" s="22" t="n"/>
      <c r="F79" s="22" t="n"/>
      <c r="G79" s="25">
        <f>IF(COUNTA(A79:F79)=0,"",IF(OR(A79="",B79="",C79="",D79="",E79=""),"HATA: eksik bilgi",IF(OR(NOT(ISNUMBER(A79)),NOT(ISNUMBER(D79)),D79&lt;=0),"HATA: tarih/tutar geçersiz",IF(C79&lt;&gt;TRIM(C79),"HATA: isimde baştaki/sondaki boşluk",IF(COUNTIF(TurAralik,E79)=0,"HATA: ödeme türü geçersiz",IF(COUNTIFS(kOda,B79,kGiris,"&lt;="&amp;A79,kCikis,"&gt;="&amp;A79,kDurum,"&lt;&gt;İptal")=0,"HATA: bu odada o tarihte misafir yok","OK"))))))</f>
        <v/>
      </c>
      <c r="H79" s="25">
        <f>IF(AND(ISNUMBER(A79),A79=RaporTarihi),COUNTIFS($A$6:A79,RaporTarihi),"")</f>
        <v/>
      </c>
    </row>
    <row r="80">
      <c r="A80" s="23" t="n"/>
      <c r="B80" s="22" t="n"/>
      <c r="C80" s="22" t="n"/>
      <c r="D80" s="24" t="n"/>
      <c r="E80" s="22" t="n"/>
      <c r="F80" s="22" t="n"/>
      <c r="G80" s="25">
        <f>IF(COUNTA(A80:F80)=0,"",IF(OR(A80="",B80="",C80="",D80="",E80=""),"HATA: eksik bilgi",IF(OR(NOT(ISNUMBER(A80)),NOT(ISNUMBER(D80)),D80&lt;=0),"HATA: tarih/tutar geçersiz",IF(C80&lt;&gt;TRIM(C80),"HATA: isimde baştaki/sondaki boşluk",IF(COUNTIF(TurAralik,E80)=0,"HATA: ödeme türü geçersiz",IF(COUNTIFS(kOda,B80,kGiris,"&lt;="&amp;A80,kCikis,"&gt;="&amp;A80,kDurum,"&lt;&gt;İptal")=0,"HATA: bu odada o tarihte misafir yok","OK"))))))</f>
        <v/>
      </c>
      <c r="H80" s="25">
        <f>IF(AND(ISNUMBER(A80),A80=RaporTarihi),COUNTIFS($A$6:A80,RaporTarihi),"")</f>
        <v/>
      </c>
    </row>
    <row r="81">
      <c r="A81" s="23" t="n"/>
      <c r="B81" s="22" t="n"/>
      <c r="C81" s="22" t="n"/>
      <c r="D81" s="24" t="n"/>
      <c r="E81" s="22" t="n"/>
      <c r="F81" s="22" t="n"/>
      <c r="G81" s="25">
        <f>IF(COUNTA(A81:F81)=0,"",IF(OR(A81="",B81="",C81="",D81="",E81=""),"HATA: eksik bilgi",IF(OR(NOT(ISNUMBER(A81)),NOT(ISNUMBER(D81)),D81&lt;=0),"HATA: tarih/tutar geçersiz",IF(C81&lt;&gt;TRIM(C81),"HATA: isimde baştaki/sondaki boşluk",IF(COUNTIF(TurAralik,E81)=0,"HATA: ödeme türü geçersiz",IF(COUNTIFS(kOda,B81,kGiris,"&lt;="&amp;A81,kCikis,"&gt;="&amp;A81,kDurum,"&lt;&gt;İptal")=0,"HATA: bu odada o tarihte misafir yok","OK"))))))</f>
        <v/>
      </c>
      <c r="H81" s="25">
        <f>IF(AND(ISNUMBER(A81),A81=RaporTarihi),COUNTIFS($A$6:A81,RaporTarihi),"")</f>
        <v/>
      </c>
    </row>
    <row r="82">
      <c r="A82" s="23" t="n"/>
      <c r="B82" s="22" t="n"/>
      <c r="C82" s="22" t="n"/>
      <c r="D82" s="24" t="n"/>
      <c r="E82" s="22" t="n"/>
      <c r="F82" s="22" t="n"/>
      <c r="G82" s="25">
        <f>IF(COUNTA(A82:F82)=0,"",IF(OR(A82="",B82="",C82="",D82="",E82=""),"HATA: eksik bilgi",IF(OR(NOT(ISNUMBER(A82)),NOT(ISNUMBER(D82)),D82&lt;=0),"HATA: tarih/tutar geçersiz",IF(C82&lt;&gt;TRIM(C82),"HATA: isimde baştaki/sondaki boşluk",IF(COUNTIF(TurAralik,E82)=0,"HATA: ödeme türü geçersiz",IF(COUNTIFS(kOda,B82,kGiris,"&lt;="&amp;A82,kCikis,"&gt;="&amp;A82,kDurum,"&lt;&gt;İptal")=0,"HATA: bu odada o tarihte misafir yok","OK"))))))</f>
        <v/>
      </c>
      <c r="H82" s="25">
        <f>IF(AND(ISNUMBER(A82),A82=RaporTarihi),COUNTIFS($A$6:A82,RaporTarihi),"")</f>
        <v/>
      </c>
    </row>
    <row r="83">
      <c r="A83" s="23" t="n"/>
      <c r="B83" s="22" t="n"/>
      <c r="C83" s="22" t="n"/>
      <c r="D83" s="24" t="n"/>
      <c r="E83" s="22" t="n"/>
      <c r="F83" s="22" t="n"/>
      <c r="G83" s="25">
        <f>IF(COUNTA(A83:F83)=0,"",IF(OR(A83="",B83="",C83="",D83="",E83=""),"HATA: eksik bilgi",IF(OR(NOT(ISNUMBER(A83)),NOT(ISNUMBER(D83)),D83&lt;=0),"HATA: tarih/tutar geçersiz",IF(C83&lt;&gt;TRIM(C83),"HATA: isimde baştaki/sondaki boşluk",IF(COUNTIF(TurAralik,E83)=0,"HATA: ödeme türü geçersiz",IF(COUNTIFS(kOda,B83,kGiris,"&lt;="&amp;A83,kCikis,"&gt;="&amp;A83,kDurum,"&lt;&gt;İptal")=0,"HATA: bu odada o tarihte misafir yok","OK"))))))</f>
        <v/>
      </c>
      <c r="H83" s="25">
        <f>IF(AND(ISNUMBER(A83),A83=RaporTarihi),COUNTIFS($A$6:A83,RaporTarihi),"")</f>
        <v/>
      </c>
    </row>
    <row r="84">
      <c r="A84" s="23" t="n"/>
      <c r="B84" s="22" t="n"/>
      <c r="C84" s="22" t="n"/>
      <c r="D84" s="24" t="n"/>
      <c r="E84" s="22" t="n"/>
      <c r="F84" s="22" t="n"/>
      <c r="G84" s="25">
        <f>IF(COUNTA(A84:F84)=0,"",IF(OR(A84="",B84="",C84="",D84="",E84=""),"HATA: eksik bilgi",IF(OR(NOT(ISNUMBER(A84)),NOT(ISNUMBER(D84)),D84&lt;=0),"HATA: tarih/tutar geçersiz",IF(C84&lt;&gt;TRIM(C84),"HATA: isimde baştaki/sondaki boşluk",IF(COUNTIF(TurAralik,E84)=0,"HATA: ödeme türü geçersiz",IF(COUNTIFS(kOda,B84,kGiris,"&lt;="&amp;A84,kCikis,"&gt;="&amp;A84,kDurum,"&lt;&gt;İptal")=0,"HATA: bu odada o tarihte misafir yok","OK"))))))</f>
        <v/>
      </c>
      <c r="H84" s="25">
        <f>IF(AND(ISNUMBER(A84),A84=RaporTarihi),COUNTIFS($A$6:A84,RaporTarihi),"")</f>
        <v/>
      </c>
    </row>
    <row r="85">
      <c r="A85" s="23" t="n"/>
      <c r="B85" s="22" t="n"/>
      <c r="C85" s="22" t="n"/>
      <c r="D85" s="24" t="n"/>
      <c r="E85" s="22" t="n"/>
      <c r="F85" s="22" t="n"/>
      <c r="G85" s="25">
        <f>IF(COUNTA(A85:F85)=0,"",IF(OR(A85="",B85="",C85="",D85="",E85=""),"HATA: eksik bilgi",IF(OR(NOT(ISNUMBER(A85)),NOT(ISNUMBER(D85)),D85&lt;=0),"HATA: tarih/tutar geçersiz",IF(C85&lt;&gt;TRIM(C85),"HATA: isimde baştaki/sondaki boşluk",IF(COUNTIF(TurAralik,E85)=0,"HATA: ödeme türü geçersiz",IF(COUNTIFS(kOda,B85,kGiris,"&lt;="&amp;A85,kCikis,"&gt;="&amp;A85,kDurum,"&lt;&gt;İptal")=0,"HATA: bu odada o tarihte misafir yok","OK"))))))</f>
        <v/>
      </c>
      <c r="H85" s="25">
        <f>IF(AND(ISNUMBER(A85),A85=RaporTarihi),COUNTIFS($A$6:A85,RaporTarihi),"")</f>
        <v/>
      </c>
    </row>
    <row r="86">
      <c r="A86" s="23" t="n"/>
      <c r="B86" s="22" t="n"/>
      <c r="C86" s="22" t="n"/>
      <c r="D86" s="24" t="n"/>
      <c r="E86" s="22" t="n"/>
      <c r="F86" s="22" t="n"/>
      <c r="G86" s="25">
        <f>IF(COUNTA(A86:F86)=0,"",IF(OR(A86="",B86="",C86="",D86="",E86=""),"HATA: eksik bilgi",IF(OR(NOT(ISNUMBER(A86)),NOT(ISNUMBER(D86)),D86&lt;=0),"HATA: tarih/tutar geçersiz",IF(C86&lt;&gt;TRIM(C86),"HATA: isimde baştaki/sondaki boşluk",IF(COUNTIF(TurAralik,E86)=0,"HATA: ödeme türü geçersiz",IF(COUNTIFS(kOda,B86,kGiris,"&lt;="&amp;A86,kCikis,"&gt;="&amp;A86,kDurum,"&lt;&gt;İptal")=0,"HATA: bu odada o tarihte misafir yok","OK"))))))</f>
        <v/>
      </c>
      <c r="H86" s="25">
        <f>IF(AND(ISNUMBER(A86),A86=RaporTarihi),COUNTIFS($A$6:A86,RaporTarihi),"")</f>
        <v/>
      </c>
    </row>
    <row r="87">
      <c r="A87" s="23" t="n"/>
      <c r="B87" s="22" t="n"/>
      <c r="C87" s="22" t="n"/>
      <c r="D87" s="24" t="n"/>
      <c r="E87" s="22" t="n"/>
      <c r="F87" s="22" t="n"/>
      <c r="G87" s="25">
        <f>IF(COUNTA(A87:F87)=0,"",IF(OR(A87="",B87="",C87="",D87="",E87=""),"HATA: eksik bilgi",IF(OR(NOT(ISNUMBER(A87)),NOT(ISNUMBER(D87)),D87&lt;=0),"HATA: tarih/tutar geçersiz",IF(C87&lt;&gt;TRIM(C87),"HATA: isimde baştaki/sondaki boşluk",IF(COUNTIF(TurAralik,E87)=0,"HATA: ödeme türü geçersiz",IF(COUNTIFS(kOda,B87,kGiris,"&lt;="&amp;A87,kCikis,"&gt;="&amp;A87,kDurum,"&lt;&gt;İptal")=0,"HATA: bu odada o tarihte misafir yok","OK"))))))</f>
        <v/>
      </c>
      <c r="H87" s="25">
        <f>IF(AND(ISNUMBER(A87),A87=RaporTarihi),COUNTIFS($A$6:A87,RaporTarihi),"")</f>
        <v/>
      </c>
    </row>
    <row r="88">
      <c r="A88" s="23" t="n"/>
      <c r="B88" s="22" t="n"/>
      <c r="C88" s="22" t="n"/>
      <c r="D88" s="24" t="n"/>
      <c r="E88" s="22" t="n"/>
      <c r="F88" s="22" t="n"/>
      <c r="G88" s="25">
        <f>IF(COUNTA(A88:F88)=0,"",IF(OR(A88="",B88="",C88="",D88="",E88=""),"HATA: eksik bilgi",IF(OR(NOT(ISNUMBER(A88)),NOT(ISNUMBER(D88)),D88&lt;=0),"HATA: tarih/tutar geçersiz",IF(C88&lt;&gt;TRIM(C88),"HATA: isimde baştaki/sondaki boşluk",IF(COUNTIF(TurAralik,E88)=0,"HATA: ödeme türü geçersiz",IF(COUNTIFS(kOda,B88,kGiris,"&lt;="&amp;A88,kCikis,"&gt;="&amp;A88,kDurum,"&lt;&gt;İptal")=0,"HATA: bu odada o tarihte misafir yok","OK"))))))</f>
        <v/>
      </c>
      <c r="H88" s="25">
        <f>IF(AND(ISNUMBER(A88),A88=RaporTarihi),COUNTIFS($A$6:A88,RaporTarihi),"")</f>
        <v/>
      </c>
    </row>
    <row r="89">
      <c r="A89" s="23" t="n"/>
      <c r="B89" s="22" t="n"/>
      <c r="C89" s="22" t="n"/>
      <c r="D89" s="24" t="n"/>
      <c r="E89" s="22" t="n"/>
      <c r="F89" s="22" t="n"/>
      <c r="G89" s="25">
        <f>IF(COUNTA(A89:F89)=0,"",IF(OR(A89="",B89="",C89="",D89="",E89=""),"HATA: eksik bilgi",IF(OR(NOT(ISNUMBER(A89)),NOT(ISNUMBER(D89)),D89&lt;=0),"HATA: tarih/tutar geçersiz",IF(C89&lt;&gt;TRIM(C89),"HATA: isimde baştaki/sondaki boşluk",IF(COUNTIF(TurAralik,E89)=0,"HATA: ödeme türü geçersiz",IF(COUNTIFS(kOda,B89,kGiris,"&lt;="&amp;A89,kCikis,"&gt;="&amp;A89,kDurum,"&lt;&gt;İptal")=0,"HATA: bu odada o tarihte misafir yok","OK"))))))</f>
        <v/>
      </c>
      <c r="H89" s="25">
        <f>IF(AND(ISNUMBER(A89),A89=RaporTarihi),COUNTIFS($A$6:A89,RaporTarihi),"")</f>
        <v/>
      </c>
    </row>
    <row r="90">
      <c r="A90" s="23" t="n"/>
      <c r="B90" s="22" t="n"/>
      <c r="C90" s="22" t="n"/>
      <c r="D90" s="24" t="n"/>
      <c r="E90" s="22" t="n"/>
      <c r="F90" s="22" t="n"/>
      <c r="G90" s="25">
        <f>IF(COUNTA(A90:F90)=0,"",IF(OR(A90="",B90="",C90="",D90="",E90=""),"HATA: eksik bilgi",IF(OR(NOT(ISNUMBER(A90)),NOT(ISNUMBER(D90)),D90&lt;=0),"HATA: tarih/tutar geçersiz",IF(C90&lt;&gt;TRIM(C90),"HATA: isimde baştaki/sondaki boşluk",IF(COUNTIF(TurAralik,E90)=0,"HATA: ödeme türü geçersiz",IF(COUNTIFS(kOda,B90,kGiris,"&lt;="&amp;A90,kCikis,"&gt;="&amp;A90,kDurum,"&lt;&gt;İptal")=0,"HATA: bu odada o tarihte misafir yok","OK"))))))</f>
        <v/>
      </c>
      <c r="H90" s="25">
        <f>IF(AND(ISNUMBER(A90),A90=RaporTarihi),COUNTIFS($A$6:A90,RaporTarihi),"")</f>
        <v/>
      </c>
    </row>
    <row r="91">
      <c r="A91" s="23" t="n"/>
      <c r="B91" s="22" t="n"/>
      <c r="C91" s="22" t="n"/>
      <c r="D91" s="24" t="n"/>
      <c r="E91" s="22" t="n"/>
      <c r="F91" s="22" t="n"/>
      <c r="G91" s="25">
        <f>IF(COUNTA(A91:F91)=0,"",IF(OR(A91="",B91="",C91="",D91="",E91=""),"HATA: eksik bilgi",IF(OR(NOT(ISNUMBER(A91)),NOT(ISNUMBER(D91)),D91&lt;=0),"HATA: tarih/tutar geçersiz",IF(C91&lt;&gt;TRIM(C91),"HATA: isimde baştaki/sondaki boşluk",IF(COUNTIF(TurAralik,E91)=0,"HATA: ödeme türü geçersiz",IF(COUNTIFS(kOda,B91,kGiris,"&lt;="&amp;A91,kCikis,"&gt;="&amp;A91,kDurum,"&lt;&gt;İptal")=0,"HATA: bu odada o tarihte misafir yok","OK"))))))</f>
        <v/>
      </c>
      <c r="H91" s="25">
        <f>IF(AND(ISNUMBER(A91),A91=RaporTarihi),COUNTIFS($A$6:A91,RaporTarihi),"")</f>
        <v/>
      </c>
    </row>
    <row r="92">
      <c r="A92" s="23" t="n"/>
      <c r="B92" s="22" t="n"/>
      <c r="C92" s="22" t="n"/>
      <c r="D92" s="24" t="n"/>
      <c r="E92" s="22" t="n"/>
      <c r="F92" s="22" t="n"/>
      <c r="G92" s="25">
        <f>IF(COUNTA(A92:F92)=0,"",IF(OR(A92="",B92="",C92="",D92="",E92=""),"HATA: eksik bilgi",IF(OR(NOT(ISNUMBER(A92)),NOT(ISNUMBER(D92)),D92&lt;=0),"HATA: tarih/tutar geçersiz",IF(C92&lt;&gt;TRIM(C92),"HATA: isimde baştaki/sondaki boşluk",IF(COUNTIF(TurAralik,E92)=0,"HATA: ödeme türü geçersiz",IF(COUNTIFS(kOda,B92,kGiris,"&lt;="&amp;A92,kCikis,"&gt;="&amp;A92,kDurum,"&lt;&gt;İptal")=0,"HATA: bu odada o tarihte misafir yok","OK"))))))</f>
        <v/>
      </c>
      <c r="H92" s="25">
        <f>IF(AND(ISNUMBER(A92),A92=RaporTarihi),COUNTIFS($A$6:A92,RaporTarihi),"")</f>
        <v/>
      </c>
    </row>
    <row r="93">
      <c r="A93" s="23" t="n"/>
      <c r="B93" s="22" t="n"/>
      <c r="C93" s="22" t="n"/>
      <c r="D93" s="24" t="n"/>
      <c r="E93" s="22" t="n"/>
      <c r="F93" s="22" t="n"/>
      <c r="G93" s="25">
        <f>IF(COUNTA(A93:F93)=0,"",IF(OR(A93="",B93="",C93="",D93="",E93=""),"HATA: eksik bilgi",IF(OR(NOT(ISNUMBER(A93)),NOT(ISNUMBER(D93)),D93&lt;=0),"HATA: tarih/tutar geçersiz",IF(C93&lt;&gt;TRIM(C93),"HATA: isimde baştaki/sondaki boşluk",IF(COUNTIF(TurAralik,E93)=0,"HATA: ödeme türü geçersiz",IF(COUNTIFS(kOda,B93,kGiris,"&lt;="&amp;A93,kCikis,"&gt;="&amp;A93,kDurum,"&lt;&gt;İptal")=0,"HATA: bu odada o tarihte misafir yok","OK"))))))</f>
        <v/>
      </c>
      <c r="H93" s="25">
        <f>IF(AND(ISNUMBER(A93),A93=RaporTarihi),COUNTIFS($A$6:A93,RaporTarihi),"")</f>
        <v/>
      </c>
    </row>
    <row r="94">
      <c r="A94" s="23" t="n"/>
      <c r="B94" s="22" t="n"/>
      <c r="C94" s="22" t="n"/>
      <c r="D94" s="24" t="n"/>
      <c r="E94" s="22" t="n"/>
      <c r="F94" s="22" t="n"/>
      <c r="G94" s="25">
        <f>IF(COUNTA(A94:F94)=0,"",IF(OR(A94="",B94="",C94="",D94="",E94=""),"HATA: eksik bilgi",IF(OR(NOT(ISNUMBER(A94)),NOT(ISNUMBER(D94)),D94&lt;=0),"HATA: tarih/tutar geçersiz",IF(C94&lt;&gt;TRIM(C94),"HATA: isimde baştaki/sondaki boşluk",IF(COUNTIF(TurAralik,E94)=0,"HATA: ödeme türü geçersiz",IF(COUNTIFS(kOda,B94,kGiris,"&lt;="&amp;A94,kCikis,"&gt;="&amp;A94,kDurum,"&lt;&gt;İptal")=0,"HATA: bu odada o tarihte misafir yok","OK"))))))</f>
        <v/>
      </c>
      <c r="H94" s="25">
        <f>IF(AND(ISNUMBER(A94),A94=RaporTarihi),COUNTIFS($A$6:A94,RaporTarihi),"")</f>
        <v/>
      </c>
    </row>
    <row r="95">
      <c r="A95" s="23" t="n"/>
      <c r="B95" s="22" t="n"/>
      <c r="C95" s="22" t="n"/>
      <c r="D95" s="24" t="n"/>
      <c r="E95" s="22" t="n"/>
      <c r="F95" s="22" t="n"/>
      <c r="G95" s="25">
        <f>IF(COUNTA(A95:F95)=0,"",IF(OR(A95="",B95="",C95="",D95="",E95=""),"HATA: eksik bilgi",IF(OR(NOT(ISNUMBER(A95)),NOT(ISNUMBER(D95)),D95&lt;=0),"HATA: tarih/tutar geçersiz",IF(C95&lt;&gt;TRIM(C95),"HATA: isimde baştaki/sondaki boşluk",IF(COUNTIF(TurAralik,E95)=0,"HATA: ödeme türü geçersiz",IF(COUNTIFS(kOda,B95,kGiris,"&lt;="&amp;A95,kCikis,"&gt;="&amp;A95,kDurum,"&lt;&gt;İptal")=0,"HATA: bu odada o tarihte misafir yok","OK"))))))</f>
        <v/>
      </c>
      <c r="H95" s="25">
        <f>IF(AND(ISNUMBER(A95),A95=RaporTarihi),COUNTIFS($A$6:A95,RaporTarihi),"")</f>
        <v/>
      </c>
    </row>
    <row r="96">
      <c r="A96" s="23" t="n"/>
      <c r="B96" s="22" t="n"/>
      <c r="C96" s="22" t="n"/>
      <c r="D96" s="24" t="n"/>
      <c r="E96" s="22" t="n"/>
      <c r="F96" s="22" t="n"/>
      <c r="G96" s="25">
        <f>IF(COUNTA(A96:F96)=0,"",IF(OR(A96="",B96="",C96="",D96="",E96=""),"HATA: eksik bilgi",IF(OR(NOT(ISNUMBER(A96)),NOT(ISNUMBER(D96)),D96&lt;=0),"HATA: tarih/tutar geçersiz",IF(C96&lt;&gt;TRIM(C96),"HATA: isimde baştaki/sondaki boşluk",IF(COUNTIF(TurAralik,E96)=0,"HATA: ödeme türü geçersiz",IF(COUNTIFS(kOda,B96,kGiris,"&lt;="&amp;A96,kCikis,"&gt;="&amp;A96,kDurum,"&lt;&gt;İptal")=0,"HATA: bu odada o tarihte misafir yok","OK"))))))</f>
        <v/>
      </c>
      <c r="H96" s="25">
        <f>IF(AND(ISNUMBER(A96),A96=RaporTarihi),COUNTIFS($A$6:A96,RaporTarihi),"")</f>
        <v/>
      </c>
    </row>
    <row r="97">
      <c r="A97" s="23" t="n"/>
      <c r="B97" s="22" t="n"/>
      <c r="C97" s="22" t="n"/>
      <c r="D97" s="24" t="n"/>
      <c r="E97" s="22" t="n"/>
      <c r="F97" s="22" t="n"/>
      <c r="G97" s="25">
        <f>IF(COUNTA(A97:F97)=0,"",IF(OR(A97="",B97="",C97="",D97="",E97=""),"HATA: eksik bilgi",IF(OR(NOT(ISNUMBER(A97)),NOT(ISNUMBER(D97)),D97&lt;=0),"HATA: tarih/tutar geçersiz",IF(C97&lt;&gt;TRIM(C97),"HATA: isimde baştaki/sondaki boşluk",IF(COUNTIF(TurAralik,E97)=0,"HATA: ödeme türü geçersiz",IF(COUNTIFS(kOda,B97,kGiris,"&lt;="&amp;A97,kCikis,"&gt;="&amp;A97,kDurum,"&lt;&gt;İptal")=0,"HATA: bu odada o tarihte misafir yok","OK"))))))</f>
        <v/>
      </c>
      <c r="H97" s="25">
        <f>IF(AND(ISNUMBER(A97),A97=RaporTarihi),COUNTIFS($A$6:A97,RaporTarihi),"")</f>
        <v/>
      </c>
    </row>
    <row r="98">
      <c r="A98" s="23" t="n"/>
      <c r="B98" s="22" t="n"/>
      <c r="C98" s="22" t="n"/>
      <c r="D98" s="24" t="n"/>
      <c r="E98" s="22" t="n"/>
      <c r="F98" s="22" t="n"/>
      <c r="G98" s="25">
        <f>IF(COUNTA(A98:F98)=0,"",IF(OR(A98="",B98="",C98="",D98="",E98=""),"HATA: eksik bilgi",IF(OR(NOT(ISNUMBER(A98)),NOT(ISNUMBER(D98)),D98&lt;=0),"HATA: tarih/tutar geçersiz",IF(C98&lt;&gt;TRIM(C98),"HATA: isimde baştaki/sondaki boşluk",IF(COUNTIF(TurAralik,E98)=0,"HATA: ödeme türü geçersiz",IF(COUNTIFS(kOda,B98,kGiris,"&lt;="&amp;A98,kCikis,"&gt;="&amp;A98,kDurum,"&lt;&gt;İptal")=0,"HATA: bu odada o tarihte misafir yok","OK"))))))</f>
        <v/>
      </c>
      <c r="H98" s="25">
        <f>IF(AND(ISNUMBER(A98),A98=RaporTarihi),COUNTIFS($A$6:A98,RaporTarihi),"")</f>
        <v/>
      </c>
    </row>
    <row r="99">
      <c r="A99" s="23" t="n"/>
      <c r="B99" s="22" t="n"/>
      <c r="C99" s="22" t="n"/>
      <c r="D99" s="24" t="n"/>
      <c r="E99" s="22" t="n"/>
      <c r="F99" s="22" t="n"/>
      <c r="G99" s="25">
        <f>IF(COUNTA(A99:F99)=0,"",IF(OR(A99="",B99="",C99="",D99="",E99=""),"HATA: eksik bilgi",IF(OR(NOT(ISNUMBER(A99)),NOT(ISNUMBER(D99)),D99&lt;=0),"HATA: tarih/tutar geçersiz",IF(C99&lt;&gt;TRIM(C99),"HATA: isimde baştaki/sondaki boşluk",IF(COUNTIF(TurAralik,E99)=0,"HATA: ödeme türü geçersiz",IF(COUNTIFS(kOda,B99,kGiris,"&lt;="&amp;A99,kCikis,"&gt;="&amp;A99,kDurum,"&lt;&gt;İptal")=0,"HATA: bu odada o tarihte misafir yok","OK"))))))</f>
        <v/>
      </c>
      <c r="H99" s="25">
        <f>IF(AND(ISNUMBER(A99),A99=RaporTarihi),COUNTIFS($A$6:A99,RaporTarihi),"")</f>
        <v/>
      </c>
    </row>
    <row r="100">
      <c r="A100" s="23" t="n"/>
      <c r="B100" s="22" t="n"/>
      <c r="C100" s="22" t="n"/>
      <c r="D100" s="24" t="n"/>
      <c r="E100" s="22" t="n"/>
      <c r="F100" s="22" t="n"/>
      <c r="G100" s="25">
        <f>IF(COUNTA(A100:F100)=0,"",IF(OR(A100="",B100="",C100="",D100="",E100=""),"HATA: eksik bilgi",IF(OR(NOT(ISNUMBER(A100)),NOT(ISNUMBER(D100)),D100&lt;=0),"HATA: tarih/tutar geçersiz",IF(C100&lt;&gt;TRIM(C100),"HATA: isimde baştaki/sondaki boşluk",IF(COUNTIF(TurAralik,E100)=0,"HATA: ödeme türü geçersiz",IF(COUNTIFS(kOda,B100,kGiris,"&lt;="&amp;A100,kCikis,"&gt;="&amp;A100,kDurum,"&lt;&gt;İptal")=0,"HATA: bu odada o tarihte misafir yok","OK"))))))</f>
        <v/>
      </c>
      <c r="H100" s="25">
        <f>IF(AND(ISNUMBER(A100),A100=RaporTarihi),COUNTIFS($A$6:A100,RaporTarihi),"")</f>
        <v/>
      </c>
    </row>
    <row r="101">
      <c r="A101" s="23" t="n"/>
      <c r="B101" s="22" t="n"/>
      <c r="C101" s="22" t="n"/>
      <c r="D101" s="24" t="n"/>
      <c r="E101" s="22" t="n"/>
      <c r="F101" s="22" t="n"/>
      <c r="G101" s="25">
        <f>IF(COUNTA(A101:F101)=0,"",IF(OR(A101="",B101="",C101="",D101="",E101=""),"HATA: eksik bilgi",IF(OR(NOT(ISNUMBER(A101)),NOT(ISNUMBER(D101)),D101&lt;=0),"HATA: tarih/tutar geçersiz",IF(C101&lt;&gt;TRIM(C101),"HATA: isimde baştaki/sondaki boşluk",IF(COUNTIF(TurAralik,E101)=0,"HATA: ödeme türü geçersiz",IF(COUNTIFS(kOda,B101,kGiris,"&lt;="&amp;A101,kCikis,"&gt;="&amp;A101,kDurum,"&lt;&gt;İptal")=0,"HATA: bu odada o tarihte misafir yok","OK"))))))</f>
        <v/>
      </c>
      <c r="H101" s="25">
        <f>IF(AND(ISNUMBER(A101),A101=RaporTarihi),COUNTIFS($A$6:A101,RaporTarihi),"")</f>
        <v/>
      </c>
    </row>
    <row r="102">
      <c r="A102" s="23" t="n"/>
      <c r="B102" s="22" t="n"/>
      <c r="C102" s="22" t="n"/>
      <c r="D102" s="24" t="n"/>
      <c r="E102" s="22" t="n"/>
      <c r="F102" s="22" t="n"/>
      <c r="G102" s="25">
        <f>IF(COUNTA(A102:F102)=0,"",IF(OR(A102="",B102="",C102="",D102="",E102=""),"HATA: eksik bilgi",IF(OR(NOT(ISNUMBER(A102)),NOT(ISNUMBER(D102)),D102&lt;=0),"HATA: tarih/tutar geçersiz",IF(C102&lt;&gt;TRIM(C102),"HATA: isimde baştaki/sondaki boşluk",IF(COUNTIF(TurAralik,E102)=0,"HATA: ödeme türü geçersiz",IF(COUNTIFS(kOda,B102,kGiris,"&lt;="&amp;A102,kCikis,"&gt;="&amp;A102,kDurum,"&lt;&gt;İptal")=0,"HATA: bu odada o tarihte misafir yok","OK"))))))</f>
        <v/>
      </c>
      <c r="H102" s="25">
        <f>IF(AND(ISNUMBER(A102),A102=RaporTarihi),COUNTIFS($A$6:A102,RaporTarihi),"")</f>
        <v/>
      </c>
    </row>
    <row r="103">
      <c r="A103" s="23" t="n"/>
      <c r="B103" s="22" t="n"/>
      <c r="C103" s="22" t="n"/>
      <c r="D103" s="24" t="n"/>
      <c r="E103" s="22" t="n"/>
      <c r="F103" s="22" t="n"/>
      <c r="G103" s="25">
        <f>IF(COUNTA(A103:F103)=0,"",IF(OR(A103="",B103="",C103="",D103="",E103=""),"HATA: eksik bilgi",IF(OR(NOT(ISNUMBER(A103)),NOT(ISNUMBER(D103)),D103&lt;=0),"HATA: tarih/tutar geçersiz",IF(C103&lt;&gt;TRIM(C103),"HATA: isimde baştaki/sondaki boşluk",IF(COUNTIF(TurAralik,E103)=0,"HATA: ödeme türü geçersiz",IF(COUNTIFS(kOda,B103,kGiris,"&lt;="&amp;A103,kCikis,"&gt;="&amp;A103,kDurum,"&lt;&gt;İptal")=0,"HATA: bu odada o tarihte misafir yok","OK"))))))</f>
        <v/>
      </c>
      <c r="H103" s="25">
        <f>IF(AND(ISNUMBER(A103),A103=RaporTarihi),COUNTIFS($A$6:A103,RaporTarihi),"")</f>
        <v/>
      </c>
    </row>
    <row r="104">
      <c r="A104" s="23" t="n"/>
      <c r="B104" s="22" t="n"/>
      <c r="C104" s="22" t="n"/>
      <c r="D104" s="24" t="n"/>
      <c r="E104" s="22" t="n"/>
      <c r="F104" s="22" t="n"/>
      <c r="G104" s="25">
        <f>IF(COUNTA(A104:F104)=0,"",IF(OR(A104="",B104="",C104="",D104="",E104=""),"HATA: eksik bilgi",IF(OR(NOT(ISNUMBER(A104)),NOT(ISNUMBER(D104)),D104&lt;=0),"HATA: tarih/tutar geçersiz",IF(C104&lt;&gt;TRIM(C104),"HATA: isimde baştaki/sondaki boşluk",IF(COUNTIF(TurAralik,E104)=0,"HATA: ödeme türü geçersiz",IF(COUNTIFS(kOda,B104,kGiris,"&lt;="&amp;A104,kCikis,"&gt;="&amp;A104,kDurum,"&lt;&gt;İptal")=0,"HATA: bu odada o tarihte misafir yok","OK"))))))</f>
        <v/>
      </c>
      <c r="H104" s="25">
        <f>IF(AND(ISNUMBER(A104),A104=RaporTarihi),COUNTIFS($A$6:A104,RaporTarihi),"")</f>
        <v/>
      </c>
    </row>
    <row r="105">
      <c r="A105" s="23" t="n"/>
      <c r="B105" s="22" t="n"/>
      <c r="C105" s="22" t="n"/>
      <c r="D105" s="24" t="n"/>
      <c r="E105" s="22" t="n"/>
      <c r="F105" s="22" t="n"/>
      <c r="G105" s="25">
        <f>IF(COUNTA(A105:F105)=0,"",IF(OR(A105="",B105="",C105="",D105="",E105=""),"HATA: eksik bilgi",IF(OR(NOT(ISNUMBER(A105)),NOT(ISNUMBER(D105)),D105&lt;=0),"HATA: tarih/tutar geçersiz",IF(C105&lt;&gt;TRIM(C105),"HATA: isimde baştaki/sondaki boşluk",IF(COUNTIF(TurAralik,E105)=0,"HATA: ödeme türü geçersiz",IF(COUNTIFS(kOda,B105,kGiris,"&lt;="&amp;A105,kCikis,"&gt;="&amp;A105,kDurum,"&lt;&gt;İptal")=0,"HATA: bu odada o tarihte misafir yok","OK"))))))</f>
        <v/>
      </c>
      <c r="H105" s="25">
        <f>IF(AND(ISNUMBER(A105),A105=RaporTarihi),COUNTIFS($A$6:A105,RaporTarihi),"")</f>
        <v/>
      </c>
    </row>
    <row r="106">
      <c r="A106" s="23" t="n"/>
      <c r="B106" s="22" t="n"/>
      <c r="C106" s="22" t="n"/>
      <c r="D106" s="24" t="n"/>
      <c r="E106" s="22" t="n"/>
      <c r="F106" s="22" t="n"/>
      <c r="G106" s="25">
        <f>IF(COUNTA(A106:F106)=0,"",IF(OR(A106="",B106="",C106="",D106="",E106=""),"HATA: eksik bilgi",IF(OR(NOT(ISNUMBER(A106)),NOT(ISNUMBER(D106)),D106&lt;=0),"HATA: tarih/tutar geçersiz",IF(C106&lt;&gt;TRIM(C106),"HATA: isimde baştaki/sondaki boşluk",IF(COUNTIF(TurAralik,E106)=0,"HATA: ödeme türü geçersiz",IF(COUNTIFS(kOda,B106,kGiris,"&lt;="&amp;A106,kCikis,"&gt;="&amp;A106,kDurum,"&lt;&gt;İptal")=0,"HATA: bu odada o tarihte misafir yok","OK"))))))</f>
        <v/>
      </c>
      <c r="H106" s="25">
        <f>IF(AND(ISNUMBER(A106),A106=RaporTarihi),COUNTIFS($A$6:A106,RaporTarihi),"")</f>
        <v/>
      </c>
    </row>
    <row r="107">
      <c r="A107" s="23" t="n"/>
      <c r="B107" s="22" t="n"/>
      <c r="C107" s="22" t="n"/>
      <c r="D107" s="24" t="n"/>
      <c r="E107" s="22" t="n"/>
      <c r="F107" s="22" t="n"/>
      <c r="G107" s="25">
        <f>IF(COUNTA(A107:F107)=0,"",IF(OR(A107="",B107="",C107="",D107="",E107=""),"HATA: eksik bilgi",IF(OR(NOT(ISNUMBER(A107)),NOT(ISNUMBER(D107)),D107&lt;=0),"HATA: tarih/tutar geçersiz",IF(C107&lt;&gt;TRIM(C107),"HATA: isimde baştaki/sondaki boşluk",IF(COUNTIF(TurAralik,E107)=0,"HATA: ödeme türü geçersiz",IF(COUNTIFS(kOda,B107,kGiris,"&lt;="&amp;A107,kCikis,"&gt;="&amp;A107,kDurum,"&lt;&gt;İptal")=0,"HATA: bu odada o tarihte misafir yok","OK"))))))</f>
        <v/>
      </c>
      <c r="H107" s="25">
        <f>IF(AND(ISNUMBER(A107),A107=RaporTarihi),COUNTIFS($A$6:A107,RaporTarihi),"")</f>
        <v/>
      </c>
    </row>
    <row r="108">
      <c r="A108" s="23" t="n"/>
      <c r="B108" s="22" t="n"/>
      <c r="C108" s="22" t="n"/>
      <c r="D108" s="24" t="n"/>
      <c r="E108" s="22" t="n"/>
      <c r="F108" s="22" t="n"/>
      <c r="G108" s="25">
        <f>IF(COUNTA(A108:F108)=0,"",IF(OR(A108="",B108="",C108="",D108="",E108=""),"HATA: eksik bilgi",IF(OR(NOT(ISNUMBER(A108)),NOT(ISNUMBER(D108)),D108&lt;=0),"HATA: tarih/tutar geçersiz",IF(C108&lt;&gt;TRIM(C108),"HATA: isimde baştaki/sondaki boşluk",IF(COUNTIF(TurAralik,E108)=0,"HATA: ödeme türü geçersiz",IF(COUNTIFS(kOda,B108,kGiris,"&lt;="&amp;A108,kCikis,"&gt;="&amp;A108,kDurum,"&lt;&gt;İptal")=0,"HATA: bu odada o tarihte misafir yok","OK"))))))</f>
        <v/>
      </c>
      <c r="H108" s="25">
        <f>IF(AND(ISNUMBER(A108),A108=RaporTarihi),COUNTIFS($A$6:A108,RaporTarihi),"")</f>
        <v/>
      </c>
    </row>
    <row r="109">
      <c r="A109" s="23" t="n"/>
      <c r="B109" s="22" t="n"/>
      <c r="C109" s="22" t="n"/>
      <c r="D109" s="24" t="n"/>
      <c r="E109" s="22" t="n"/>
      <c r="F109" s="22" t="n"/>
      <c r="G109" s="25">
        <f>IF(COUNTA(A109:F109)=0,"",IF(OR(A109="",B109="",C109="",D109="",E109=""),"HATA: eksik bilgi",IF(OR(NOT(ISNUMBER(A109)),NOT(ISNUMBER(D109)),D109&lt;=0),"HATA: tarih/tutar geçersiz",IF(C109&lt;&gt;TRIM(C109),"HATA: isimde baştaki/sondaki boşluk",IF(COUNTIF(TurAralik,E109)=0,"HATA: ödeme türü geçersiz",IF(COUNTIFS(kOda,B109,kGiris,"&lt;="&amp;A109,kCikis,"&gt;="&amp;A109,kDurum,"&lt;&gt;İptal")=0,"HATA: bu odada o tarihte misafir yok","OK"))))))</f>
        <v/>
      </c>
      <c r="H109" s="25">
        <f>IF(AND(ISNUMBER(A109),A109=RaporTarihi),COUNTIFS($A$6:A109,RaporTarihi),"")</f>
        <v/>
      </c>
    </row>
    <row r="110">
      <c r="A110" s="23" t="n"/>
      <c r="B110" s="22" t="n"/>
      <c r="C110" s="22" t="n"/>
      <c r="D110" s="24" t="n"/>
      <c r="E110" s="22" t="n"/>
      <c r="F110" s="22" t="n"/>
      <c r="G110" s="25">
        <f>IF(COUNTA(A110:F110)=0,"",IF(OR(A110="",B110="",C110="",D110="",E110=""),"HATA: eksik bilgi",IF(OR(NOT(ISNUMBER(A110)),NOT(ISNUMBER(D110)),D110&lt;=0),"HATA: tarih/tutar geçersiz",IF(C110&lt;&gt;TRIM(C110),"HATA: isimde baştaki/sondaki boşluk",IF(COUNTIF(TurAralik,E110)=0,"HATA: ödeme türü geçersiz",IF(COUNTIFS(kOda,B110,kGiris,"&lt;="&amp;A110,kCikis,"&gt;="&amp;A110,kDurum,"&lt;&gt;İptal")=0,"HATA: bu odada o tarihte misafir yok","OK"))))))</f>
        <v/>
      </c>
      <c r="H110" s="25">
        <f>IF(AND(ISNUMBER(A110),A110=RaporTarihi),COUNTIFS($A$6:A110,RaporTarihi),"")</f>
        <v/>
      </c>
    </row>
    <row r="111">
      <c r="A111" s="23" t="n"/>
      <c r="B111" s="22" t="n"/>
      <c r="C111" s="22" t="n"/>
      <c r="D111" s="24" t="n"/>
      <c r="E111" s="22" t="n"/>
      <c r="F111" s="22" t="n"/>
      <c r="G111" s="25">
        <f>IF(COUNTA(A111:F111)=0,"",IF(OR(A111="",B111="",C111="",D111="",E111=""),"HATA: eksik bilgi",IF(OR(NOT(ISNUMBER(A111)),NOT(ISNUMBER(D111)),D111&lt;=0),"HATA: tarih/tutar geçersiz",IF(C111&lt;&gt;TRIM(C111),"HATA: isimde baştaki/sondaki boşluk",IF(COUNTIF(TurAralik,E111)=0,"HATA: ödeme türü geçersiz",IF(COUNTIFS(kOda,B111,kGiris,"&lt;="&amp;A111,kCikis,"&gt;="&amp;A111,kDurum,"&lt;&gt;İptal")=0,"HATA: bu odada o tarihte misafir yok","OK"))))))</f>
        <v/>
      </c>
      <c r="H111" s="25">
        <f>IF(AND(ISNUMBER(A111),A111=RaporTarihi),COUNTIFS($A$6:A111,RaporTarihi),"")</f>
        <v/>
      </c>
    </row>
    <row r="112">
      <c r="A112" s="23" t="n"/>
      <c r="B112" s="22" t="n"/>
      <c r="C112" s="22" t="n"/>
      <c r="D112" s="24" t="n"/>
      <c r="E112" s="22" t="n"/>
      <c r="F112" s="22" t="n"/>
      <c r="G112" s="25">
        <f>IF(COUNTA(A112:F112)=0,"",IF(OR(A112="",B112="",C112="",D112="",E112=""),"HATA: eksik bilgi",IF(OR(NOT(ISNUMBER(A112)),NOT(ISNUMBER(D112)),D112&lt;=0),"HATA: tarih/tutar geçersiz",IF(C112&lt;&gt;TRIM(C112),"HATA: isimde baştaki/sondaki boşluk",IF(COUNTIF(TurAralik,E112)=0,"HATA: ödeme türü geçersiz",IF(COUNTIFS(kOda,B112,kGiris,"&lt;="&amp;A112,kCikis,"&gt;="&amp;A112,kDurum,"&lt;&gt;İptal")=0,"HATA: bu odada o tarihte misafir yok","OK"))))))</f>
        <v/>
      </c>
      <c r="H112" s="25">
        <f>IF(AND(ISNUMBER(A112),A112=RaporTarihi),COUNTIFS($A$6:A112,RaporTarihi),"")</f>
        <v/>
      </c>
    </row>
    <row r="113">
      <c r="A113" s="23" t="n"/>
      <c r="B113" s="22" t="n"/>
      <c r="C113" s="22" t="n"/>
      <c r="D113" s="24" t="n"/>
      <c r="E113" s="22" t="n"/>
      <c r="F113" s="22" t="n"/>
      <c r="G113" s="25">
        <f>IF(COUNTA(A113:F113)=0,"",IF(OR(A113="",B113="",C113="",D113="",E113=""),"HATA: eksik bilgi",IF(OR(NOT(ISNUMBER(A113)),NOT(ISNUMBER(D113)),D113&lt;=0),"HATA: tarih/tutar geçersiz",IF(C113&lt;&gt;TRIM(C113),"HATA: isimde baştaki/sondaki boşluk",IF(COUNTIF(TurAralik,E113)=0,"HATA: ödeme türü geçersiz",IF(COUNTIFS(kOda,B113,kGiris,"&lt;="&amp;A113,kCikis,"&gt;="&amp;A113,kDurum,"&lt;&gt;İptal")=0,"HATA: bu odada o tarihte misafir yok","OK"))))))</f>
        <v/>
      </c>
      <c r="H113" s="25">
        <f>IF(AND(ISNUMBER(A113),A113=RaporTarihi),COUNTIFS($A$6:A113,RaporTarihi),"")</f>
        <v/>
      </c>
    </row>
    <row r="114">
      <c r="A114" s="23" t="n"/>
      <c r="B114" s="22" t="n"/>
      <c r="C114" s="22" t="n"/>
      <c r="D114" s="24" t="n"/>
      <c r="E114" s="22" t="n"/>
      <c r="F114" s="22" t="n"/>
      <c r="G114" s="25">
        <f>IF(COUNTA(A114:F114)=0,"",IF(OR(A114="",B114="",C114="",D114="",E114=""),"HATA: eksik bilgi",IF(OR(NOT(ISNUMBER(A114)),NOT(ISNUMBER(D114)),D114&lt;=0),"HATA: tarih/tutar geçersiz",IF(C114&lt;&gt;TRIM(C114),"HATA: isimde baştaki/sondaki boşluk",IF(COUNTIF(TurAralik,E114)=0,"HATA: ödeme türü geçersiz",IF(COUNTIFS(kOda,B114,kGiris,"&lt;="&amp;A114,kCikis,"&gt;="&amp;A114,kDurum,"&lt;&gt;İptal")=0,"HATA: bu odada o tarihte misafir yok","OK"))))))</f>
        <v/>
      </c>
      <c r="H114" s="25">
        <f>IF(AND(ISNUMBER(A114),A114=RaporTarihi),COUNTIFS($A$6:A114,RaporTarihi),"")</f>
        <v/>
      </c>
    </row>
    <row r="115">
      <c r="A115" s="23" t="n"/>
      <c r="B115" s="22" t="n"/>
      <c r="C115" s="22" t="n"/>
      <c r="D115" s="24" t="n"/>
      <c r="E115" s="22" t="n"/>
      <c r="F115" s="22" t="n"/>
      <c r="G115" s="25">
        <f>IF(COUNTA(A115:F115)=0,"",IF(OR(A115="",B115="",C115="",D115="",E115=""),"HATA: eksik bilgi",IF(OR(NOT(ISNUMBER(A115)),NOT(ISNUMBER(D115)),D115&lt;=0),"HATA: tarih/tutar geçersiz",IF(C115&lt;&gt;TRIM(C115),"HATA: isimde baştaki/sondaki boşluk",IF(COUNTIF(TurAralik,E115)=0,"HATA: ödeme türü geçersiz",IF(COUNTIFS(kOda,B115,kGiris,"&lt;="&amp;A115,kCikis,"&gt;="&amp;A115,kDurum,"&lt;&gt;İptal")=0,"HATA: bu odada o tarihte misafir yok","OK"))))))</f>
        <v/>
      </c>
      <c r="H115" s="25">
        <f>IF(AND(ISNUMBER(A115),A115=RaporTarihi),COUNTIFS($A$6:A115,RaporTarihi),"")</f>
        <v/>
      </c>
    </row>
    <row r="116">
      <c r="A116" s="23" t="n"/>
      <c r="B116" s="22" t="n"/>
      <c r="C116" s="22" t="n"/>
      <c r="D116" s="24" t="n"/>
      <c r="E116" s="22" t="n"/>
      <c r="F116" s="22" t="n"/>
      <c r="G116" s="25">
        <f>IF(COUNTA(A116:F116)=0,"",IF(OR(A116="",B116="",C116="",D116="",E116=""),"HATA: eksik bilgi",IF(OR(NOT(ISNUMBER(A116)),NOT(ISNUMBER(D116)),D116&lt;=0),"HATA: tarih/tutar geçersiz",IF(C116&lt;&gt;TRIM(C116),"HATA: isimde baştaki/sondaki boşluk",IF(COUNTIF(TurAralik,E116)=0,"HATA: ödeme türü geçersiz",IF(COUNTIFS(kOda,B116,kGiris,"&lt;="&amp;A116,kCikis,"&gt;="&amp;A116,kDurum,"&lt;&gt;İptal")=0,"HATA: bu odada o tarihte misafir yok","OK"))))))</f>
        <v/>
      </c>
      <c r="H116" s="25">
        <f>IF(AND(ISNUMBER(A116),A116=RaporTarihi),COUNTIFS($A$6:A116,RaporTarihi),"")</f>
        <v/>
      </c>
    </row>
    <row r="117">
      <c r="A117" s="23" t="n"/>
      <c r="B117" s="22" t="n"/>
      <c r="C117" s="22" t="n"/>
      <c r="D117" s="24" t="n"/>
      <c r="E117" s="22" t="n"/>
      <c r="F117" s="22" t="n"/>
      <c r="G117" s="25">
        <f>IF(COUNTA(A117:F117)=0,"",IF(OR(A117="",B117="",C117="",D117="",E117=""),"HATA: eksik bilgi",IF(OR(NOT(ISNUMBER(A117)),NOT(ISNUMBER(D117)),D117&lt;=0),"HATA: tarih/tutar geçersiz",IF(C117&lt;&gt;TRIM(C117),"HATA: isimde baştaki/sondaki boşluk",IF(COUNTIF(TurAralik,E117)=0,"HATA: ödeme türü geçersiz",IF(COUNTIFS(kOda,B117,kGiris,"&lt;="&amp;A117,kCikis,"&gt;="&amp;A117,kDurum,"&lt;&gt;İptal")=0,"HATA: bu odada o tarihte misafir yok","OK"))))))</f>
        <v/>
      </c>
      <c r="H117" s="25">
        <f>IF(AND(ISNUMBER(A117),A117=RaporTarihi),COUNTIFS($A$6:A117,RaporTarihi),"")</f>
        <v/>
      </c>
    </row>
    <row r="118">
      <c r="A118" s="23" t="n"/>
      <c r="B118" s="22" t="n"/>
      <c r="C118" s="22" t="n"/>
      <c r="D118" s="24" t="n"/>
      <c r="E118" s="22" t="n"/>
      <c r="F118" s="22" t="n"/>
      <c r="G118" s="25">
        <f>IF(COUNTA(A118:F118)=0,"",IF(OR(A118="",B118="",C118="",D118="",E118=""),"HATA: eksik bilgi",IF(OR(NOT(ISNUMBER(A118)),NOT(ISNUMBER(D118)),D118&lt;=0),"HATA: tarih/tutar geçersiz",IF(C118&lt;&gt;TRIM(C118),"HATA: isimde baştaki/sondaki boşluk",IF(COUNTIF(TurAralik,E118)=0,"HATA: ödeme türü geçersiz",IF(COUNTIFS(kOda,B118,kGiris,"&lt;="&amp;A118,kCikis,"&gt;="&amp;A118,kDurum,"&lt;&gt;İptal")=0,"HATA: bu odada o tarihte misafir yok","OK"))))))</f>
        <v/>
      </c>
      <c r="H118" s="25">
        <f>IF(AND(ISNUMBER(A118),A118=RaporTarihi),COUNTIFS($A$6:A118,RaporTarihi),"")</f>
        <v/>
      </c>
    </row>
    <row r="119">
      <c r="A119" s="23" t="n"/>
      <c r="B119" s="22" t="n"/>
      <c r="C119" s="22" t="n"/>
      <c r="D119" s="24" t="n"/>
      <c r="E119" s="22" t="n"/>
      <c r="F119" s="22" t="n"/>
      <c r="G119" s="25">
        <f>IF(COUNTA(A119:F119)=0,"",IF(OR(A119="",B119="",C119="",D119="",E119=""),"HATA: eksik bilgi",IF(OR(NOT(ISNUMBER(A119)),NOT(ISNUMBER(D119)),D119&lt;=0),"HATA: tarih/tutar geçersiz",IF(C119&lt;&gt;TRIM(C119),"HATA: isimde baştaki/sondaki boşluk",IF(COUNTIF(TurAralik,E119)=0,"HATA: ödeme türü geçersiz",IF(COUNTIFS(kOda,B119,kGiris,"&lt;="&amp;A119,kCikis,"&gt;="&amp;A119,kDurum,"&lt;&gt;İptal")=0,"HATA: bu odada o tarihte misafir yok","OK"))))))</f>
        <v/>
      </c>
      <c r="H119" s="25">
        <f>IF(AND(ISNUMBER(A119),A119=RaporTarihi),COUNTIFS($A$6:A119,RaporTarihi),"")</f>
        <v/>
      </c>
    </row>
    <row r="120">
      <c r="A120" s="23" t="n"/>
      <c r="B120" s="22" t="n"/>
      <c r="C120" s="22" t="n"/>
      <c r="D120" s="24" t="n"/>
      <c r="E120" s="22" t="n"/>
      <c r="F120" s="22" t="n"/>
      <c r="G120" s="25">
        <f>IF(COUNTA(A120:F120)=0,"",IF(OR(A120="",B120="",C120="",D120="",E120=""),"HATA: eksik bilgi",IF(OR(NOT(ISNUMBER(A120)),NOT(ISNUMBER(D120)),D120&lt;=0),"HATA: tarih/tutar geçersiz",IF(C120&lt;&gt;TRIM(C120),"HATA: isimde baştaki/sondaki boşluk",IF(COUNTIF(TurAralik,E120)=0,"HATA: ödeme türü geçersiz",IF(COUNTIFS(kOda,B120,kGiris,"&lt;="&amp;A120,kCikis,"&gt;="&amp;A120,kDurum,"&lt;&gt;İptal")=0,"HATA: bu odada o tarihte misafir yok","OK"))))))</f>
        <v/>
      </c>
      <c r="H120" s="25">
        <f>IF(AND(ISNUMBER(A120),A120=RaporTarihi),COUNTIFS($A$6:A120,RaporTarihi),"")</f>
        <v/>
      </c>
    </row>
    <row r="121">
      <c r="A121" s="23" t="n"/>
      <c r="B121" s="22" t="n"/>
      <c r="C121" s="22" t="n"/>
      <c r="D121" s="24" t="n"/>
      <c r="E121" s="22" t="n"/>
      <c r="F121" s="22" t="n"/>
      <c r="G121" s="25">
        <f>IF(COUNTA(A121:F121)=0,"",IF(OR(A121="",B121="",C121="",D121="",E121=""),"HATA: eksik bilgi",IF(OR(NOT(ISNUMBER(A121)),NOT(ISNUMBER(D121)),D121&lt;=0),"HATA: tarih/tutar geçersiz",IF(C121&lt;&gt;TRIM(C121),"HATA: isimde baştaki/sondaki boşluk",IF(COUNTIF(TurAralik,E121)=0,"HATA: ödeme türü geçersiz",IF(COUNTIFS(kOda,B121,kGiris,"&lt;="&amp;A121,kCikis,"&gt;="&amp;A121,kDurum,"&lt;&gt;İptal")=0,"HATA: bu odada o tarihte misafir yok","OK"))))))</f>
        <v/>
      </c>
      <c r="H121" s="25">
        <f>IF(AND(ISNUMBER(A121),A121=RaporTarihi),COUNTIFS($A$6:A121,RaporTarihi),"")</f>
        <v/>
      </c>
    </row>
    <row r="122">
      <c r="A122" s="23" t="n"/>
      <c r="B122" s="22" t="n"/>
      <c r="C122" s="22" t="n"/>
      <c r="D122" s="24" t="n"/>
      <c r="E122" s="22" t="n"/>
      <c r="F122" s="22" t="n"/>
      <c r="G122" s="25">
        <f>IF(COUNTA(A122:F122)=0,"",IF(OR(A122="",B122="",C122="",D122="",E122=""),"HATA: eksik bilgi",IF(OR(NOT(ISNUMBER(A122)),NOT(ISNUMBER(D122)),D122&lt;=0),"HATA: tarih/tutar geçersiz",IF(C122&lt;&gt;TRIM(C122),"HATA: isimde baştaki/sondaki boşluk",IF(COUNTIF(TurAralik,E122)=0,"HATA: ödeme türü geçersiz",IF(COUNTIFS(kOda,B122,kGiris,"&lt;="&amp;A122,kCikis,"&gt;="&amp;A122,kDurum,"&lt;&gt;İptal")=0,"HATA: bu odada o tarihte misafir yok","OK"))))))</f>
        <v/>
      </c>
      <c r="H122" s="25">
        <f>IF(AND(ISNUMBER(A122),A122=RaporTarihi),COUNTIFS($A$6:A122,RaporTarihi),"")</f>
        <v/>
      </c>
    </row>
    <row r="123">
      <c r="A123" s="23" t="n"/>
      <c r="B123" s="22" t="n"/>
      <c r="C123" s="22" t="n"/>
      <c r="D123" s="24" t="n"/>
      <c r="E123" s="22" t="n"/>
      <c r="F123" s="22" t="n"/>
      <c r="G123" s="25">
        <f>IF(COUNTA(A123:F123)=0,"",IF(OR(A123="",B123="",C123="",D123="",E123=""),"HATA: eksik bilgi",IF(OR(NOT(ISNUMBER(A123)),NOT(ISNUMBER(D123)),D123&lt;=0),"HATA: tarih/tutar geçersiz",IF(C123&lt;&gt;TRIM(C123),"HATA: isimde baştaki/sondaki boşluk",IF(COUNTIF(TurAralik,E123)=0,"HATA: ödeme türü geçersiz",IF(COUNTIFS(kOda,B123,kGiris,"&lt;="&amp;A123,kCikis,"&gt;="&amp;A123,kDurum,"&lt;&gt;İptal")=0,"HATA: bu odada o tarihte misafir yok","OK"))))))</f>
        <v/>
      </c>
      <c r="H123" s="25">
        <f>IF(AND(ISNUMBER(A123),A123=RaporTarihi),COUNTIFS($A$6:A123,RaporTarihi),"")</f>
        <v/>
      </c>
    </row>
    <row r="124">
      <c r="A124" s="23" t="n"/>
      <c r="B124" s="22" t="n"/>
      <c r="C124" s="22" t="n"/>
      <c r="D124" s="24" t="n"/>
      <c r="E124" s="22" t="n"/>
      <c r="F124" s="22" t="n"/>
      <c r="G124" s="25">
        <f>IF(COUNTA(A124:F124)=0,"",IF(OR(A124="",B124="",C124="",D124="",E124=""),"HATA: eksik bilgi",IF(OR(NOT(ISNUMBER(A124)),NOT(ISNUMBER(D124)),D124&lt;=0),"HATA: tarih/tutar geçersiz",IF(C124&lt;&gt;TRIM(C124),"HATA: isimde baştaki/sondaki boşluk",IF(COUNTIF(TurAralik,E124)=0,"HATA: ödeme türü geçersiz",IF(COUNTIFS(kOda,B124,kGiris,"&lt;="&amp;A124,kCikis,"&gt;="&amp;A124,kDurum,"&lt;&gt;İptal")=0,"HATA: bu odada o tarihte misafir yok","OK"))))))</f>
        <v/>
      </c>
      <c r="H124" s="25">
        <f>IF(AND(ISNUMBER(A124),A124=RaporTarihi),COUNTIFS($A$6:A124,RaporTarihi),"")</f>
        <v/>
      </c>
    </row>
    <row r="125">
      <c r="A125" s="23" t="n"/>
      <c r="B125" s="22" t="n"/>
      <c r="C125" s="22" t="n"/>
      <c r="D125" s="24" t="n"/>
      <c r="E125" s="22" t="n"/>
      <c r="F125" s="22" t="n"/>
      <c r="G125" s="25">
        <f>IF(COUNTA(A125:F125)=0,"",IF(OR(A125="",B125="",C125="",D125="",E125=""),"HATA: eksik bilgi",IF(OR(NOT(ISNUMBER(A125)),NOT(ISNUMBER(D125)),D125&lt;=0),"HATA: tarih/tutar geçersiz",IF(C125&lt;&gt;TRIM(C125),"HATA: isimde baştaki/sondaki boşluk",IF(COUNTIF(TurAralik,E125)=0,"HATA: ödeme türü geçersiz",IF(COUNTIFS(kOda,B125,kGiris,"&lt;="&amp;A125,kCikis,"&gt;="&amp;A125,kDurum,"&lt;&gt;İptal")=0,"HATA: bu odada o tarihte misafir yok","OK"))))))</f>
        <v/>
      </c>
      <c r="H125" s="25">
        <f>IF(AND(ISNUMBER(A125),A125=RaporTarihi),COUNTIFS($A$6:A125,RaporTarihi),"")</f>
        <v/>
      </c>
    </row>
    <row r="126">
      <c r="A126" s="23" t="n"/>
      <c r="B126" s="22" t="n"/>
      <c r="C126" s="22" t="n"/>
      <c r="D126" s="24" t="n"/>
      <c r="E126" s="22" t="n"/>
      <c r="F126" s="22" t="n"/>
      <c r="G126" s="25">
        <f>IF(COUNTA(A126:F126)=0,"",IF(OR(A126="",B126="",C126="",D126="",E126=""),"HATA: eksik bilgi",IF(OR(NOT(ISNUMBER(A126)),NOT(ISNUMBER(D126)),D126&lt;=0),"HATA: tarih/tutar geçersiz",IF(C126&lt;&gt;TRIM(C126),"HATA: isimde baştaki/sondaki boşluk",IF(COUNTIF(TurAralik,E126)=0,"HATA: ödeme türü geçersiz",IF(COUNTIFS(kOda,B126,kGiris,"&lt;="&amp;A126,kCikis,"&gt;="&amp;A126,kDurum,"&lt;&gt;İptal")=0,"HATA: bu odada o tarihte misafir yok","OK"))))))</f>
        <v/>
      </c>
      <c r="H126" s="25">
        <f>IF(AND(ISNUMBER(A126),A126=RaporTarihi),COUNTIFS($A$6:A126,RaporTarihi),"")</f>
        <v/>
      </c>
    </row>
    <row r="127">
      <c r="A127" s="23" t="n"/>
      <c r="B127" s="22" t="n"/>
      <c r="C127" s="22" t="n"/>
      <c r="D127" s="24" t="n"/>
      <c r="E127" s="22" t="n"/>
      <c r="F127" s="22" t="n"/>
      <c r="G127" s="25">
        <f>IF(COUNTA(A127:F127)=0,"",IF(OR(A127="",B127="",C127="",D127="",E127=""),"HATA: eksik bilgi",IF(OR(NOT(ISNUMBER(A127)),NOT(ISNUMBER(D127)),D127&lt;=0),"HATA: tarih/tutar geçersiz",IF(C127&lt;&gt;TRIM(C127),"HATA: isimde baştaki/sondaki boşluk",IF(COUNTIF(TurAralik,E127)=0,"HATA: ödeme türü geçersiz",IF(COUNTIFS(kOda,B127,kGiris,"&lt;="&amp;A127,kCikis,"&gt;="&amp;A127,kDurum,"&lt;&gt;İptal")=0,"HATA: bu odada o tarihte misafir yok","OK"))))))</f>
        <v/>
      </c>
      <c r="H127" s="25">
        <f>IF(AND(ISNUMBER(A127),A127=RaporTarihi),COUNTIFS($A$6:A127,RaporTarihi),"")</f>
        <v/>
      </c>
    </row>
    <row r="128">
      <c r="A128" s="23" t="n"/>
      <c r="B128" s="22" t="n"/>
      <c r="C128" s="22" t="n"/>
      <c r="D128" s="24" t="n"/>
      <c r="E128" s="22" t="n"/>
      <c r="F128" s="22" t="n"/>
      <c r="G128" s="25">
        <f>IF(COUNTA(A128:F128)=0,"",IF(OR(A128="",B128="",C128="",D128="",E128=""),"HATA: eksik bilgi",IF(OR(NOT(ISNUMBER(A128)),NOT(ISNUMBER(D128)),D128&lt;=0),"HATA: tarih/tutar geçersiz",IF(C128&lt;&gt;TRIM(C128),"HATA: isimde baştaki/sondaki boşluk",IF(COUNTIF(TurAralik,E128)=0,"HATA: ödeme türü geçersiz",IF(COUNTIFS(kOda,B128,kGiris,"&lt;="&amp;A128,kCikis,"&gt;="&amp;A128,kDurum,"&lt;&gt;İptal")=0,"HATA: bu odada o tarihte misafir yok","OK"))))))</f>
        <v/>
      </c>
      <c r="H128" s="25">
        <f>IF(AND(ISNUMBER(A128),A128=RaporTarihi),COUNTIFS($A$6:A128,RaporTarihi),"")</f>
        <v/>
      </c>
    </row>
    <row r="129">
      <c r="A129" s="23" t="n"/>
      <c r="B129" s="22" t="n"/>
      <c r="C129" s="22" t="n"/>
      <c r="D129" s="24" t="n"/>
      <c r="E129" s="22" t="n"/>
      <c r="F129" s="22" t="n"/>
      <c r="G129" s="25">
        <f>IF(COUNTA(A129:F129)=0,"",IF(OR(A129="",B129="",C129="",D129="",E129=""),"HATA: eksik bilgi",IF(OR(NOT(ISNUMBER(A129)),NOT(ISNUMBER(D129)),D129&lt;=0),"HATA: tarih/tutar geçersiz",IF(C129&lt;&gt;TRIM(C129),"HATA: isimde baştaki/sondaki boşluk",IF(COUNTIF(TurAralik,E129)=0,"HATA: ödeme türü geçersiz",IF(COUNTIFS(kOda,B129,kGiris,"&lt;="&amp;A129,kCikis,"&gt;="&amp;A129,kDurum,"&lt;&gt;İptal")=0,"HATA: bu odada o tarihte misafir yok","OK"))))))</f>
        <v/>
      </c>
      <c r="H129" s="25">
        <f>IF(AND(ISNUMBER(A129),A129=RaporTarihi),COUNTIFS($A$6:A129,RaporTarihi),"")</f>
        <v/>
      </c>
    </row>
    <row r="130">
      <c r="A130" s="23" t="n"/>
      <c r="B130" s="22" t="n"/>
      <c r="C130" s="22" t="n"/>
      <c r="D130" s="24" t="n"/>
      <c r="E130" s="22" t="n"/>
      <c r="F130" s="22" t="n"/>
      <c r="G130" s="25">
        <f>IF(COUNTA(A130:F130)=0,"",IF(OR(A130="",B130="",C130="",D130="",E130=""),"HATA: eksik bilgi",IF(OR(NOT(ISNUMBER(A130)),NOT(ISNUMBER(D130)),D130&lt;=0),"HATA: tarih/tutar geçersiz",IF(C130&lt;&gt;TRIM(C130),"HATA: isimde baştaki/sondaki boşluk",IF(COUNTIF(TurAralik,E130)=0,"HATA: ödeme türü geçersiz",IF(COUNTIFS(kOda,B130,kGiris,"&lt;="&amp;A130,kCikis,"&gt;="&amp;A130,kDurum,"&lt;&gt;İptal")=0,"HATA: bu odada o tarihte misafir yok","OK"))))))</f>
        <v/>
      </c>
      <c r="H130" s="25">
        <f>IF(AND(ISNUMBER(A130),A130=RaporTarihi),COUNTIFS($A$6:A130,RaporTarihi),"")</f>
        <v/>
      </c>
    </row>
    <row r="131">
      <c r="A131" s="23" t="n"/>
      <c r="B131" s="22" t="n"/>
      <c r="C131" s="22" t="n"/>
      <c r="D131" s="24" t="n"/>
      <c r="E131" s="22" t="n"/>
      <c r="F131" s="22" t="n"/>
      <c r="G131" s="25">
        <f>IF(COUNTA(A131:F131)=0,"",IF(OR(A131="",B131="",C131="",D131="",E131=""),"HATA: eksik bilgi",IF(OR(NOT(ISNUMBER(A131)),NOT(ISNUMBER(D131)),D131&lt;=0),"HATA: tarih/tutar geçersiz",IF(C131&lt;&gt;TRIM(C131),"HATA: isimde baştaki/sondaki boşluk",IF(COUNTIF(TurAralik,E131)=0,"HATA: ödeme türü geçersiz",IF(COUNTIFS(kOda,B131,kGiris,"&lt;="&amp;A131,kCikis,"&gt;="&amp;A131,kDurum,"&lt;&gt;İptal")=0,"HATA: bu odada o tarihte misafir yok","OK"))))))</f>
        <v/>
      </c>
      <c r="H131" s="25">
        <f>IF(AND(ISNUMBER(A131),A131=RaporTarihi),COUNTIFS($A$6:A131,RaporTarihi),"")</f>
        <v/>
      </c>
    </row>
    <row r="132">
      <c r="A132" s="23" t="n"/>
      <c r="B132" s="22" t="n"/>
      <c r="C132" s="22" t="n"/>
      <c r="D132" s="24" t="n"/>
      <c r="E132" s="22" t="n"/>
      <c r="F132" s="22" t="n"/>
      <c r="G132" s="25">
        <f>IF(COUNTA(A132:F132)=0,"",IF(OR(A132="",B132="",C132="",D132="",E132=""),"HATA: eksik bilgi",IF(OR(NOT(ISNUMBER(A132)),NOT(ISNUMBER(D132)),D132&lt;=0),"HATA: tarih/tutar geçersiz",IF(C132&lt;&gt;TRIM(C132),"HATA: isimde baştaki/sondaki boşluk",IF(COUNTIF(TurAralik,E132)=0,"HATA: ödeme türü geçersiz",IF(COUNTIFS(kOda,B132,kGiris,"&lt;="&amp;A132,kCikis,"&gt;="&amp;A132,kDurum,"&lt;&gt;İptal")=0,"HATA: bu odada o tarihte misafir yok","OK"))))))</f>
        <v/>
      </c>
      <c r="H132" s="25">
        <f>IF(AND(ISNUMBER(A132),A132=RaporTarihi),COUNTIFS($A$6:A132,RaporTarihi),"")</f>
        <v/>
      </c>
    </row>
    <row r="133">
      <c r="A133" s="23" t="n"/>
      <c r="B133" s="22" t="n"/>
      <c r="C133" s="22" t="n"/>
      <c r="D133" s="24" t="n"/>
      <c r="E133" s="22" t="n"/>
      <c r="F133" s="22" t="n"/>
      <c r="G133" s="25">
        <f>IF(COUNTA(A133:F133)=0,"",IF(OR(A133="",B133="",C133="",D133="",E133=""),"HATA: eksik bilgi",IF(OR(NOT(ISNUMBER(A133)),NOT(ISNUMBER(D133)),D133&lt;=0),"HATA: tarih/tutar geçersiz",IF(C133&lt;&gt;TRIM(C133),"HATA: isimde baştaki/sondaki boşluk",IF(COUNTIF(TurAralik,E133)=0,"HATA: ödeme türü geçersiz",IF(COUNTIFS(kOda,B133,kGiris,"&lt;="&amp;A133,kCikis,"&gt;="&amp;A133,kDurum,"&lt;&gt;İptal")=0,"HATA: bu odada o tarihte misafir yok","OK"))))))</f>
        <v/>
      </c>
      <c r="H133" s="25">
        <f>IF(AND(ISNUMBER(A133),A133=RaporTarihi),COUNTIFS($A$6:A133,RaporTarihi),"")</f>
        <v/>
      </c>
    </row>
    <row r="134">
      <c r="A134" s="23" t="n"/>
      <c r="B134" s="22" t="n"/>
      <c r="C134" s="22" t="n"/>
      <c r="D134" s="24" t="n"/>
      <c r="E134" s="22" t="n"/>
      <c r="F134" s="22" t="n"/>
      <c r="G134" s="25">
        <f>IF(COUNTA(A134:F134)=0,"",IF(OR(A134="",B134="",C134="",D134="",E134=""),"HATA: eksik bilgi",IF(OR(NOT(ISNUMBER(A134)),NOT(ISNUMBER(D134)),D134&lt;=0),"HATA: tarih/tutar geçersiz",IF(C134&lt;&gt;TRIM(C134),"HATA: isimde baştaki/sondaki boşluk",IF(COUNTIF(TurAralik,E134)=0,"HATA: ödeme türü geçersiz",IF(COUNTIFS(kOda,B134,kGiris,"&lt;="&amp;A134,kCikis,"&gt;="&amp;A134,kDurum,"&lt;&gt;İptal")=0,"HATA: bu odada o tarihte misafir yok","OK"))))))</f>
        <v/>
      </c>
      <c r="H134" s="25">
        <f>IF(AND(ISNUMBER(A134),A134=RaporTarihi),COUNTIFS($A$6:A134,RaporTarihi),"")</f>
        <v/>
      </c>
    </row>
    <row r="135">
      <c r="A135" s="23" t="n"/>
      <c r="B135" s="22" t="n"/>
      <c r="C135" s="22" t="n"/>
      <c r="D135" s="24" t="n"/>
      <c r="E135" s="22" t="n"/>
      <c r="F135" s="22" t="n"/>
      <c r="G135" s="25">
        <f>IF(COUNTA(A135:F135)=0,"",IF(OR(A135="",B135="",C135="",D135="",E135=""),"HATA: eksik bilgi",IF(OR(NOT(ISNUMBER(A135)),NOT(ISNUMBER(D135)),D135&lt;=0),"HATA: tarih/tutar geçersiz",IF(C135&lt;&gt;TRIM(C135),"HATA: isimde baştaki/sondaki boşluk",IF(COUNTIF(TurAralik,E135)=0,"HATA: ödeme türü geçersiz",IF(COUNTIFS(kOda,B135,kGiris,"&lt;="&amp;A135,kCikis,"&gt;="&amp;A135,kDurum,"&lt;&gt;İptal")=0,"HATA: bu odada o tarihte misafir yok","OK"))))))</f>
        <v/>
      </c>
      <c r="H135" s="25">
        <f>IF(AND(ISNUMBER(A135),A135=RaporTarihi),COUNTIFS($A$6:A135,RaporTarihi),"")</f>
        <v/>
      </c>
    </row>
    <row r="136">
      <c r="A136" s="23" t="n"/>
      <c r="B136" s="22" t="n"/>
      <c r="C136" s="22" t="n"/>
      <c r="D136" s="24" t="n"/>
      <c r="E136" s="22" t="n"/>
      <c r="F136" s="22" t="n"/>
      <c r="G136" s="25">
        <f>IF(COUNTA(A136:F136)=0,"",IF(OR(A136="",B136="",C136="",D136="",E136=""),"HATA: eksik bilgi",IF(OR(NOT(ISNUMBER(A136)),NOT(ISNUMBER(D136)),D136&lt;=0),"HATA: tarih/tutar geçersiz",IF(C136&lt;&gt;TRIM(C136),"HATA: isimde baştaki/sondaki boşluk",IF(COUNTIF(TurAralik,E136)=0,"HATA: ödeme türü geçersiz",IF(COUNTIFS(kOda,B136,kGiris,"&lt;="&amp;A136,kCikis,"&gt;="&amp;A136,kDurum,"&lt;&gt;İptal")=0,"HATA: bu odada o tarihte misafir yok","OK"))))))</f>
        <v/>
      </c>
      <c r="H136" s="25">
        <f>IF(AND(ISNUMBER(A136),A136=RaporTarihi),COUNTIFS($A$6:A136,RaporTarihi),"")</f>
        <v/>
      </c>
    </row>
    <row r="137">
      <c r="A137" s="23" t="n"/>
      <c r="B137" s="22" t="n"/>
      <c r="C137" s="22" t="n"/>
      <c r="D137" s="24" t="n"/>
      <c r="E137" s="22" t="n"/>
      <c r="F137" s="22" t="n"/>
      <c r="G137" s="25">
        <f>IF(COUNTA(A137:F137)=0,"",IF(OR(A137="",B137="",C137="",D137="",E137=""),"HATA: eksik bilgi",IF(OR(NOT(ISNUMBER(A137)),NOT(ISNUMBER(D137)),D137&lt;=0),"HATA: tarih/tutar geçersiz",IF(C137&lt;&gt;TRIM(C137),"HATA: isimde baştaki/sondaki boşluk",IF(COUNTIF(TurAralik,E137)=0,"HATA: ödeme türü geçersiz",IF(COUNTIFS(kOda,B137,kGiris,"&lt;="&amp;A137,kCikis,"&gt;="&amp;A137,kDurum,"&lt;&gt;İptal")=0,"HATA: bu odada o tarihte misafir yok","OK"))))))</f>
        <v/>
      </c>
      <c r="H137" s="25">
        <f>IF(AND(ISNUMBER(A137),A137=RaporTarihi),COUNTIFS($A$6:A137,RaporTarihi),"")</f>
        <v/>
      </c>
    </row>
    <row r="138">
      <c r="A138" s="23" t="n"/>
      <c r="B138" s="22" t="n"/>
      <c r="C138" s="22" t="n"/>
      <c r="D138" s="24" t="n"/>
      <c r="E138" s="22" t="n"/>
      <c r="F138" s="22" t="n"/>
      <c r="G138" s="25">
        <f>IF(COUNTA(A138:F138)=0,"",IF(OR(A138="",B138="",C138="",D138="",E138=""),"HATA: eksik bilgi",IF(OR(NOT(ISNUMBER(A138)),NOT(ISNUMBER(D138)),D138&lt;=0),"HATA: tarih/tutar geçersiz",IF(C138&lt;&gt;TRIM(C138),"HATA: isimde baştaki/sondaki boşluk",IF(COUNTIF(TurAralik,E138)=0,"HATA: ödeme türü geçersiz",IF(COUNTIFS(kOda,B138,kGiris,"&lt;="&amp;A138,kCikis,"&gt;="&amp;A138,kDurum,"&lt;&gt;İptal")=0,"HATA: bu odada o tarihte misafir yok","OK"))))))</f>
        <v/>
      </c>
      <c r="H138" s="25">
        <f>IF(AND(ISNUMBER(A138),A138=RaporTarihi),COUNTIFS($A$6:A138,RaporTarihi),"")</f>
        <v/>
      </c>
    </row>
    <row r="139">
      <c r="A139" s="23" t="n"/>
      <c r="B139" s="22" t="n"/>
      <c r="C139" s="22" t="n"/>
      <c r="D139" s="24" t="n"/>
      <c r="E139" s="22" t="n"/>
      <c r="F139" s="22" t="n"/>
      <c r="G139" s="25">
        <f>IF(COUNTA(A139:F139)=0,"",IF(OR(A139="",B139="",C139="",D139="",E139=""),"HATA: eksik bilgi",IF(OR(NOT(ISNUMBER(A139)),NOT(ISNUMBER(D139)),D139&lt;=0),"HATA: tarih/tutar geçersiz",IF(C139&lt;&gt;TRIM(C139),"HATA: isimde baştaki/sondaki boşluk",IF(COUNTIF(TurAralik,E139)=0,"HATA: ödeme türü geçersiz",IF(COUNTIFS(kOda,B139,kGiris,"&lt;="&amp;A139,kCikis,"&gt;="&amp;A139,kDurum,"&lt;&gt;İptal")=0,"HATA: bu odada o tarihte misafir yok","OK"))))))</f>
        <v/>
      </c>
      <c r="H139" s="25">
        <f>IF(AND(ISNUMBER(A139),A139=RaporTarihi),COUNTIFS($A$6:A139,RaporTarihi),"")</f>
        <v/>
      </c>
    </row>
    <row r="140">
      <c r="A140" s="23" t="n"/>
      <c r="B140" s="22" t="n"/>
      <c r="C140" s="22" t="n"/>
      <c r="D140" s="24" t="n"/>
      <c r="E140" s="22" t="n"/>
      <c r="F140" s="22" t="n"/>
      <c r="G140" s="25">
        <f>IF(COUNTA(A140:F140)=0,"",IF(OR(A140="",B140="",C140="",D140="",E140=""),"HATA: eksik bilgi",IF(OR(NOT(ISNUMBER(A140)),NOT(ISNUMBER(D140)),D140&lt;=0),"HATA: tarih/tutar geçersiz",IF(C140&lt;&gt;TRIM(C140),"HATA: isimde baştaki/sondaki boşluk",IF(COUNTIF(TurAralik,E140)=0,"HATA: ödeme türü geçersiz",IF(COUNTIFS(kOda,B140,kGiris,"&lt;="&amp;A140,kCikis,"&gt;="&amp;A140,kDurum,"&lt;&gt;İptal")=0,"HATA: bu odada o tarihte misafir yok","OK"))))))</f>
        <v/>
      </c>
      <c r="H140" s="25">
        <f>IF(AND(ISNUMBER(A140),A140=RaporTarihi),COUNTIFS($A$6:A140,RaporTarihi),"")</f>
        <v/>
      </c>
    </row>
    <row r="141">
      <c r="A141" s="23" t="n"/>
      <c r="B141" s="22" t="n"/>
      <c r="C141" s="22" t="n"/>
      <c r="D141" s="24" t="n"/>
      <c r="E141" s="22" t="n"/>
      <c r="F141" s="22" t="n"/>
      <c r="G141" s="25">
        <f>IF(COUNTA(A141:F141)=0,"",IF(OR(A141="",B141="",C141="",D141="",E141=""),"HATA: eksik bilgi",IF(OR(NOT(ISNUMBER(A141)),NOT(ISNUMBER(D141)),D141&lt;=0),"HATA: tarih/tutar geçersiz",IF(C141&lt;&gt;TRIM(C141),"HATA: isimde baştaki/sondaki boşluk",IF(COUNTIF(TurAralik,E141)=0,"HATA: ödeme türü geçersiz",IF(COUNTIFS(kOda,B141,kGiris,"&lt;="&amp;A141,kCikis,"&gt;="&amp;A141,kDurum,"&lt;&gt;İptal")=0,"HATA: bu odada o tarihte misafir yok","OK"))))))</f>
        <v/>
      </c>
      <c r="H141" s="25">
        <f>IF(AND(ISNUMBER(A141),A141=RaporTarihi),COUNTIFS($A$6:A141,RaporTarihi),"")</f>
        <v/>
      </c>
    </row>
    <row r="142">
      <c r="A142" s="23" t="n"/>
      <c r="B142" s="22" t="n"/>
      <c r="C142" s="22" t="n"/>
      <c r="D142" s="24" t="n"/>
      <c r="E142" s="22" t="n"/>
      <c r="F142" s="22" t="n"/>
      <c r="G142" s="25">
        <f>IF(COUNTA(A142:F142)=0,"",IF(OR(A142="",B142="",C142="",D142="",E142=""),"HATA: eksik bilgi",IF(OR(NOT(ISNUMBER(A142)),NOT(ISNUMBER(D142)),D142&lt;=0),"HATA: tarih/tutar geçersiz",IF(C142&lt;&gt;TRIM(C142),"HATA: isimde baştaki/sondaki boşluk",IF(COUNTIF(TurAralik,E142)=0,"HATA: ödeme türü geçersiz",IF(COUNTIFS(kOda,B142,kGiris,"&lt;="&amp;A142,kCikis,"&gt;="&amp;A142,kDurum,"&lt;&gt;İptal")=0,"HATA: bu odada o tarihte misafir yok","OK"))))))</f>
        <v/>
      </c>
      <c r="H142" s="25">
        <f>IF(AND(ISNUMBER(A142),A142=RaporTarihi),COUNTIFS($A$6:A142,RaporTarihi),"")</f>
        <v/>
      </c>
    </row>
    <row r="143">
      <c r="A143" s="23" t="n"/>
      <c r="B143" s="22" t="n"/>
      <c r="C143" s="22" t="n"/>
      <c r="D143" s="24" t="n"/>
      <c r="E143" s="22" t="n"/>
      <c r="F143" s="22" t="n"/>
      <c r="G143" s="25">
        <f>IF(COUNTA(A143:F143)=0,"",IF(OR(A143="",B143="",C143="",D143="",E143=""),"HATA: eksik bilgi",IF(OR(NOT(ISNUMBER(A143)),NOT(ISNUMBER(D143)),D143&lt;=0),"HATA: tarih/tutar geçersiz",IF(C143&lt;&gt;TRIM(C143),"HATA: isimde baştaki/sondaki boşluk",IF(COUNTIF(TurAralik,E143)=0,"HATA: ödeme türü geçersiz",IF(COUNTIFS(kOda,B143,kGiris,"&lt;="&amp;A143,kCikis,"&gt;="&amp;A143,kDurum,"&lt;&gt;İptal")=0,"HATA: bu odada o tarihte misafir yok","OK"))))))</f>
        <v/>
      </c>
      <c r="H143" s="25">
        <f>IF(AND(ISNUMBER(A143),A143=RaporTarihi),COUNTIFS($A$6:A143,RaporTarihi),"")</f>
        <v/>
      </c>
    </row>
    <row r="144">
      <c r="A144" s="23" t="n"/>
      <c r="B144" s="22" t="n"/>
      <c r="C144" s="22" t="n"/>
      <c r="D144" s="24" t="n"/>
      <c r="E144" s="22" t="n"/>
      <c r="F144" s="22" t="n"/>
      <c r="G144" s="25">
        <f>IF(COUNTA(A144:F144)=0,"",IF(OR(A144="",B144="",C144="",D144="",E144=""),"HATA: eksik bilgi",IF(OR(NOT(ISNUMBER(A144)),NOT(ISNUMBER(D144)),D144&lt;=0),"HATA: tarih/tutar geçersiz",IF(C144&lt;&gt;TRIM(C144),"HATA: isimde baştaki/sondaki boşluk",IF(COUNTIF(TurAralik,E144)=0,"HATA: ödeme türü geçersiz",IF(COUNTIFS(kOda,B144,kGiris,"&lt;="&amp;A144,kCikis,"&gt;="&amp;A144,kDurum,"&lt;&gt;İptal")=0,"HATA: bu odada o tarihte misafir yok","OK"))))))</f>
        <v/>
      </c>
      <c r="H144" s="25">
        <f>IF(AND(ISNUMBER(A144),A144=RaporTarihi),COUNTIFS($A$6:A144,RaporTarihi),"")</f>
        <v/>
      </c>
    </row>
    <row r="145">
      <c r="A145" s="23" t="n"/>
      <c r="B145" s="22" t="n"/>
      <c r="C145" s="22" t="n"/>
      <c r="D145" s="24" t="n"/>
      <c r="E145" s="22" t="n"/>
      <c r="F145" s="22" t="n"/>
      <c r="G145" s="25">
        <f>IF(COUNTA(A145:F145)=0,"",IF(OR(A145="",B145="",C145="",D145="",E145=""),"HATA: eksik bilgi",IF(OR(NOT(ISNUMBER(A145)),NOT(ISNUMBER(D145)),D145&lt;=0),"HATA: tarih/tutar geçersiz",IF(C145&lt;&gt;TRIM(C145),"HATA: isimde baştaki/sondaki boşluk",IF(COUNTIF(TurAralik,E145)=0,"HATA: ödeme türü geçersiz",IF(COUNTIFS(kOda,B145,kGiris,"&lt;="&amp;A145,kCikis,"&gt;="&amp;A145,kDurum,"&lt;&gt;İptal")=0,"HATA: bu odada o tarihte misafir yok","OK"))))))</f>
        <v/>
      </c>
      <c r="H145" s="25">
        <f>IF(AND(ISNUMBER(A145),A145=RaporTarihi),COUNTIFS($A$6:A145,RaporTarihi),"")</f>
        <v/>
      </c>
    </row>
    <row r="146">
      <c r="A146" s="23" t="n"/>
      <c r="B146" s="22" t="n"/>
      <c r="C146" s="22" t="n"/>
      <c r="D146" s="24" t="n"/>
      <c r="E146" s="22" t="n"/>
      <c r="F146" s="22" t="n"/>
      <c r="G146" s="25">
        <f>IF(COUNTA(A146:F146)=0,"",IF(OR(A146="",B146="",C146="",D146="",E146=""),"HATA: eksik bilgi",IF(OR(NOT(ISNUMBER(A146)),NOT(ISNUMBER(D146)),D146&lt;=0),"HATA: tarih/tutar geçersiz",IF(C146&lt;&gt;TRIM(C146),"HATA: isimde baştaki/sondaki boşluk",IF(COUNTIF(TurAralik,E146)=0,"HATA: ödeme türü geçersiz",IF(COUNTIFS(kOda,B146,kGiris,"&lt;="&amp;A146,kCikis,"&gt;="&amp;A146,kDurum,"&lt;&gt;İptal")=0,"HATA: bu odada o tarihte misafir yok","OK"))))))</f>
        <v/>
      </c>
      <c r="H146" s="25">
        <f>IF(AND(ISNUMBER(A146),A146=RaporTarihi),COUNTIFS($A$6:A146,RaporTarihi),"")</f>
        <v/>
      </c>
    </row>
    <row r="147">
      <c r="A147" s="23" t="n"/>
      <c r="B147" s="22" t="n"/>
      <c r="C147" s="22" t="n"/>
      <c r="D147" s="24" t="n"/>
      <c r="E147" s="22" t="n"/>
      <c r="F147" s="22" t="n"/>
      <c r="G147" s="25">
        <f>IF(COUNTA(A147:F147)=0,"",IF(OR(A147="",B147="",C147="",D147="",E147=""),"HATA: eksik bilgi",IF(OR(NOT(ISNUMBER(A147)),NOT(ISNUMBER(D147)),D147&lt;=0),"HATA: tarih/tutar geçersiz",IF(C147&lt;&gt;TRIM(C147),"HATA: isimde baştaki/sondaki boşluk",IF(COUNTIF(TurAralik,E147)=0,"HATA: ödeme türü geçersiz",IF(COUNTIFS(kOda,B147,kGiris,"&lt;="&amp;A147,kCikis,"&gt;="&amp;A147,kDurum,"&lt;&gt;İptal")=0,"HATA: bu odada o tarihte misafir yok","OK"))))))</f>
        <v/>
      </c>
      <c r="H147" s="25">
        <f>IF(AND(ISNUMBER(A147),A147=RaporTarihi),COUNTIFS($A$6:A147,RaporTarihi),"")</f>
        <v/>
      </c>
    </row>
    <row r="148">
      <c r="A148" s="23" t="n"/>
      <c r="B148" s="22" t="n"/>
      <c r="C148" s="22" t="n"/>
      <c r="D148" s="24" t="n"/>
      <c r="E148" s="22" t="n"/>
      <c r="F148" s="22" t="n"/>
      <c r="G148" s="25">
        <f>IF(COUNTA(A148:F148)=0,"",IF(OR(A148="",B148="",C148="",D148="",E148=""),"HATA: eksik bilgi",IF(OR(NOT(ISNUMBER(A148)),NOT(ISNUMBER(D148)),D148&lt;=0),"HATA: tarih/tutar geçersiz",IF(C148&lt;&gt;TRIM(C148),"HATA: isimde baştaki/sondaki boşluk",IF(COUNTIF(TurAralik,E148)=0,"HATA: ödeme türü geçersiz",IF(COUNTIFS(kOda,B148,kGiris,"&lt;="&amp;A148,kCikis,"&gt;="&amp;A148,kDurum,"&lt;&gt;İptal")=0,"HATA: bu odada o tarihte misafir yok","OK"))))))</f>
        <v/>
      </c>
      <c r="H148" s="25">
        <f>IF(AND(ISNUMBER(A148),A148=RaporTarihi),COUNTIFS($A$6:A148,RaporTarihi),"")</f>
        <v/>
      </c>
    </row>
    <row r="149">
      <c r="A149" s="23" t="n"/>
      <c r="B149" s="22" t="n"/>
      <c r="C149" s="22" t="n"/>
      <c r="D149" s="24" t="n"/>
      <c r="E149" s="22" t="n"/>
      <c r="F149" s="22" t="n"/>
      <c r="G149" s="25">
        <f>IF(COUNTA(A149:F149)=0,"",IF(OR(A149="",B149="",C149="",D149="",E149=""),"HATA: eksik bilgi",IF(OR(NOT(ISNUMBER(A149)),NOT(ISNUMBER(D149)),D149&lt;=0),"HATA: tarih/tutar geçersiz",IF(C149&lt;&gt;TRIM(C149),"HATA: isimde baştaki/sondaki boşluk",IF(COUNTIF(TurAralik,E149)=0,"HATA: ödeme türü geçersiz",IF(COUNTIFS(kOda,B149,kGiris,"&lt;="&amp;A149,kCikis,"&gt;="&amp;A149,kDurum,"&lt;&gt;İptal")=0,"HATA: bu odada o tarihte misafir yok","OK"))))))</f>
        <v/>
      </c>
      <c r="H149" s="25">
        <f>IF(AND(ISNUMBER(A149),A149=RaporTarihi),COUNTIFS($A$6:A149,RaporTarihi),"")</f>
        <v/>
      </c>
    </row>
    <row r="150">
      <c r="A150" s="23" t="n"/>
      <c r="B150" s="22" t="n"/>
      <c r="C150" s="22" t="n"/>
      <c r="D150" s="24" t="n"/>
      <c r="E150" s="22" t="n"/>
      <c r="F150" s="22" t="n"/>
      <c r="G150" s="25">
        <f>IF(COUNTA(A150:F150)=0,"",IF(OR(A150="",B150="",C150="",D150="",E150=""),"HATA: eksik bilgi",IF(OR(NOT(ISNUMBER(A150)),NOT(ISNUMBER(D150)),D150&lt;=0),"HATA: tarih/tutar geçersiz",IF(C150&lt;&gt;TRIM(C150),"HATA: isimde baştaki/sondaki boşluk",IF(COUNTIF(TurAralik,E150)=0,"HATA: ödeme türü geçersiz",IF(COUNTIFS(kOda,B150,kGiris,"&lt;="&amp;A150,kCikis,"&gt;="&amp;A150,kDurum,"&lt;&gt;İptal")=0,"HATA: bu odada o tarihte misafir yok","OK"))))))</f>
        <v/>
      </c>
      <c r="H150" s="25">
        <f>IF(AND(ISNUMBER(A150),A150=RaporTarihi),COUNTIFS($A$6:A150,RaporTarihi),"")</f>
        <v/>
      </c>
    </row>
    <row r="151">
      <c r="A151" s="23" t="n"/>
      <c r="B151" s="22" t="n"/>
      <c r="C151" s="22" t="n"/>
      <c r="D151" s="24" t="n"/>
      <c r="E151" s="22" t="n"/>
      <c r="F151" s="22" t="n"/>
      <c r="G151" s="25">
        <f>IF(COUNTA(A151:F151)=0,"",IF(OR(A151="",B151="",C151="",D151="",E151=""),"HATA: eksik bilgi",IF(OR(NOT(ISNUMBER(A151)),NOT(ISNUMBER(D151)),D151&lt;=0),"HATA: tarih/tutar geçersiz",IF(C151&lt;&gt;TRIM(C151),"HATA: isimde baştaki/sondaki boşluk",IF(COUNTIF(TurAralik,E151)=0,"HATA: ödeme türü geçersiz",IF(COUNTIFS(kOda,B151,kGiris,"&lt;="&amp;A151,kCikis,"&gt;="&amp;A151,kDurum,"&lt;&gt;İptal")=0,"HATA: bu odada o tarihte misafir yok","OK"))))))</f>
        <v/>
      </c>
      <c r="H151" s="25">
        <f>IF(AND(ISNUMBER(A151),A151=RaporTarihi),COUNTIFS($A$6:A151,RaporTarihi),"")</f>
        <v/>
      </c>
    </row>
    <row r="152">
      <c r="A152" s="23" t="n"/>
      <c r="B152" s="22" t="n"/>
      <c r="C152" s="22" t="n"/>
      <c r="D152" s="24" t="n"/>
      <c r="E152" s="22" t="n"/>
      <c r="F152" s="22" t="n"/>
      <c r="G152" s="25">
        <f>IF(COUNTA(A152:F152)=0,"",IF(OR(A152="",B152="",C152="",D152="",E152=""),"HATA: eksik bilgi",IF(OR(NOT(ISNUMBER(A152)),NOT(ISNUMBER(D152)),D152&lt;=0),"HATA: tarih/tutar geçersiz",IF(C152&lt;&gt;TRIM(C152),"HATA: isimde baştaki/sondaki boşluk",IF(COUNTIF(TurAralik,E152)=0,"HATA: ödeme türü geçersiz",IF(COUNTIFS(kOda,B152,kGiris,"&lt;="&amp;A152,kCikis,"&gt;="&amp;A152,kDurum,"&lt;&gt;İptal")=0,"HATA: bu odada o tarihte misafir yok","OK"))))))</f>
        <v/>
      </c>
      <c r="H152" s="25">
        <f>IF(AND(ISNUMBER(A152),A152=RaporTarihi),COUNTIFS($A$6:A152,RaporTarihi),"")</f>
        <v/>
      </c>
    </row>
    <row r="153">
      <c r="A153" s="23" t="n"/>
      <c r="B153" s="22" t="n"/>
      <c r="C153" s="22" t="n"/>
      <c r="D153" s="24" t="n"/>
      <c r="E153" s="22" t="n"/>
      <c r="F153" s="22" t="n"/>
      <c r="G153" s="25">
        <f>IF(COUNTA(A153:F153)=0,"",IF(OR(A153="",B153="",C153="",D153="",E153=""),"HATA: eksik bilgi",IF(OR(NOT(ISNUMBER(A153)),NOT(ISNUMBER(D153)),D153&lt;=0),"HATA: tarih/tutar geçersiz",IF(C153&lt;&gt;TRIM(C153),"HATA: isimde baştaki/sondaki boşluk",IF(COUNTIF(TurAralik,E153)=0,"HATA: ödeme türü geçersiz",IF(COUNTIFS(kOda,B153,kGiris,"&lt;="&amp;A153,kCikis,"&gt;="&amp;A153,kDurum,"&lt;&gt;İptal")=0,"HATA: bu odada o tarihte misafir yok","OK"))))))</f>
        <v/>
      </c>
      <c r="H153" s="25">
        <f>IF(AND(ISNUMBER(A153),A153=RaporTarihi),COUNTIFS($A$6:A153,RaporTarihi),"")</f>
        <v/>
      </c>
    </row>
    <row r="154">
      <c r="A154" s="23" t="n"/>
      <c r="B154" s="22" t="n"/>
      <c r="C154" s="22" t="n"/>
      <c r="D154" s="24" t="n"/>
      <c r="E154" s="22" t="n"/>
      <c r="F154" s="22" t="n"/>
      <c r="G154" s="25">
        <f>IF(COUNTA(A154:F154)=0,"",IF(OR(A154="",B154="",C154="",D154="",E154=""),"HATA: eksik bilgi",IF(OR(NOT(ISNUMBER(A154)),NOT(ISNUMBER(D154)),D154&lt;=0),"HATA: tarih/tutar geçersiz",IF(C154&lt;&gt;TRIM(C154),"HATA: isimde baştaki/sondaki boşluk",IF(COUNTIF(TurAralik,E154)=0,"HATA: ödeme türü geçersiz",IF(COUNTIFS(kOda,B154,kGiris,"&lt;="&amp;A154,kCikis,"&gt;="&amp;A154,kDurum,"&lt;&gt;İptal")=0,"HATA: bu odada o tarihte misafir yok","OK"))))))</f>
        <v/>
      </c>
      <c r="H154" s="25">
        <f>IF(AND(ISNUMBER(A154),A154=RaporTarihi),COUNTIFS($A$6:A154,RaporTarihi),"")</f>
        <v/>
      </c>
    </row>
    <row r="155">
      <c r="A155" s="23" t="n"/>
      <c r="B155" s="22" t="n"/>
      <c r="C155" s="22" t="n"/>
      <c r="D155" s="24" t="n"/>
      <c r="E155" s="22" t="n"/>
      <c r="F155" s="22" t="n"/>
      <c r="G155" s="25">
        <f>IF(COUNTA(A155:F155)=0,"",IF(OR(A155="",B155="",C155="",D155="",E155=""),"HATA: eksik bilgi",IF(OR(NOT(ISNUMBER(A155)),NOT(ISNUMBER(D155)),D155&lt;=0),"HATA: tarih/tutar geçersiz",IF(C155&lt;&gt;TRIM(C155),"HATA: isimde baştaki/sondaki boşluk",IF(COUNTIF(TurAralik,E155)=0,"HATA: ödeme türü geçersiz",IF(COUNTIFS(kOda,B155,kGiris,"&lt;="&amp;A155,kCikis,"&gt;="&amp;A155,kDurum,"&lt;&gt;İptal")=0,"HATA: bu odada o tarihte misafir yok","OK"))))))</f>
        <v/>
      </c>
      <c r="H155" s="25">
        <f>IF(AND(ISNUMBER(A155),A155=RaporTarihi),COUNTIFS($A$6:A155,RaporTarihi),"")</f>
        <v/>
      </c>
    </row>
    <row r="156">
      <c r="A156" s="23" t="n"/>
      <c r="B156" s="22" t="n"/>
      <c r="C156" s="22" t="n"/>
      <c r="D156" s="24" t="n"/>
      <c r="E156" s="22" t="n"/>
      <c r="F156" s="22" t="n"/>
      <c r="G156" s="25">
        <f>IF(COUNTA(A156:F156)=0,"",IF(OR(A156="",B156="",C156="",D156="",E156=""),"HATA: eksik bilgi",IF(OR(NOT(ISNUMBER(A156)),NOT(ISNUMBER(D156)),D156&lt;=0),"HATA: tarih/tutar geçersiz",IF(C156&lt;&gt;TRIM(C156),"HATA: isimde baştaki/sondaki boşluk",IF(COUNTIF(TurAralik,E156)=0,"HATA: ödeme türü geçersiz",IF(COUNTIFS(kOda,B156,kGiris,"&lt;="&amp;A156,kCikis,"&gt;="&amp;A156,kDurum,"&lt;&gt;İptal")=0,"HATA: bu odada o tarihte misafir yok","OK"))))))</f>
        <v/>
      </c>
      <c r="H156" s="25">
        <f>IF(AND(ISNUMBER(A156),A156=RaporTarihi),COUNTIFS($A$6:A156,RaporTarihi),"")</f>
        <v/>
      </c>
    </row>
    <row r="157">
      <c r="A157" s="23" t="n"/>
      <c r="B157" s="22" t="n"/>
      <c r="C157" s="22" t="n"/>
      <c r="D157" s="24" t="n"/>
      <c r="E157" s="22" t="n"/>
      <c r="F157" s="22" t="n"/>
      <c r="G157" s="25">
        <f>IF(COUNTA(A157:F157)=0,"",IF(OR(A157="",B157="",C157="",D157="",E157=""),"HATA: eksik bilgi",IF(OR(NOT(ISNUMBER(A157)),NOT(ISNUMBER(D157)),D157&lt;=0),"HATA: tarih/tutar geçersiz",IF(C157&lt;&gt;TRIM(C157),"HATA: isimde baştaki/sondaki boşluk",IF(COUNTIF(TurAralik,E157)=0,"HATA: ödeme türü geçersiz",IF(COUNTIFS(kOda,B157,kGiris,"&lt;="&amp;A157,kCikis,"&gt;="&amp;A157,kDurum,"&lt;&gt;İptal")=0,"HATA: bu odada o tarihte misafir yok","OK"))))))</f>
        <v/>
      </c>
      <c r="H157" s="25">
        <f>IF(AND(ISNUMBER(A157),A157=RaporTarihi),COUNTIFS($A$6:A157,RaporTarihi),"")</f>
        <v/>
      </c>
    </row>
    <row r="158">
      <c r="A158" s="23" t="n"/>
      <c r="B158" s="22" t="n"/>
      <c r="C158" s="22" t="n"/>
      <c r="D158" s="24" t="n"/>
      <c r="E158" s="22" t="n"/>
      <c r="F158" s="22" t="n"/>
      <c r="G158" s="25">
        <f>IF(COUNTA(A158:F158)=0,"",IF(OR(A158="",B158="",C158="",D158="",E158=""),"HATA: eksik bilgi",IF(OR(NOT(ISNUMBER(A158)),NOT(ISNUMBER(D158)),D158&lt;=0),"HATA: tarih/tutar geçersiz",IF(C158&lt;&gt;TRIM(C158),"HATA: isimde baştaki/sondaki boşluk",IF(COUNTIF(TurAralik,E158)=0,"HATA: ödeme türü geçersiz",IF(COUNTIFS(kOda,B158,kGiris,"&lt;="&amp;A158,kCikis,"&gt;="&amp;A158,kDurum,"&lt;&gt;İptal")=0,"HATA: bu odada o tarihte misafir yok","OK"))))))</f>
        <v/>
      </c>
      <c r="H158" s="25">
        <f>IF(AND(ISNUMBER(A158),A158=RaporTarihi),COUNTIFS($A$6:A158,RaporTarihi),"")</f>
        <v/>
      </c>
    </row>
    <row r="159">
      <c r="A159" s="23" t="n"/>
      <c r="B159" s="22" t="n"/>
      <c r="C159" s="22" t="n"/>
      <c r="D159" s="24" t="n"/>
      <c r="E159" s="22" t="n"/>
      <c r="F159" s="22" t="n"/>
      <c r="G159" s="25">
        <f>IF(COUNTA(A159:F159)=0,"",IF(OR(A159="",B159="",C159="",D159="",E159=""),"HATA: eksik bilgi",IF(OR(NOT(ISNUMBER(A159)),NOT(ISNUMBER(D159)),D159&lt;=0),"HATA: tarih/tutar geçersiz",IF(C159&lt;&gt;TRIM(C159),"HATA: isimde baştaki/sondaki boşluk",IF(COUNTIF(TurAralik,E159)=0,"HATA: ödeme türü geçersiz",IF(COUNTIFS(kOda,B159,kGiris,"&lt;="&amp;A159,kCikis,"&gt;="&amp;A159,kDurum,"&lt;&gt;İptal")=0,"HATA: bu odada o tarihte misafir yok","OK"))))))</f>
        <v/>
      </c>
      <c r="H159" s="25">
        <f>IF(AND(ISNUMBER(A159),A159=RaporTarihi),COUNTIFS($A$6:A159,RaporTarihi),"")</f>
        <v/>
      </c>
    </row>
    <row r="160">
      <c r="A160" s="23" t="n"/>
      <c r="B160" s="22" t="n"/>
      <c r="C160" s="22" t="n"/>
      <c r="D160" s="24" t="n"/>
      <c r="E160" s="22" t="n"/>
      <c r="F160" s="22" t="n"/>
      <c r="G160" s="25">
        <f>IF(COUNTA(A160:F160)=0,"",IF(OR(A160="",B160="",C160="",D160="",E160=""),"HATA: eksik bilgi",IF(OR(NOT(ISNUMBER(A160)),NOT(ISNUMBER(D160)),D160&lt;=0),"HATA: tarih/tutar geçersiz",IF(C160&lt;&gt;TRIM(C160),"HATA: isimde baştaki/sondaki boşluk",IF(COUNTIF(TurAralik,E160)=0,"HATA: ödeme türü geçersiz",IF(COUNTIFS(kOda,B160,kGiris,"&lt;="&amp;A160,kCikis,"&gt;="&amp;A160,kDurum,"&lt;&gt;İptal")=0,"HATA: bu odada o tarihte misafir yok","OK"))))))</f>
        <v/>
      </c>
      <c r="H160" s="25">
        <f>IF(AND(ISNUMBER(A160),A160=RaporTarihi),COUNTIFS($A$6:A160,RaporTarihi),"")</f>
        <v/>
      </c>
    </row>
    <row r="161">
      <c r="A161" s="23" t="n"/>
      <c r="B161" s="22" t="n"/>
      <c r="C161" s="22" t="n"/>
      <c r="D161" s="24" t="n"/>
      <c r="E161" s="22" t="n"/>
      <c r="F161" s="22" t="n"/>
      <c r="G161" s="25">
        <f>IF(COUNTA(A161:F161)=0,"",IF(OR(A161="",B161="",C161="",D161="",E161=""),"HATA: eksik bilgi",IF(OR(NOT(ISNUMBER(A161)),NOT(ISNUMBER(D161)),D161&lt;=0),"HATA: tarih/tutar geçersiz",IF(C161&lt;&gt;TRIM(C161),"HATA: isimde baştaki/sondaki boşluk",IF(COUNTIF(TurAralik,E161)=0,"HATA: ödeme türü geçersiz",IF(COUNTIFS(kOda,B161,kGiris,"&lt;="&amp;A161,kCikis,"&gt;="&amp;A161,kDurum,"&lt;&gt;İptal")=0,"HATA: bu odada o tarihte misafir yok","OK"))))))</f>
        <v/>
      </c>
      <c r="H161" s="25">
        <f>IF(AND(ISNUMBER(A161),A161=RaporTarihi),COUNTIFS($A$6:A161,RaporTarihi),"")</f>
        <v/>
      </c>
    </row>
    <row r="162">
      <c r="A162" s="23" t="n"/>
      <c r="B162" s="22" t="n"/>
      <c r="C162" s="22" t="n"/>
      <c r="D162" s="24" t="n"/>
      <c r="E162" s="22" t="n"/>
      <c r="F162" s="22" t="n"/>
      <c r="G162" s="25">
        <f>IF(COUNTA(A162:F162)=0,"",IF(OR(A162="",B162="",C162="",D162="",E162=""),"HATA: eksik bilgi",IF(OR(NOT(ISNUMBER(A162)),NOT(ISNUMBER(D162)),D162&lt;=0),"HATA: tarih/tutar geçersiz",IF(C162&lt;&gt;TRIM(C162),"HATA: isimde baştaki/sondaki boşluk",IF(COUNTIF(TurAralik,E162)=0,"HATA: ödeme türü geçersiz",IF(COUNTIFS(kOda,B162,kGiris,"&lt;="&amp;A162,kCikis,"&gt;="&amp;A162,kDurum,"&lt;&gt;İptal")=0,"HATA: bu odada o tarihte misafir yok","OK"))))))</f>
        <v/>
      </c>
      <c r="H162" s="25">
        <f>IF(AND(ISNUMBER(A162),A162=RaporTarihi),COUNTIFS($A$6:A162,RaporTarihi),"")</f>
        <v/>
      </c>
    </row>
    <row r="163">
      <c r="A163" s="23" t="n"/>
      <c r="B163" s="22" t="n"/>
      <c r="C163" s="22" t="n"/>
      <c r="D163" s="24" t="n"/>
      <c r="E163" s="22" t="n"/>
      <c r="F163" s="22" t="n"/>
      <c r="G163" s="25">
        <f>IF(COUNTA(A163:F163)=0,"",IF(OR(A163="",B163="",C163="",D163="",E163=""),"HATA: eksik bilgi",IF(OR(NOT(ISNUMBER(A163)),NOT(ISNUMBER(D163)),D163&lt;=0),"HATA: tarih/tutar geçersiz",IF(C163&lt;&gt;TRIM(C163),"HATA: isimde baştaki/sondaki boşluk",IF(COUNTIF(TurAralik,E163)=0,"HATA: ödeme türü geçersiz",IF(COUNTIFS(kOda,B163,kGiris,"&lt;="&amp;A163,kCikis,"&gt;="&amp;A163,kDurum,"&lt;&gt;İptal")=0,"HATA: bu odada o tarihte misafir yok","OK"))))))</f>
        <v/>
      </c>
      <c r="H163" s="25">
        <f>IF(AND(ISNUMBER(A163),A163=RaporTarihi),COUNTIFS($A$6:A163,RaporTarihi),"")</f>
        <v/>
      </c>
    </row>
    <row r="164">
      <c r="A164" s="23" t="n"/>
      <c r="B164" s="22" t="n"/>
      <c r="C164" s="22" t="n"/>
      <c r="D164" s="24" t="n"/>
      <c r="E164" s="22" t="n"/>
      <c r="F164" s="22" t="n"/>
      <c r="G164" s="25">
        <f>IF(COUNTA(A164:F164)=0,"",IF(OR(A164="",B164="",C164="",D164="",E164=""),"HATA: eksik bilgi",IF(OR(NOT(ISNUMBER(A164)),NOT(ISNUMBER(D164)),D164&lt;=0),"HATA: tarih/tutar geçersiz",IF(C164&lt;&gt;TRIM(C164),"HATA: isimde baştaki/sondaki boşluk",IF(COUNTIF(TurAralik,E164)=0,"HATA: ödeme türü geçersiz",IF(COUNTIFS(kOda,B164,kGiris,"&lt;="&amp;A164,kCikis,"&gt;="&amp;A164,kDurum,"&lt;&gt;İptal")=0,"HATA: bu odada o tarihte misafir yok","OK"))))))</f>
        <v/>
      </c>
      <c r="H164" s="25">
        <f>IF(AND(ISNUMBER(A164),A164=RaporTarihi),COUNTIFS($A$6:A164,RaporTarihi),"")</f>
        <v/>
      </c>
    </row>
    <row r="165">
      <c r="A165" s="23" t="n"/>
      <c r="B165" s="22" t="n"/>
      <c r="C165" s="22" t="n"/>
      <c r="D165" s="24" t="n"/>
      <c r="E165" s="22" t="n"/>
      <c r="F165" s="22" t="n"/>
      <c r="G165" s="25">
        <f>IF(COUNTA(A165:F165)=0,"",IF(OR(A165="",B165="",C165="",D165="",E165=""),"HATA: eksik bilgi",IF(OR(NOT(ISNUMBER(A165)),NOT(ISNUMBER(D165)),D165&lt;=0),"HATA: tarih/tutar geçersiz",IF(C165&lt;&gt;TRIM(C165),"HATA: isimde baştaki/sondaki boşluk",IF(COUNTIF(TurAralik,E165)=0,"HATA: ödeme türü geçersiz",IF(COUNTIFS(kOda,B165,kGiris,"&lt;="&amp;A165,kCikis,"&gt;="&amp;A165,kDurum,"&lt;&gt;İptal")=0,"HATA: bu odada o tarihte misafir yok","OK"))))))</f>
        <v/>
      </c>
      <c r="H165" s="25">
        <f>IF(AND(ISNUMBER(A165),A165=RaporTarihi),COUNTIFS($A$6:A165,RaporTarihi),"")</f>
        <v/>
      </c>
    </row>
    <row r="166">
      <c r="A166" s="23" t="n"/>
      <c r="B166" s="22" t="n"/>
      <c r="C166" s="22" t="n"/>
      <c r="D166" s="24" t="n"/>
      <c r="E166" s="22" t="n"/>
      <c r="F166" s="22" t="n"/>
      <c r="G166" s="25">
        <f>IF(COUNTA(A166:F166)=0,"",IF(OR(A166="",B166="",C166="",D166="",E166=""),"HATA: eksik bilgi",IF(OR(NOT(ISNUMBER(A166)),NOT(ISNUMBER(D166)),D166&lt;=0),"HATA: tarih/tutar geçersiz",IF(C166&lt;&gt;TRIM(C166),"HATA: isimde baştaki/sondaki boşluk",IF(COUNTIF(TurAralik,E166)=0,"HATA: ödeme türü geçersiz",IF(COUNTIFS(kOda,B166,kGiris,"&lt;="&amp;A166,kCikis,"&gt;="&amp;A166,kDurum,"&lt;&gt;İptal")=0,"HATA: bu odada o tarihte misafir yok","OK"))))))</f>
        <v/>
      </c>
      <c r="H166" s="25">
        <f>IF(AND(ISNUMBER(A166),A166=RaporTarihi),COUNTIFS($A$6:A166,RaporTarihi),"")</f>
        <v/>
      </c>
    </row>
    <row r="167">
      <c r="A167" s="23" t="n"/>
      <c r="B167" s="22" t="n"/>
      <c r="C167" s="22" t="n"/>
      <c r="D167" s="24" t="n"/>
      <c r="E167" s="22" t="n"/>
      <c r="F167" s="22" t="n"/>
      <c r="G167" s="25">
        <f>IF(COUNTA(A167:F167)=0,"",IF(OR(A167="",B167="",C167="",D167="",E167=""),"HATA: eksik bilgi",IF(OR(NOT(ISNUMBER(A167)),NOT(ISNUMBER(D167)),D167&lt;=0),"HATA: tarih/tutar geçersiz",IF(C167&lt;&gt;TRIM(C167),"HATA: isimde baştaki/sondaki boşluk",IF(COUNTIF(TurAralik,E167)=0,"HATA: ödeme türü geçersiz",IF(COUNTIFS(kOda,B167,kGiris,"&lt;="&amp;A167,kCikis,"&gt;="&amp;A167,kDurum,"&lt;&gt;İptal")=0,"HATA: bu odada o tarihte misafir yok","OK"))))))</f>
        <v/>
      </c>
      <c r="H167" s="25">
        <f>IF(AND(ISNUMBER(A167),A167=RaporTarihi),COUNTIFS($A$6:A167,RaporTarihi),"")</f>
        <v/>
      </c>
    </row>
    <row r="168">
      <c r="A168" s="23" t="n"/>
      <c r="B168" s="22" t="n"/>
      <c r="C168" s="22" t="n"/>
      <c r="D168" s="24" t="n"/>
      <c r="E168" s="22" t="n"/>
      <c r="F168" s="22" t="n"/>
      <c r="G168" s="25">
        <f>IF(COUNTA(A168:F168)=0,"",IF(OR(A168="",B168="",C168="",D168="",E168=""),"HATA: eksik bilgi",IF(OR(NOT(ISNUMBER(A168)),NOT(ISNUMBER(D168)),D168&lt;=0),"HATA: tarih/tutar geçersiz",IF(C168&lt;&gt;TRIM(C168),"HATA: isimde baştaki/sondaki boşluk",IF(COUNTIF(TurAralik,E168)=0,"HATA: ödeme türü geçersiz",IF(COUNTIFS(kOda,B168,kGiris,"&lt;="&amp;A168,kCikis,"&gt;="&amp;A168,kDurum,"&lt;&gt;İptal")=0,"HATA: bu odada o tarihte misafir yok","OK"))))))</f>
        <v/>
      </c>
      <c r="H168" s="25">
        <f>IF(AND(ISNUMBER(A168),A168=RaporTarihi),COUNTIFS($A$6:A168,RaporTarihi),"")</f>
        <v/>
      </c>
    </row>
    <row r="169">
      <c r="A169" s="23" t="n"/>
      <c r="B169" s="22" t="n"/>
      <c r="C169" s="22" t="n"/>
      <c r="D169" s="24" t="n"/>
      <c r="E169" s="22" t="n"/>
      <c r="F169" s="22" t="n"/>
      <c r="G169" s="25">
        <f>IF(COUNTA(A169:F169)=0,"",IF(OR(A169="",B169="",C169="",D169="",E169=""),"HATA: eksik bilgi",IF(OR(NOT(ISNUMBER(A169)),NOT(ISNUMBER(D169)),D169&lt;=0),"HATA: tarih/tutar geçersiz",IF(C169&lt;&gt;TRIM(C169),"HATA: isimde baştaki/sondaki boşluk",IF(COUNTIF(TurAralik,E169)=0,"HATA: ödeme türü geçersiz",IF(COUNTIFS(kOda,B169,kGiris,"&lt;="&amp;A169,kCikis,"&gt;="&amp;A169,kDurum,"&lt;&gt;İptal")=0,"HATA: bu odada o tarihte misafir yok","OK"))))))</f>
        <v/>
      </c>
      <c r="H169" s="25">
        <f>IF(AND(ISNUMBER(A169),A169=RaporTarihi),COUNTIFS($A$6:A169,RaporTarihi),"")</f>
        <v/>
      </c>
    </row>
    <row r="170">
      <c r="A170" s="23" t="n"/>
      <c r="B170" s="22" t="n"/>
      <c r="C170" s="22" t="n"/>
      <c r="D170" s="24" t="n"/>
      <c r="E170" s="22" t="n"/>
      <c r="F170" s="22" t="n"/>
      <c r="G170" s="25">
        <f>IF(COUNTA(A170:F170)=0,"",IF(OR(A170="",B170="",C170="",D170="",E170=""),"HATA: eksik bilgi",IF(OR(NOT(ISNUMBER(A170)),NOT(ISNUMBER(D170)),D170&lt;=0),"HATA: tarih/tutar geçersiz",IF(C170&lt;&gt;TRIM(C170),"HATA: isimde baştaki/sondaki boşluk",IF(COUNTIF(TurAralik,E170)=0,"HATA: ödeme türü geçersiz",IF(COUNTIFS(kOda,B170,kGiris,"&lt;="&amp;A170,kCikis,"&gt;="&amp;A170,kDurum,"&lt;&gt;İptal")=0,"HATA: bu odada o tarihte misafir yok","OK"))))))</f>
        <v/>
      </c>
      <c r="H170" s="25">
        <f>IF(AND(ISNUMBER(A170),A170=RaporTarihi),COUNTIFS($A$6:A170,RaporTarihi),"")</f>
        <v/>
      </c>
    </row>
    <row r="171">
      <c r="A171" s="23" t="n"/>
      <c r="B171" s="22" t="n"/>
      <c r="C171" s="22" t="n"/>
      <c r="D171" s="24" t="n"/>
      <c r="E171" s="22" t="n"/>
      <c r="F171" s="22" t="n"/>
      <c r="G171" s="25">
        <f>IF(COUNTA(A171:F171)=0,"",IF(OR(A171="",B171="",C171="",D171="",E171=""),"HATA: eksik bilgi",IF(OR(NOT(ISNUMBER(A171)),NOT(ISNUMBER(D171)),D171&lt;=0),"HATA: tarih/tutar geçersiz",IF(C171&lt;&gt;TRIM(C171),"HATA: isimde baştaki/sondaki boşluk",IF(COUNTIF(TurAralik,E171)=0,"HATA: ödeme türü geçersiz",IF(COUNTIFS(kOda,B171,kGiris,"&lt;="&amp;A171,kCikis,"&gt;="&amp;A171,kDurum,"&lt;&gt;İptal")=0,"HATA: bu odada o tarihte misafir yok","OK"))))))</f>
        <v/>
      </c>
      <c r="H171" s="25">
        <f>IF(AND(ISNUMBER(A171),A171=RaporTarihi),COUNTIFS($A$6:A171,RaporTarihi),"")</f>
        <v/>
      </c>
    </row>
    <row r="172">
      <c r="A172" s="23" t="n"/>
      <c r="B172" s="22" t="n"/>
      <c r="C172" s="22" t="n"/>
      <c r="D172" s="24" t="n"/>
      <c r="E172" s="22" t="n"/>
      <c r="F172" s="22" t="n"/>
      <c r="G172" s="25">
        <f>IF(COUNTA(A172:F172)=0,"",IF(OR(A172="",B172="",C172="",D172="",E172=""),"HATA: eksik bilgi",IF(OR(NOT(ISNUMBER(A172)),NOT(ISNUMBER(D172)),D172&lt;=0),"HATA: tarih/tutar geçersiz",IF(C172&lt;&gt;TRIM(C172),"HATA: isimde baştaki/sondaki boşluk",IF(COUNTIF(TurAralik,E172)=0,"HATA: ödeme türü geçersiz",IF(COUNTIFS(kOda,B172,kGiris,"&lt;="&amp;A172,kCikis,"&gt;="&amp;A172,kDurum,"&lt;&gt;İptal")=0,"HATA: bu odada o tarihte misafir yok","OK"))))))</f>
        <v/>
      </c>
      <c r="H172" s="25">
        <f>IF(AND(ISNUMBER(A172),A172=RaporTarihi),COUNTIFS($A$6:A172,RaporTarihi),"")</f>
        <v/>
      </c>
    </row>
    <row r="173">
      <c r="A173" s="23" t="n"/>
      <c r="B173" s="22" t="n"/>
      <c r="C173" s="22" t="n"/>
      <c r="D173" s="24" t="n"/>
      <c r="E173" s="22" t="n"/>
      <c r="F173" s="22" t="n"/>
      <c r="G173" s="25">
        <f>IF(COUNTA(A173:F173)=0,"",IF(OR(A173="",B173="",C173="",D173="",E173=""),"HATA: eksik bilgi",IF(OR(NOT(ISNUMBER(A173)),NOT(ISNUMBER(D173)),D173&lt;=0),"HATA: tarih/tutar geçersiz",IF(C173&lt;&gt;TRIM(C173),"HATA: isimde baştaki/sondaki boşluk",IF(COUNTIF(TurAralik,E173)=0,"HATA: ödeme türü geçersiz",IF(COUNTIFS(kOda,B173,kGiris,"&lt;="&amp;A173,kCikis,"&gt;="&amp;A173,kDurum,"&lt;&gt;İptal")=0,"HATA: bu odada o tarihte misafir yok","OK"))))))</f>
        <v/>
      </c>
      <c r="H173" s="25">
        <f>IF(AND(ISNUMBER(A173),A173=RaporTarihi),COUNTIFS($A$6:A173,RaporTarihi),"")</f>
        <v/>
      </c>
    </row>
    <row r="174">
      <c r="A174" s="23" t="n"/>
      <c r="B174" s="22" t="n"/>
      <c r="C174" s="22" t="n"/>
      <c r="D174" s="24" t="n"/>
      <c r="E174" s="22" t="n"/>
      <c r="F174" s="22" t="n"/>
      <c r="G174" s="25">
        <f>IF(COUNTA(A174:F174)=0,"",IF(OR(A174="",B174="",C174="",D174="",E174=""),"HATA: eksik bilgi",IF(OR(NOT(ISNUMBER(A174)),NOT(ISNUMBER(D174)),D174&lt;=0),"HATA: tarih/tutar geçersiz",IF(C174&lt;&gt;TRIM(C174),"HATA: isimde baştaki/sondaki boşluk",IF(COUNTIF(TurAralik,E174)=0,"HATA: ödeme türü geçersiz",IF(COUNTIFS(kOda,B174,kGiris,"&lt;="&amp;A174,kCikis,"&gt;="&amp;A174,kDurum,"&lt;&gt;İptal")=0,"HATA: bu odada o tarihte misafir yok","OK"))))))</f>
        <v/>
      </c>
      <c r="H174" s="25">
        <f>IF(AND(ISNUMBER(A174),A174=RaporTarihi),COUNTIFS($A$6:A174,RaporTarihi),"")</f>
        <v/>
      </c>
    </row>
    <row r="175">
      <c r="A175" s="23" t="n"/>
      <c r="B175" s="22" t="n"/>
      <c r="C175" s="22" t="n"/>
      <c r="D175" s="24" t="n"/>
      <c r="E175" s="22" t="n"/>
      <c r="F175" s="22" t="n"/>
      <c r="G175" s="25">
        <f>IF(COUNTA(A175:F175)=0,"",IF(OR(A175="",B175="",C175="",D175="",E175=""),"HATA: eksik bilgi",IF(OR(NOT(ISNUMBER(A175)),NOT(ISNUMBER(D175)),D175&lt;=0),"HATA: tarih/tutar geçersiz",IF(C175&lt;&gt;TRIM(C175),"HATA: isimde baştaki/sondaki boşluk",IF(COUNTIF(TurAralik,E175)=0,"HATA: ödeme türü geçersiz",IF(COUNTIFS(kOda,B175,kGiris,"&lt;="&amp;A175,kCikis,"&gt;="&amp;A175,kDurum,"&lt;&gt;İptal")=0,"HATA: bu odada o tarihte misafir yok","OK"))))))</f>
        <v/>
      </c>
      <c r="H175" s="25">
        <f>IF(AND(ISNUMBER(A175),A175=RaporTarihi),COUNTIFS($A$6:A175,RaporTarihi),"")</f>
        <v/>
      </c>
    </row>
    <row r="176">
      <c r="A176" s="23" t="n"/>
      <c r="B176" s="22" t="n"/>
      <c r="C176" s="22" t="n"/>
      <c r="D176" s="24" t="n"/>
      <c r="E176" s="22" t="n"/>
      <c r="F176" s="22" t="n"/>
      <c r="G176" s="25">
        <f>IF(COUNTA(A176:F176)=0,"",IF(OR(A176="",B176="",C176="",D176="",E176=""),"HATA: eksik bilgi",IF(OR(NOT(ISNUMBER(A176)),NOT(ISNUMBER(D176)),D176&lt;=0),"HATA: tarih/tutar geçersiz",IF(C176&lt;&gt;TRIM(C176),"HATA: isimde baştaki/sondaki boşluk",IF(COUNTIF(TurAralik,E176)=0,"HATA: ödeme türü geçersiz",IF(COUNTIFS(kOda,B176,kGiris,"&lt;="&amp;A176,kCikis,"&gt;="&amp;A176,kDurum,"&lt;&gt;İptal")=0,"HATA: bu odada o tarihte misafir yok","OK"))))))</f>
        <v/>
      </c>
      <c r="H176" s="25">
        <f>IF(AND(ISNUMBER(A176),A176=RaporTarihi),COUNTIFS($A$6:A176,RaporTarihi),"")</f>
        <v/>
      </c>
    </row>
    <row r="177">
      <c r="A177" s="23" t="n"/>
      <c r="B177" s="22" t="n"/>
      <c r="C177" s="22" t="n"/>
      <c r="D177" s="24" t="n"/>
      <c r="E177" s="22" t="n"/>
      <c r="F177" s="22" t="n"/>
      <c r="G177" s="25">
        <f>IF(COUNTA(A177:F177)=0,"",IF(OR(A177="",B177="",C177="",D177="",E177=""),"HATA: eksik bilgi",IF(OR(NOT(ISNUMBER(A177)),NOT(ISNUMBER(D177)),D177&lt;=0),"HATA: tarih/tutar geçersiz",IF(C177&lt;&gt;TRIM(C177),"HATA: isimde baştaki/sondaki boşluk",IF(COUNTIF(TurAralik,E177)=0,"HATA: ödeme türü geçersiz",IF(COUNTIFS(kOda,B177,kGiris,"&lt;="&amp;A177,kCikis,"&gt;="&amp;A177,kDurum,"&lt;&gt;İptal")=0,"HATA: bu odada o tarihte misafir yok","OK"))))))</f>
        <v/>
      </c>
      <c r="H177" s="25">
        <f>IF(AND(ISNUMBER(A177),A177=RaporTarihi),COUNTIFS($A$6:A177,RaporTarihi),"")</f>
        <v/>
      </c>
    </row>
    <row r="178">
      <c r="A178" s="23" t="n"/>
      <c r="B178" s="22" t="n"/>
      <c r="C178" s="22" t="n"/>
      <c r="D178" s="24" t="n"/>
      <c r="E178" s="22" t="n"/>
      <c r="F178" s="22" t="n"/>
      <c r="G178" s="25">
        <f>IF(COUNTA(A178:F178)=0,"",IF(OR(A178="",B178="",C178="",D178="",E178=""),"HATA: eksik bilgi",IF(OR(NOT(ISNUMBER(A178)),NOT(ISNUMBER(D178)),D178&lt;=0),"HATA: tarih/tutar geçersiz",IF(C178&lt;&gt;TRIM(C178),"HATA: isimde baştaki/sondaki boşluk",IF(COUNTIF(TurAralik,E178)=0,"HATA: ödeme türü geçersiz",IF(COUNTIFS(kOda,B178,kGiris,"&lt;="&amp;A178,kCikis,"&gt;="&amp;A178,kDurum,"&lt;&gt;İptal")=0,"HATA: bu odada o tarihte misafir yok","OK"))))))</f>
        <v/>
      </c>
      <c r="H178" s="25">
        <f>IF(AND(ISNUMBER(A178),A178=RaporTarihi),COUNTIFS($A$6:A178,RaporTarihi),"")</f>
        <v/>
      </c>
    </row>
    <row r="179">
      <c r="A179" s="23" t="n"/>
      <c r="B179" s="22" t="n"/>
      <c r="C179" s="22" t="n"/>
      <c r="D179" s="24" t="n"/>
      <c r="E179" s="22" t="n"/>
      <c r="F179" s="22" t="n"/>
      <c r="G179" s="25">
        <f>IF(COUNTA(A179:F179)=0,"",IF(OR(A179="",B179="",C179="",D179="",E179=""),"HATA: eksik bilgi",IF(OR(NOT(ISNUMBER(A179)),NOT(ISNUMBER(D179)),D179&lt;=0),"HATA: tarih/tutar geçersiz",IF(C179&lt;&gt;TRIM(C179),"HATA: isimde baştaki/sondaki boşluk",IF(COUNTIF(TurAralik,E179)=0,"HATA: ödeme türü geçersiz",IF(COUNTIFS(kOda,B179,kGiris,"&lt;="&amp;A179,kCikis,"&gt;="&amp;A179,kDurum,"&lt;&gt;İptal")=0,"HATA: bu odada o tarihte misafir yok","OK"))))))</f>
        <v/>
      </c>
      <c r="H179" s="25">
        <f>IF(AND(ISNUMBER(A179),A179=RaporTarihi),COUNTIFS($A$6:A179,RaporTarihi),"")</f>
        <v/>
      </c>
    </row>
    <row r="180">
      <c r="A180" s="23" t="n"/>
      <c r="B180" s="22" t="n"/>
      <c r="C180" s="22" t="n"/>
      <c r="D180" s="24" t="n"/>
      <c r="E180" s="22" t="n"/>
      <c r="F180" s="22" t="n"/>
      <c r="G180" s="25">
        <f>IF(COUNTA(A180:F180)=0,"",IF(OR(A180="",B180="",C180="",D180="",E180=""),"HATA: eksik bilgi",IF(OR(NOT(ISNUMBER(A180)),NOT(ISNUMBER(D180)),D180&lt;=0),"HATA: tarih/tutar geçersiz",IF(C180&lt;&gt;TRIM(C180),"HATA: isimde baştaki/sondaki boşluk",IF(COUNTIF(TurAralik,E180)=0,"HATA: ödeme türü geçersiz",IF(COUNTIFS(kOda,B180,kGiris,"&lt;="&amp;A180,kCikis,"&gt;="&amp;A180,kDurum,"&lt;&gt;İptal")=0,"HATA: bu odada o tarihte misafir yok","OK"))))))</f>
        <v/>
      </c>
      <c r="H180" s="25">
        <f>IF(AND(ISNUMBER(A180),A180=RaporTarihi),COUNTIFS($A$6:A180,RaporTarihi),"")</f>
        <v/>
      </c>
    </row>
    <row r="181">
      <c r="A181" s="23" t="n"/>
      <c r="B181" s="22" t="n"/>
      <c r="C181" s="22" t="n"/>
      <c r="D181" s="24" t="n"/>
      <c r="E181" s="22" t="n"/>
      <c r="F181" s="22" t="n"/>
      <c r="G181" s="25">
        <f>IF(COUNTA(A181:F181)=0,"",IF(OR(A181="",B181="",C181="",D181="",E181=""),"HATA: eksik bilgi",IF(OR(NOT(ISNUMBER(A181)),NOT(ISNUMBER(D181)),D181&lt;=0),"HATA: tarih/tutar geçersiz",IF(C181&lt;&gt;TRIM(C181),"HATA: isimde baştaki/sondaki boşluk",IF(COUNTIF(TurAralik,E181)=0,"HATA: ödeme türü geçersiz",IF(COUNTIFS(kOda,B181,kGiris,"&lt;="&amp;A181,kCikis,"&gt;="&amp;A181,kDurum,"&lt;&gt;İptal")=0,"HATA: bu odada o tarihte misafir yok","OK"))))))</f>
        <v/>
      </c>
      <c r="H181" s="25">
        <f>IF(AND(ISNUMBER(A181),A181=RaporTarihi),COUNTIFS($A$6:A181,RaporTarihi),"")</f>
        <v/>
      </c>
    </row>
    <row r="182">
      <c r="A182" s="23" t="n"/>
      <c r="B182" s="22" t="n"/>
      <c r="C182" s="22" t="n"/>
      <c r="D182" s="24" t="n"/>
      <c r="E182" s="22" t="n"/>
      <c r="F182" s="22" t="n"/>
      <c r="G182" s="25">
        <f>IF(COUNTA(A182:F182)=0,"",IF(OR(A182="",B182="",C182="",D182="",E182=""),"HATA: eksik bilgi",IF(OR(NOT(ISNUMBER(A182)),NOT(ISNUMBER(D182)),D182&lt;=0),"HATA: tarih/tutar geçersiz",IF(C182&lt;&gt;TRIM(C182),"HATA: isimde baştaki/sondaki boşluk",IF(COUNTIF(TurAralik,E182)=0,"HATA: ödeme türü geçersiz",IF(COUNTIFS(kOda,B182,kGiris,"&lt;="&amp;A182,kCikis,"&gt;="&amp;A182,kDurum,"&lt;&gt;İptal")=0,"HATA: bu odada o tarihte misafir yok","OK"))))))</f>
        <v/>
      </c>
      <c r="H182" s="25">
        <f>IF(AND(ISNUMBER(A182),A182=RaporTarihi),COUNTIFS($A$6:A182,RaporTarihi),"")</f>
        <v/>
      </c>
    </row>
    <row r="183">
      <c r="A183" s="23" t="n"/>
      <c r="B183" s="22" t="n"/>
      <c r="C183" s="22" t="n"/>
      <c r="D183" s="24" t="n"/>
      <c r="E183" s="22" t="n"/>
      <c r="F183" s="22" t="n"/>
      <c r="G183" s="25">
        <f>IF(COUNTA(A183:F183)=0,"",IF(OR(A183="",B183="",C183="",D183="",E183=""),"HATA: eksik bilgi",IF(OR(NOT(ISNUMBER(A183)),NOT(ISNUMBER(D183)),D183&lt;=0),"HATA: tarih/tutar geçersiz",IF(C183&lt;&gt;TRIM(C183),"HATA: isimde baştaki/sondaki boşluk",IF(COUNTIF(TurAralik,E183)=0,"HATA: ödeme türü geçersiz",IF(COUNTIFS(kOda,B183,kGiris,"&lt;="&amp;A183,kCikis,"&gt;="&amp;A183,kDurum,"&lt;&gt;İptal")=0,"HATA: bu odada o tarihte misafir yok","OK"))))))</f>
        <v/>
      </c>
      <c r="H183" s="25">
        <f>IF(AND(ISNUMBER(A183),A183=RaporTarihi),COUNTIFS($A$6:A183,RaporTarihi),"")</f>
        <v/>
      </c>
    </row>
    <row r="184">
      <c r="A184" s="23" t="n"/>
      <c r="B184" s="22" t="n"/>
      <c r="C184" s="22" t="n"/>
      <c r="D184" s="24" t="n"/>
      <c r="E184" s="22" t="n"/>
      <c r="F184" s="22" t="n"/>
      <c r="G184" s="25">
        <f>IF(COUNTA(A184:F184)=0,"",IF(OR(A184="",B184="",C184="",D184="",E184=""),"HATA: eksik bilgi",IF(OR(NOT(ISNUMBER(A184)),NOT(ISNUMBER(D184)),D184&lt;=0),"HATA: tarih/tutar geçersiz",IF(C184&lt;&gt;TRIM(C184),"HATA: isimde baştaki/sondaki boşluk",IF(COUNTIF(TurAralik,E184)=0,"HATA: ödeme türü geçersiz",IF(COUNTIFS(kOda,B184,kGiris,"&lt;="&amp;A184,kCikis,"&gt;="&amp;A184,kDurum,"&lt;&gt;İptal")=0,"HATA: bu odada o tarihte misafir yok","OK"))))))</f>
        <v/>
      </c>
      <c r="H184" s="25">
        <f>IF(AND(ISNUMBER(A184),A184=RaporTarihi),COUNTIFS($A$6:A184,RaporTarihi),"")</f>
        <v/>
      </c>
    </row>
    <row r="185">
      <c r="A185" s="23" t="n"/>
      <c r="B185" s="22" t="n"/>
      <c r="C185" s="22" t="n"/>
      <c r="D185" s="24" t="n"/>
      <c r="E185" s="22" t="n"/>
      <c r="F185" s="22" t="n"/>
      <c r="G185" s="25">
        <f>IF(COUNTA(A185:F185)=0,"",IF(OR(A185="",B185="",C185="",D185="",E185=""),"HATA: eksik bilgi",IF(OR(NOT(ISNUMBER(A185)),NOT(ISNUMBER(D185)),D185&lt;=0),"HATA: tarih/tutar geçersiz",IF(C185&lt;&gt;TRIM(C185),"HATA: isimde baştaki/sondaki boşluk",IF(COUNTIF(TurAralik,E185)=0,"HATA: ödeme türü geçersiz",IF(COUNTIFS(kOda,B185,kGiris,"&lt;="&amp;A185,kCikis,"&gt;="&amp;A185,kDurum,"&lt;&gt;İptal")=0,"HATA: bu odada o tarihte misafir yok","OK"))))))</f>
        <v/>
      </c>
      <c r="H185" s="25">
        <f>IF(AND(ISNUMBER(A185),A185=RaporTarihi),COUNTIFS($A$6:A185,RaporTarihi),"")</f>
        <v/>
      </c>
    </row>
    <row r="186">
      <c r="A186" s="23" t="n"/>
      <c r="B186" s="22" t="n"/>
      <c r="C186" s="22" t="n"/>
      <c r="D186" s="24" t="n"/>
      <c r="E186" s="22" t="n"/>
      <c r="F186" s="22" t="n"/>
      <c r="G186" s="25">
        <f>IF(COUNTA(A186:F186)=0,"",IF(OR(A186="",B186="",C186="",D186="",E186=""),"HATA: eksik bilgi",IF(OR(NOT(ISNUMBER(A186)),NOT(ISNUMBER(D186)),D186&lt;=0),"HATA: tarih/tutar geçersiz",IF(C186&lt;&gt;TRIM(C186),"HATA: isimde baştaki/sondaki boşluk",IF(COUNTIF(TurAralik,E186)=0,"HATA: ödeme türü geçersiz",IF(COUNTIFS(kOda,B186,kGiris,"&lt;="&amp;A186,kCikis,"&gt;="&amp;A186,kDurum,"&lt;&gt;İptal")=0,"HATA: bu odada o tarihte misafir yok","OK"))))))</f>
        <v/>
      </c>
      <c r="H186" s="25">
        <f>IF(AND(ISNUMBER(A186),A186=RaporTarihi),COUNTIFS($A$6:A186,RaporTarihi),"")</f>
        <v/>
      </c>
    </row>
    <row r="187">
      <c r="A187" s="23" t="n"/>
      <c r="B187" s="22" t="n"/>
      <c r="C187" s="22" t="n"/>
      <c r="D187" s="24" t="n"/>
      <c r="E187" s="22" t="n"/>
      <c r="F187" s="22" t="n"/>
      <c r="G187" s="25">
        <f>IF(COUNTA(A187:F187)=0,"",IF(OR(A187="",B187="",C187="",D187="",E187=""),"HATA: eksik bilgi",IF(OR(NOT(ISNUMBER(A187)),NOT(ISNUMBER(D187)),D187&lt;=0),"HATA: tarih/tutar geçersiz",IF(C187&lt;&gt;TRIM(C187),"HATA: isimde baştaki/sondaki boşluk",IF(COUNTIF(TurAralik,E187)=0,"HATA: ödeme türü geçersiz",IF(COUNTIFS(kOda,B187,kGiris,"&lt;="&amp;A187,kCikis,"&gt;="&amp;A187,kDurum,"&lt;&gt;İptal")=0,"HATA: bu odada o tarihte misafir yok","OK"))))))</f>
        <v/>
      </c>
      <c r="H187" s="25">
        <f>IF(AND(ISNUMBER(A187),A187=RaporTarihi),COUNTIFS($A$6:A187,RaporTarihi),"")</f>
        <v/>
      </c>
    </row>
    <row r="188">
      <c r="A188" s="23" t="n"/>
      <c r="B188" s="22" t="n"/>
      <c r="C188" s="22" t="n"/>
      <c r="D188" s="24" t="n"/>
      <c r="E188" s="22" t="n"/>
      <c r="F188" s="22" t="n"/>
      <c r="G188" s="25">
        <f>IF(COUNTA(A188:F188)=0,"",IF(OR(A188="",B188="",C188="",D188="",E188=""),"HATA: eksik bilgi",IF(OR(NOT(ISNUMBER(A188)),NOT(ISNUMBER(D188)),D188&lt;=0),"HATA: tarih/tutar geçersiz",IF(C188&lt;&gt;TRIM(C188),"HATA: isimde baştaki/sondaki boşluk",IF(COUNTIF(TurAralik,E188)=0,"HATA: ödeme türü geçersiz",IF(COUNTIFS(kOda,B188,kGiris,"&lt;="&amp;A188,kCikis,"&gt;="&amp;A188,kDurum,"&lt;&gt;İptal")=0,"HATA: bu odada o tarihte misafir yok","OK"))))))</f>
        <v/>
      </c>
      <c r="H188" s="25">
        <f>IF(AND(ISNUMBER(A188),A188=RaporTarihi),COUNTIFS($A$6:A188,RaporTarihi),"")</f>
        <v/>
      </c>
    </row>
    <row r="189">
      <c r="A189" s="23" t="n"/>
      <c r="B189" s="22" t="n"/>
      <c r="C189" s="22" t="n"/>
      <c r="D189" s="24" t="n"/>
      <c r="E189" s="22" t="n"/>
      <c r="F189" s="22" t="n"/>
      <c r="G189" s="25">
        <f>IF(COUNTA(A189:F189)=0,"",IF(OR(A189="",B189="",C189="",D189="",E189=""),"HATA: eksik bilgi",IF(OR(NOT(ISNUMBER(A189)),NOT(ISNUMBER(D189)),D189&lt;=0),"HATA: tarih/tutar geçersiz",IF(C189&lt;&gt;TRIM(C189),"HATA: isimde baştaki/sondaki boşluk",IF(COUNTIF(TurAralik,E189)=0,"HATA: ödeme türü geçersiz",IF(COUNTIFS(kOda,B189,kGiris,"&lt;="&amp;A189,kCikis,"&gt;="&amp;A189,kDurum,"&lt;&gt;İptal")=0,"HATA: bu odada o tarihte misafir yok","OK"))))))</f>
        <v/>
      </c>
      <c r="H189" s="25">
        <f>IF(AND(ISNUMBER(A189),A189=RaporTarihi),COUNTIFS($A$6:A189,RaporTarihi),"")</f>
        <v/>
      </c>
    </row>
    <row r="190">
      <c r="A190" s="23" t="n"/>
      <c r="B190" s="22" t="n"/>
      <c r="C190" s="22" t="n"/>
      <c r="D190" s="24" t="n"/>
      <c r="E190" s="22" t="n"/>
      <c r="F190" s="22" t="n"/>
      <c r="G190" s="25">
        <f>IF(COUNTA(A190:F190)=0,"",IF(OR(A190="",B190="",C190="",D190="",E190=""),"HATA: eksik bilgi",IF(OR(NOT(ISNUMBER(A190)),NOT(ISNUMBER(D190)),D190&lt;=0),"HATA: tarih/tutar geçersiz",IF(C190&lt;&gt;TRIM(C190),"HATA: isimde baştaki/sondaki boşluk",IF(COUNTIF(TurAralik,E190)=0,"HATA: ödeme türü geçersiz",IF(COUNTIFS(kOda,B190,kGiris,"&lt;="&amp;A190,kCikis,"&gt;="&amp;A190,kDurum,"&lt;&gt;İptal")=0,"HATA: bu odada o tarihte misafir yok","OK"))))))</f>
        <v/>
      </c>
      <c r="H190" s="25">
        <f>IF(AND(ISNUMBER(A190),A190=RaporTarihi),COUNTIFS($A$6:A190,RaporTarihi),"")</f>
        <v/>
      </c>
    </row>
    <row r="191">
      <c r="A191" s="23" t="n"/>
      <c r="B191" s="22" t="n"/>
      <c r="C191" s="22" t="n"/>
      <c r="D191" s="24" t="n"/>
      <c r="E191" s="22" t="n"/>
      <c r="F191" s="22" t="n"/>
      <c r="G191" s="25">
        <f>IF(COUNTA(A191:F191)=0,"",IF(OR(A191="",B191="",C191="",D191="",E191=""),"HATA: eksik bilgi",IF(OR(NOT(ISNUMBER(A191)),NOT(ISNUMBER(D191)),D191&lt;=0),"HATA: tarih/tutar geçersiz",IF(C191&lt;&gt;TRIM(C191),"HATA: isimde baştaki/sondaki boşluk",IF(COUNTIF(TurAralik,E191)=0,"HATA: ödeme türü geçersiz",IF(COUNTIFS(kOda,B191,kGiris,"&lt;="&amp;A191,kCikis,"&gt;="&amp;A191,kDurum,"&lt;&gt;İptal")=0,"HATA: bu odada o tarihte misafir yok","OK"))))))</f>
        <v/>
      </c>
      <c r="H191" s="25">
        <f>IF(AND(ISNUMBER(A191),A191=RaporTarihi),COUNTIFS($A$6:A191,RaporTarihi),"")</f>
        <v/>
      </c>
    </row>
    <row r="192">
      <c r="A192" s="23" t="n"/>
      <c r="B192" s="22" t="n"/>
      <c r="C192" s="22" t="n"/>
      <c r="D192" s="24" t="n"/>
      <c r="E192" s="22" t="n"/>
      <c r="F192" s="22" t="n"/>
      <c r="G192" s="25">
        <f>IF(COUNTA(A192:F192)=0,"",IF(OR(A192="",B192="",C192="",D192="",E192=""),"HATA: eksik bilgi",IF(OR(NOT(ISNUMBER(A192)),NOT(ISNUMBER(D192)),D192&lt;=0),"HATA: tarih/tutar geçersiz",IF(C192&lt;&gt;TRIM(C192),"HATA: isimde baştaki/sondaki boşluk",IF(COUNTIF(TurAralik,E192)=0,"HATA: ödeme türü geçersiz",IF(COUNTIFS(kOda,B192,kGiris,"&lt;="&amp;A192,kCikis,"&gt;="&amp;A192,kDurum,"&lt;&gt;İptal")=0,"HATA: bu odada o tarihte misafir yok","OK"))))))</f>
        <v/>
      </c>
      <c r="H192" s="25">
        <f>IF(AND(ISNUMBER(A192),A192=RaporTarihi),COUNTIFS($A$6:A192,RaporTarihi),"")</f>
        <v/>
      </c>
    </row>
    <row r="193">
      <c r="A193" s="23" t="n"/>
      <c r="B193" s="22" t="n"/>
      <c r="C193" s="22" t="n"/>
      <c r="D193" s="24" t="n"/>
      <c r="E193" s="22" t="n"/>
      <c r="F193" s="22" t="n"/>
      <c r="G193" s="25">
        <f>IF(COUNTA(A193:F193)=0,"",IF(OR(A193="",B193="",C193="",D193="",E193=""),"HATA: eksik bilgi",IF(OR(NOT(ISNUMBER(A193)),NOT(ISNUMBER(D193)),D193&lt;=0),"HATA: tarih/tutar geçersiz",IF(C193&lt;&gt;TRIM(C193),"HATA: isimde baştaki/sondaki boşluk",IF(COUNTIF(TurAralik,E193)=0,"HATA: ödeme türü geçersiz",IF(COUNTIFS(kOda,B193,kGiris,"&lt;="&amp;A193,kCikis,"&gt;="&amp;A193,kDurum,"&lt;&gt;İptal")=0,"HATA: bu odada o tarihte misafir yok","OK"))))))</f>
        <v/>
      </c>
      <c r="H193" s="25">
        <f>IF(AND(ISNUMBER(A193),A193=RaporTarihi),COUNTIFS($A$6:A193,RaporTarihi),"")</f>
        <v/>
      </c>
    </row>
    <row r="194">
      <c r="A194" s="23" t="n"/>
      <c r="B194" s="22" t="n"/>
      <c r="C194" s="22" t="n"/>
      <c r="D194" s="24" t="n"/>
      <c r="E194" s="22" t="n"/>
      <c r="F194" s="22" t="n"/>
      <c r="G194" s="25">
        <f>IF(COUNTA(A194:F194)=0,"",IF(OR(A194="",B194="",C194="",D194="",E194=""),"HATA: eksik bilgi",IF(OR(NOT(ISNUMBER(A194)),NOT(ISNUMBER(D194)),D194&lt;=0),"HATA: tarih/tutar geçersiz",IF(C194&lt;&gt;TRIM(C194),"HATA: isimde baştaki/sondaki boşluk",IF(COUNTIF(TurAralik,E194)=0,"HATA: ödeme türü geçersiz",IF(COUNTIFS(kOda,B194,kGiris,"&lt;="&amp;A194,kCikis,"&gt;="&amp;A194,kDurum,"&lt;&gt;İptal")=0,"HATA: bu odada o tarihte misafir yok","OK"))))))</f>
        <v/>
      </c>
      <c r="H194" s="25">
        <f>IF(AND(ISNUMBER(A194),A194=RaporTarihi),COUNTIFS($A$6:A194,RaporTarihi),"")</f>
        <v/>
      </c>
    </row>
    <row r="195">
      <c r="A195" s="23" t="n"/>
      <c r="B195" s="22" t="n"/>
      <c r="C195" s="22" t="n"/>
      <c r="D195" s="24" t="n"/>
      <c r="E195" s="22" t="n"/>
      <c r="F195" s="22" t="n"/>
      <c r="G195" s="25">
        <f>IF(COUNTA(A195:F195)=0,"",IF(OR(A195="",B195="",C195="",D195="",E195=""),"HATA: eksik bilgi",IF(OR(NOT(ISNUMBER(A195)),NOT(ISNUMBER(D195)),D195&lt;=0),"HATA: tarih/tutar geçersiz",IF(C195&lt;&gt;TRIM(C195),"HATA: isimde baştaki/sondaki boşluk",IF(COUNTIF(TurAralik,E195)=0,"HATA: ödeme türü geçersiz",IF(COUNTIFS(kOda,B195,kGiris,"&lt;="&amp;A195,kCikis,"&gt;="&amp;A195,kDurum,"&lt;&gt;İptal")=0,"HATA: bu odada o tarihte misafir yok","OK"))))))</f>
        <v/>
      </c>
      <c r="H195" s="25">
        <f>IF(AND(ISNUMBER(A195),A195=RaporTarihi),COUNTIFS($A$6:A195,RaporTarihi),"")</f>
        <v/>
      </c>
    </row>
    <row r="196">
      <c r="A196" s="23" t="n"/>
      <c r="B196" s="22" t="n"/>
      <c r="C196" s="22" t="n"/>
      <c r="D196" s="24" t="n"/>
      <c r="E196" s="22" t="n"/>
      <c r="F196" s="22" t="n"/>
      <c r="G196" s="25">
        <f>IF(COUNTA(A196:F196)=0,"",IF(OR(A196="",B196="",C196="",D196="",E196=""),"HATA: eksik bilgi",IF(OR(NOT(ISNUMBER(A196)),NOT(ISNUMBER(D196)),D196&lt;=0),"HATA: tarih/tutar geçersiz",IF(C196&lt;&gt;TRIM(C196),"HATA: isimde baştaki/sondaki boşluk",IF(COUNTIF(TurAralik,E196)=0,"HATA: ödeme türü geçersiz",IF(COUNTIFS(kOda,B196,kGiris,"&lt;="&amp;A196,kCikis,"&gt;="&amp;A196,kDurum,"&lt;&gt;İptal")=0,"HATA: bu odada o tarihte misafir yok","OK"))))))</f>
        <v/>
      </c>
      <c r="H196" s="25">
        <f>IF(AND(ISNUMBER(A196),A196=RaporTarihi),COUNTIFS($A$6:A196,RaporTarihi),"")</f>
        <v/>
      </c>
    </row>
    <row r="197">
      <c r="A197" s="23" t="n"/>
      <c r="B197" s="22" t="n"/>
      <c r="C197" s="22" t="n"/>
      <c r="D197" s="24" t="n"/>
      <c r="E197" s="22" t="n"/>
      <c r="F197" s="22" t="n"/>
      <c r="G197" s="25">
        <f>IF(COUNTA(A197:F197)=0,"",IF(OR(A197="",B197="",C197="",D197="",E197=""),"HATA: eksik bilgi",IF(OR(NOT(ISNUMBER(A197)),NOT(ISNUMBER(D197)),D197&lt;=0),"HATA: tarih/tutar geçersiz",IF(C197&lt;&gt;TRIM(C197),"HATA: isimde baştaki/sondaki boşluk",IF(COUNTIF(TurAralik,E197)=0,"HATA: ödeme türü geçersiz",IF(COUNTIFS(kOda,B197,kGiris,"&lt;="&amp;A197,kCikis,"&gt;="&amp;A197,kDurum,"&lt;&gt;İptal")=0,"HATA: bu odada o tarihte misafir yok","OK"))))))</f>
        <v/>
      </c>
      <c r="H197" s="25">
        <f>IF(AND(ISNUMBER(A197),A197=RaporTarihi),COUNTIFS($A$6:A197,RaporTarihi),"")</f>
        <v/>
      </c>
    </row>
    <row r="198">
      <c r="A198" s="23" t="n"/>
      <c r="B198" s="22" t="n"/>
      <c r="C198" s="22" t="n"/>
      <c r="D198" s="24" t="n"/>
      <c r="E198" s="22" t="n"/>
      <c r="F198" s="22" t="n"/>
      <c r="G198" s="25">
        <f>IF(COUNTA(A198:F198)=0,"",IF(OR(A198="",B198="",C198="",D198="",E198=""),"HATA: eksik bilgi",IF(OR(NOT(ISNUMBER(A198)),NOT(ISNUMBER(D198)),D198&lt;=0),"HATA: tarih/tutar geçersiz",IF(C198&lt;&gt;TRIM(C198),"HATA: isimde baştaki/sondaki boşluk",IF(COUNTIF(TurAralik,E198)=0,"HATA: ödeme türü geçersiz",IF(COUNTIFS(kOda,B198,kGiris,"&lt;="&amp;A198,kCikis,"&gt;="&amp;A198,kDurum,"&lt;&gt;İptal")=0,"HATA: bu odada o tarihte misafir yok","OK"))))))</f>
        <v/>
      </c>
      <c r="H198" s="25">
        <f>IF(AND(ISNUMBER(A198),A198=RaporTarihi),COUNTIFS($A$6:A198,RaporTarihi),"")</f>
        <v/>
      </c>
    </row>
    <row r="199">
      <c r="A199" s="23" t="n"/>
      <c r="B199" s="22" t="n"/>
      <c r="C199" s="22" t="n"/>
      <c r="D199" s="24" t="n"/>
      <c r="E199" s="22" t="n"/>
      <c r="F199" s="22" t="n"/>
      <c r="G199" s="25">
        <f>IF(COUNTA(A199:F199)=0,"",IF(OR(A199="",B199="",C199="",D199="",E199=""),"HATA: eksik bilgi",IF(OR(NOT(ISNUMBER(A199)),NOT(ISNUMBER(D199)),D199&lt;=0),"HATA: tarih/tutar geçersiz",IF(C199&lt;&gt;TRIM(C199),"HATA: isimde baştaki/sondaki boşluk",IF(COUNTIF(TurAralik,E199)=0,"HATA: ödeme türü geçersiz",IF(COUNTIFS(kOda,B199,kGiris,"&lt;="&amp;A199,kCikis,"&gt;="&amp;A199,kDurum,"&lt;&gt;İptal")=0,"HATA: bu odada o tarihte misafir yok","OK"))))))</f>
        <v/>
      </c>
      <c r="H199" s="25">
        <f>IF(AND(ISNUMBER(A199),A199=RaporTarihi),COUNTIFS($A$6:A199,RaporTarihi),"")</f>
        <v/>
      </c>
    </row>
    <row r="200">
      <c r="A200" s="23" t="n"/>
      <c r="B200" s="22" t="n"/>
      <c r="C200" s="22" t="n"/>
      <c r="D200" s="24" t="n"/>
      <c r="E200" s="22" t="n"/>
      <c r="F200" s="22" t="n"/>
      <c r="G200" s="25">
        <f>IF(COUNTA(A200:F200)=0,"",IF(OR(A200="",B200="",C200="",D200="",E200=""),"HATA: eksik bilgi",IF(OR(NOT(ISNUMBER(A200)),NOT(ISNUMBER(D200)),D200&lt;=0),"HATA: tarih/tutar geçersiz",IF(C200&lt;&gt;TRIM(C200),"HATA: isimde baştaki/sondaki boşluk",IF(COUNTIF(TurAralik,E200)=0,"HATA: ödeme türü geçersiz",IF(COUNTIFS(kOda,B200,kGiris,"&lt;="&amp;A200,kCikis,"&gt;="&amp;A200,kDurum,"&lt;&gt;İptal")=0,"HATA: bu odada o tarihte misafir yok","OK"))))))</f>
        <v/>
      </c>
      <c r="H200" s="25">
        <f>IF(AND(ISNUMBER(A200),A200=RaporTarihi),COUNTIFS($A$6:A200,RaporTarihi),"")</f>
        <v/>
      </c>
    </row>
    <row r="201">
      <c r="A201" s="23" t="n"/>
      <c r="B201" s="22" t="n"/>
      <c r="C201" s="22" t="n"/>
      <c r="D201" s="24" t="n"/>
      <c r="E201" s="22" t="n"/>
      <c r="F201" s="22" t="n"/>
      <c r="G201" s="25">
        <f>IF(COUNTA(A201:F201)=0,"",IF(OR(A201="",B201="",C201="",D201="",E201=""),"HATA: eksik bilgi",IF(OR(NOT(ISNUMBER(A201)),NOT(ISNUMBER(D201)),D201&lt;=0),"HATA: tarih/tutar geçersiz",IF(C201&lt;&gt;TRIM(C201),"HATA: isimde baştaki/sondaki boşluk",IF(COUNTIF(TurAralik,E201)=0,"HATA: ödeme türü geçersiz",IF(COUNTIFS(kOda,B201,kGiris,"&lt;="&amp;A201,kCikis,"&gt;="&amp;A201,kDurum,"&lt;&gt;İptal")=0,"HATA: bu odada o tarihte misafir yok","OK"))))))</f>
        <v/>
      </c>
      <c r="H201" s="25">
        <f>IF(AND(ISNUMBER(A201),A201=RaporTarihi),COUNTIFS($A$6:A201,RaporTarihi),"")</f>
        <v/>
      </c>
    </row>
    <row r="202">
      <c r="A202" s="23" t="n"/>
      <c r="B202" s="22" t="n"/>
      <c r="C202" s="22" t="n"/>
      <c r="D202" s="24" t="n"/>
      <c r="E202" s="22" t="n"/>
      <c r="F202" s="22" t="n"/>
      <c r="G202" s="25">
        <f>IF(COUNTA(A202:F202)=0,"",IF(OR(A202="",B202="",C202="",D202="",E202=""),"HATA: eksik bilgi",IF(OR(NOT(ISNUMBER(A202)),NOT(ISNUMBER(D202)),D202&lt;=0),"HATA: tarih/tutar geçersiz",IF(C202&lt;&gt;TRIM(C202),"HATA: isimde baştaki/sondaki boşluk",IF(COUNTIF(TurAralik,E202)=0,"HATA: ödeme türü geçersiz",IF(COUNTIFS(kOda,B202,kGiris,"&lt;="&amp;A202,kCikis,"&gt;="&amp;A202,kDurum,"&lt;&gt;İptal")=0,"HATA: bu odada o tarihte misafir yok","OK"))))))</f>
        <v/>
      </c>
      <c r="H202" s="25">
        <f>IF(AND(ISNUMBER(A202),A202=RaporTarihi),COUNTIFS($A$6:A202,RaporTarihi),"")</f>
        <v/>
      </c>
    </row>
    <row r="203">
      <c r="A203" s="23" t="n"/>
      <c r="B203" s="22" t="n"/>
      <c r="C203" s="22" t="n"/>
      <c r="D203" s="24" t="n"/>
      <c r="E203" s="22" t="n"/>
      <c r="F203" s="22" t="n"/>
      <c r="G203" s="25">
        <f>IF(COUNTA(A203:F203)=0,"",IF(OR(A203="",B203="",C203="",D203="",E203=""),"HATA: eksik bilgi",IF(OR(NOT(ISNUMBER(A203)),NOT(ISNUMBER(D203)),D203&lt;=0),"HATA: tarih/tutar geçersiz",IF(C203&lt;&gt;TRIM(C203),"HATA: isimde baştaki/sondaki boşluk",IF(COUNTIF(TurAralik,E203)=0,"HATA: ödeme türü geçersiz",IF(COUNTIFS(kOda,B203,kGiris,"&lt;="&amp;A203,kCikis,"&gt;="&amp;A203,kDurum,"&lt;&gt;İptal")=0,"HATA: bu odada o tarihte misafir yok","OK"))))))</f>
        <v/>
      </c>
      <c r="H203" s="25">
        <f>IF(AND(ISNUMBER(A203),A203=RaporTarihi),COUNTIFS($A$6:A203,RaporTarihi),"")</f>
        <v/>
      </c>
    </row>
    <row r="204">
      <c r="A204" s="23" t="n"/>
      <c r="B204" s="22" t="n"/>
      <c r="C204" s="22" t="n"/>
      <c r="D204" s="24" t="n"/>
      <c r="E204" s="22" t="n"/>
      <c r="F204" s="22" t="n"/>
      <c r="G204" s="25">
        <f>IF(COUNTA(A204:F204)=0,"",IF(OR(A204="",B204="",C204="",D204="",E204=""),"HATA: eksik bilgi",IF(OR(NOT(ISNUMBER(A204)),NOT(ISNUMBER(D204)),D204&lt;=0),"HATA: tarih/tutar geçersiz",IF(C204&lt;&gt;TRIM(C204),"HATA: isimde baştaki/sondaki boşluk",IF(COUNTIF(TurAralik,E204)=0,"HATA: ödeme türü geçersiz",IF(COUNTIFS(kOda,B204,kGiris,"&lt;="&amp;A204,kCikis,"&gt;="&amp;A204,kDurum,"&lt;&gt;İptal")=0,"HATA: bu odada o tarihte misafir yok","OK"))))))</f>
        <v/>
      </c>
      <c r="H204" s="25">
        <f>IF(AND(ISNUMBER(A204),A204=RaporTarihi),COUNTIFS($A$6:A204,RaporTarihi),"")</f>
        <v/>
      </c>
    </row>
    <row r="205">
      <c r="A205" s="23" t="n"/>
      <c r="B205" s="22" t="n"/>
      <c r="C205" s="22" t="n"/>
      <c r="D205" s="24" t="n"/>
      <c r="E205" s="22" t="n"/>
      <c r="F205" s="22" t="n"/>
      <c r="G205" s="25">
        <f>IF(COUNTA(A205:F205)=0,"",IF(OR(A205="",B205="",C205="",D205="",E205=""),"HATA: eksik bilgi",IF(OR(NOT(ISNUMBER(A205)),NOT(ISNUMBER(D205)),D205&lt;=0),"HATA: tarih/tutar geçersiz",IF(C205&lt;&gt;TRIM(C205),"HATA: isimde baştaki/sondaki boşluk",IF(COUNTIF(TurAralik,E205)=0,"HATA: ödeme türü geçersiz",IF(COUNTIFS(kOda,B205,kGiris,"&lt;="&amp;A205,kCikis,"&gt;="&amp;A205,kDurum,"&lt;&gt;İptal")=0,"HATA: bu odada o tarihte misafir yok","OK"))))))</f>
        <v/>
      </c>
      <c r="H205" s="25">
        <f>IF(AND(ISNUMBER(A205),A205=RaporTarihi),COUNTIFS($A$6:A205,RaporTarihi),"")</f>
        <v/>
      </c>
    </row>
    <row r="206">
      <c r="A206" s="23" t="n"/>
      <c r="B206" s="22" t="n"/>
      <c r="C206" s="22" t="n"/>
      <c r="D206" s="24" t="n"/>
      <c r="E206" s="22" t="n"/>
      <c r="F206" s="22" t="n"/>
      <c r="G206" s="25">
        <f>IF(COUNTA(A206:F206)=0,"",IF(OR(A206="",B206="",C206="",D206="",E206=""),"HATA: eksik bilgi",IF(OR(NOT(ISNUMBER(A206)),NOT(ISNUMBER(D206)),D206&lt;=0),"HATA: tarih/tutar geçersiz",IF(C206&lt;&gt;TRIM(C206),"HATA: isimde baştaki/sondaki boşluk",IF(COUNTIF(TurAralik,E206)=0,"HATA: ödeme türü geçersiz",IF(COUNTIFS(kOda,B206,kGiris,"&lt;="&amp;A206,kCikis,"&gt;="&amp;A206,kDurum,"&lt;&gt;İptal")=0,"HATA: bu odada o tarihte misafir yok","OK"))))))</f>
        <v/>
      </c>
      <c r="H206" s="25">
        <f>IF(AND(ISNUMBER(A206),A206=RaporTarihi),COUNTIFS($A$6:A206,RaporTarihi),"")</f>
        <v/>
      </c>
    </row>
    <row r="207">
      <c r="A207" s="23" t="n"/>
      <c r="B207" s="22" t="n"/>
      <c r="C207" s="22" t="n"/>
      <c r="D207" s="24" t="n"/>
      <c r="E207" s="22" t="n"/>
      <c r="F207" s="22" t="n"/>
      <c r="G207" s="25">
        <f>IF(COUNTA(A207:F207)=0,"",IF(OR(A207="",B207="",C207="",D207="",E207=""),"HATA: eksik bilgi",IF(OR(NOT(ISNUMBER(A207)),NOT(ISNUMBER(D207)),D207&lt;=0),"HATA: tarih/tutar geçersiz",IF(C207&lt;&gt;TRIM(C207),"HATA: isimde baştaki/sondaki boşluk",IF(COUNTIF(TurAralik,E207)=0,"HATA: ödeme türü geçersiz",IF(COUNTIFS(kOda,B207,kGiris,"&lt;="&amp;A207,kCikis,"&gt;="&amp;A207,kDurum,"&lt;&gt;İptal")=0,"HATA: bu odada o tarihte misafir yok","OK"))))))</f>
        <v/>
      </c>
      <c r="H207" s="25">
        <f>IF(AND(ISNUMBER(A207),A207=RaporTarihi),COUNTIFS($A$6:A207,RaporTarihi),"")</f>
        <v/>
      </c>
    </row>
    <row r="208">
      <c r="A208" s="23" t="n"/>
      <c r="B208" s="22" t="n"/>
      <c r="C208" s="22" t="n"/>
      <c r="D208" s="24" t="n"/>
      <c r="E208" s="22" t="n"/>
      <c r="F208" s="22" t="n"/>
      <c r="G208" s="25">
        <f>IF(COUNTA(A208:F208)=0,"",IF(OR(A208="",B208="",C208="",D208="",E208=""),"HATA: eksik bilgi",IF(OR(NOT(ISNUMBER(A208)),NOT(ISNUMBER(D208)),D208&lt;=0),"HATA: tarih/tutar geçersiz",IF(C208&lt;&gt;TRIM(C208),"HATA: isimde baştaki/sondaki boşluk",IF(COUNTIF(TurAralik,E208)=0,"HATA: ödeme türü geçersiz",IF(COUNTIFS(kOda,B208,kGiris,"&lt;="&amp;A208,kCikis,"&gt;="&amp;A208,kDurum,"&lt;&gt;İptal")=0,"HATA: bu odada o tarihte misafir yok","OK"))))))</f>
        <v/>
      </c>
      <c r="H208" s="25">
        <f>IF(AND(ISNUMBER(A208),A208=RaporTarihi),COUNTIFS($A$6:A208,RaporTarihi),"")</f>
        <v/>
      </c>
    </row>
    <row r="209">
      <c r="A209" s="23" t="n"/>
      <c r="B209" s="22" t="n"/>
      <c r="C209" s="22" t="n"/>
      <c r="D209" s="24" t="n"/>
      <c r="E209" s="22" t="n"/>
      <c r="F209" s="22" t="n"/>
      <c r="G209" s="25">
        <f>IF(COUNTA(A209:F209)=0,"",IF(OR(A209="",B209="",C209="",D209="",E209=""),"HATA: eksik bilgi",IF(OR(NOT(ISNUMBER(A209)),NOT(ISNUMBER(D209)),D209&lt;=0),"HATA: tarih/tutar geçersiz",IF(C209&lt;&gt;TRIM(C209),"HATA: isimde baştaki/sondaki boşluk",IF(COUNTIF(TurAralik,E209)=0,"HATA: ödeme türü geçersiz",IF(COUNTIFS(kOda,B209,kGiris,"&lt;="&amp;A209,kCikis,"&gt;="&amp;A209,kDurum,"&lt;&gt;İptal")=0,"HATA: bu odada o tarihte misafir yok","OK"))))))</f>
        <v/>
      </c>
      <c r="H209" s="25">
        <f>IF(AND(ISNUMBER(A209),A209=RaporTarihi),COUNTIFS($A$6:A209,RaporTarihi),"")</f>
        <v/>
      </c>
    </row>
    <row r="210">
      <c r="A210" s="23" t="n"/>
      <c r="B210" s="22" t="n"/>
      <c r="C210" s="22" t="n"/>
      <c r="D210" s="24" t="n"/>
      <c r="E210" s="22" t="n"/>
      <c r="F210" s="22" t="n"/>
      <c r="G210" s="25">
        <f>IF(COUNTA(A210:F210)=0,"",IF(OR(A210="",B210="",C210="",D210="",E210=""),"HATA: eksik bilgi",IF(OR(NOT(ISNUMBER(A210)),NOT(ISNUMBER(D210)),D210&lt;=0),"HATA: tarih/tutar geçersiz",IF(C210&lt;&gt;TRIM(C210),"HATA: isimde baştaki/sondaki boşluk",IF(COUNTIF(TurAralik,E210)=0,"HATA: ödeme türü geçersiz",IF(COUNTIFS(kOda,B210,kGiris,"&lt;="&amp;A210,kCikis,"&gt;="&amp;A210,kDurum,"&lt;&gt;İptal")=0,"HATA: bu odada o tarihte misafir yok","OK"))))))</f>
        <v/>
      </c>
      <c r="H210" s="25">
        <f>IF(AND(ISNUMBER(A210),A210=RaporTarihi),COUNTIFS($A$6:A210,RaporTarihi),"")</f>
        <v/>
      </c>
    </row>
    <row r="211">
      <c r="A211" s="23" t="n"/>
      <c r="B211" s="22" t="n"/>
      <c r="C211" s="22" t="n"/>
      <c r="D211" s="24" t="n"/>
      <c r="E211" s="22" t="n"/>
      <c r="F211" s="22" t="n"/>
      <c r="G211" s="25">
        <f>IF(COUNTA(A211:F211)=0,"",IF(OR(A211="",B211="",C211="",D211="",E211=""),"HATA: eksik bilgi",IF(OR(NOT(ISNUMBER(A211)),NOT(ISNUMBER(D211)),D211&lt;=0),"HATA: tarih/tutar geçersiz",IF(C211&lt;&gt;TRIM(C211),"HATA: isimde baştaki/sondaki boşluk",IF(COUNTIF(TurAralik,E211)=0,"HATA: ödeme türü geçersiz",IF(COUNTIFS(kOda,B211,kGiris,"&lt;="&amp;A211,kCikis,"&gt;="&amp;A211,kDurum,"&lt;&gt;İptal")=0,"HATA: bu odada o tarihte misafir yok","OK"))))))</f>
        <v/>
      </c>
      <c r="H211" s="25">
        <f>IF(AND(ISNUMBER(A211),A211=RaporTarihi),COUNTIFS($A$6:A211,RaporTarihi),"")</f>
        <v/>
      </c>
    </row>
    <row r="212">
      <c r="A212" s="23" t="n"/>
      <c r="B212" s="22" t="n"/>
      <c r="C212" s="22" t="n"/>
      <c r="D212" s="24" t="n"/>
      <c r="E212" s="22" t="n"/>
      <c r="F212" s="22" t="n"/>
      <c r="G212" s="25">
        <f>IF(COUNTA(A212:F212)=0,"",IF(OR(A212="",B212="",C212="",D212="",E212=""),"HATA: eksik bilgi",IF(OR(NOT(ISNUMBER(A212)),NOT(ISNUMBER(D212)),D212&lt;=0),"HATA: tarih/tutar geçersiz",IF(C212&lt;&gt;TRIM(C212),"HATA: isimde baştaki/sondaki boşluk",IF(COUNTIF(TurAralik,E212)=0,"HATA: ödeme türü geçersiz",IF(COUNTIFS(kOda,B212,kGiris,"&lt;="&amp;A212,kCikis,"&gt;="&amp;A212,kDurum,"&lt;&gt;İptal")=0,"HATA: bu odada o tarihte misafir yok","OK"))))))</f>
        <v/>
      </c>
      <c r="H212" s="25">
        <f>IF(AND(ISNUMBER(A212),A212=RaporTarihi),COUNTIFS($A$6:A212,RaporTarihi),"")</f>
        <v/>
      </c>
    </row>
    <row r="213">
      <c r="A213" s="23" t="n"/>
      <c r="B213" s="22" t="n"/>
      <c r="C213" s="22" t="n"/>
      <c r="D213" s="24" t="n"/>
      <c r="E213" s="22" t="n"/>
      <c r="F213" s="22" t="n"/>
      <c r="G213" s="25">
        <f>IF(COUNTA(A213:F213)=0,"",IF(OR(A213="",B213="",C213="",D213="",E213=""),"HATA: eksik bilgi",IF(OR(NOT(ISNUMBER(A213)),NOT(ISNUMBER(D213)),D213&lt;=0),"HATA: tarih/tutar geçersiz",IF(C213&lt;&gt;TRIM(C213),"HATA: isimde baştaki/sondaki boşluk",IF(COUNTIF(TurAralik,E213)=0,"HATA: ödeme türü geçersiz",IF(COUNTIFS(kOda,B213,kGiris,"&lt;="&amp;A213,kCikis,"&gt;="&amp;A213,kDurum,"&lt;&gt;İptal")=0,"HATA: bu odada o tarihte misafir yok","OK"))))))</f>
        <v/>
      </c>
      <c r="H213" s="25">
        <f>IF(AND(ISNUMBER(A213),A213=RaporTarihi),COUNTIFS($A$6:A213,RaporTarihi),"")</f>
        <v/>
      </c>
    </row>
    <row r="214">
      <c r="A214" s="23" t="n"/>
      <c r="B214" s="22" t="n"/>
      <c r="C214" s="22" t="n"/>
      <c r="D214" s="24" t="n"/>
      <c r="E214" s="22" t="n"/>
      <c r="F214" s="22" t="n"/>
      <c r="G214" s="25">
        <f>IF(COUNTA(A214:F214)=0,"",IF(OR(A214="",B214="",C214="",D214="",E214=""),"HATA: eksik bilgi",IF(OR(NOT(ISNUMBER(A214)),NOT(ISNUMBER(D214)),D214&lt;=0),"HATA: tarih/tutar geçersiz",IF(C214&lt;&gt;TRIM(C214),"HATA: isimde baştaki/sondaki boşluk",IF(COUNTIF(TurAralik,E214)=0,"HATA: ödeme türü geçersiz",IF(COUNTIFS(kOda,B214,kGiris,"&lt;="&amp;A214,kCikis,"&gt;="&amp;A214,kDurum,"&lt;&gt;İptal")=0,"HATA: bu odada o tarihte misafir yok","OK"))))))</f>
        <v/>
      </c>
      <c r="H214" s="25">
        <f>IF(AND(ISNUMBER(A214),A214=RaporTarihi),COUNTIFS($A$6:A214,RaporTarihi),"")</f>
        <v/>
      </c>
    </row>
    <row r="215">
      <c r="A215" s="23" t="n"/>
      <c r="B215" s="22" t="n"/>
      <c r="C215" s="22" t="n"/>
      <c r="D215" s="24" t="n"/>
      <c r="E215" s="22" t="n"/>
      <c r="F215" s="22" t="n"/>
      <c r="G215" s="25">
        <f>IF(COUNTA(A215:F215)=0,"",IF(OR(A215="",B215="",C215="",D215="",E215=""),"HATA: eksik bilgi",IF(OR(NOT(ISNUMBER(A215)),NOT(ISNUMBER(D215)),D215&lt;=0),"HATA: tarih/tutar geçersiz",IF(C215&lt;&gt;TRIM(C215),"HATA: isimde baştaki/sondaki boşluk",IF(COUNTIF(TurAralik,E215)=0,"HATA: ödeme türü geçersiz",IF(COUNTIFS(kOda,B215,kGiris,"&lt;="&amp;A215,kCikis,"&gt;="&amp;A215,kDurum,"&lt;&gt;İptal")=0,"HATA: bu odada o tarihte misafir yok","OK"))))))</f>
        <v/>
      </c>
      <c r="H215" s="25">
        <f>IF(AND(ISNUMBER(A215),A215=RaporTarihi),COUNTIFS($A$6:A215,RaporTarihi),"")</f>
        <v/>
      </c>
    </row>
    <row r="216">
      <c r="A216" s="23" t="n"/>
      <c r="B216" s="22" t="n"/>
      <c r="C216" s="22" t="n"/>
      <c r="D216" s="24" t="n"/>
      <c r="E216" s="22" t="n"/>
      <c r="F216" s="22" t="n"/>
      <c r="G216" s="25">
        <f>IF(COUNTA(A216:F216)=0,"",IF(OR(A216="",B216="",C216="",D216="",E216=""),"HATA: eksik bilgi",IF(OR(NOT(ISNUMBER(A216)),NOT(ISNUMBER(D216)),D216&lt;=0),"HATA: tarih/tutar geçersiz",IF(C216&lt;&gt;TRIM(C216),"HATA: isimde baştaki/sondaki boşluk",IF(COUNTIF(TurAralik,E216)=0,"HATA: ödeme türü geçersiz",IF(COUNTIFS(kOda,B216,kGiris,"&lt;="&amp;A216,kCikis,"&gt;="&amp;A216,kDurum,"&lt;&gt;İptal")=0,"HATA: bu odada o tarihte misafir yok","OK"))))))</f>
        <v/>
      </c>
      <c r="H216" s="25">
        <f>IF(AND(ISNUMBER(A216),A216=RaporTarihi),COUNTIFS($A$6:A216,RaporTarihi),"")</f>
        <v/>
      </c>
    </row>
    <row r="217">
      <c r="A217" s="23" t="n"/>
      <c r="B217" s="22" t="n"/>
      <c r="C217" s="22" t="n"/>
      <c r="D217" s="24" t="n"/>
      <c r="E217" s="22" t="n"/>
      <c r="F217" s="22" t="n"/>
      <c r="G217" s="25">
        <f>IF(COUNTA(A217:F217)=0,"",IF(OR(A217="",B217="",C217="",D217="",E217=""),"HATA: eksik bilgi",IF(OR(NOT(ISNUMBER(A217)),NOT(ISNUMBER(D217)),D217&lt;=0),"HATA: tarih/tutar geçersiz",IF(C217&lt;&gt;TRIM(C217),"HATA: isimde baştaki/sondaki boşluk",IF(COUNTIF(TurAralik,E217)=0,"HATA: ödeme türü geçersiz",IF(COUNTIFS(kOda,B217,kGiris,"&lt;="&amp;A217,kCikis,"&gt;="&amp;A217,kDurum,"&lt;&gt;İptal")=0,"HATA: bu odada o tarihte misafir yok","OK"))))))</f>
        <v/>
      </c>
      <c r="H217" s="25">
        <f>IF(AND(ISNUMBER(A217),A217=RaporTarihi),COUNTIFS($A$6:A217,RaporTarihi),"")</f>
        <v/>
      </c>
    </row>
    <row r="218">
      <c r="A218" s="23" t="n"/>
      <c r="B218" s="22" t="n"/>
      <c r="C218" s="22" t="n"/>
      <c r="D218" s="24" t="n"/>
      <c r="E218" s="22" t="n"/>
      <c r="F218" s="22" t="n"/>
      <c r="G218" s="25">
        <f>IF(COUNTA(A218:F218)=0,"",IF(OR(A218="",B218="",C218="",D218="",E218=""),"HATA: eksik bilgi",IF(OR(NOT(ISNUMBER(A218)),NOT(ISNUMBER(D218)),D218&lt;=0),"HATA: tarih/tutar geçersiz",IF(C218&lt;&gt;TRIM(C218),"HATA: isimde baştaki/sondaki boşluk",IF(COUNTIF(TurAralik,E218)=0,"HATA: ödeme türü geçersiz",IF(COUNTIFS(kOda,B218,kGiris,"&lt;="&amp;A218,kCikis,"&gt;="&amp;A218,kDurum,"&lt;&gt;İptal")=0,"HATA: bu odada o tarihte misafir yok","OK"))))))</f>
        <v/>
      </c>
      <c r="H218" s="25">
        <f>IF(AND(ISNUMBER(A218),A218=RaporTarihi),COUNTIFS($A$6:A218,RaporTarihi),"")</f>
        <v/>
      </c>
    </row>
    <row r="219">
      <c r="A219" s="23" t="n"/>
      <c r="B219" s="22" t="n"/>
      <c r="C219" s="22" t="n"/>
      <c r="D219" s="24" t="n"/>
      <c r="E219" s="22" t="n"/>
      <c r="F219" s="22" t="n"/>
      <c r="G219" s="25">
        <f>IF(COUNTA(A219:F219)=0,"",IF(OR(A219="",B219="",C219="",D219="",E219=""),"HATA: eksik bilgi",IF(OR(NOT(ISNUMBER(A219)),NOT(ISNUMBER(D219)),D219&lt;=0),"HATA: tarih/tutar geçersiz",IF(C219&lt;&gt;TRIM(C219),"HATA: isimde baştaki/sondaki boşluk",IF(COUNTIF(TurAralik,E219)=0,"HATA: ödeme türü geçersiz",IF(COUNTIFS(kOda,B219,kGiris,"&lt;="&amp;A219,kCikis,"&gt;="&amp;A219,kDurum,"&lt;&gt;İptal")=0,"HATA: bu odada o tarihte misafir yok","OK"))))))</f>
        <v/>
      </c>
      <c r="H219" s="25">
        <f>IF(AND(ISNUMBER(A219),A219=RaporTarihi),COUNTIFS($A$6:A219,RaporTarihi),"")</f>
        <v/>
      </c>
    </row>
    <row r="220">
      <c r="A220" s="23" t="n"/>
      <c r="B220" s="22" t="n"/>
      <c r="C220" s="22" t="n"/>
      <c r="D220" s="24" t="n"/>
      <c r="E220" s="22" t="n"/>
      <c r="F220" s="22" t="n"/>
      <c r="G220" s="25">
        <f>IF(COUNTA(A220:F220)=0,"",IF(OR(A220="",B220="",C220="",D220="",E220=""),"HATA: eksik bilgi",IF(OR(NOT(ISNUMBER(A220)),NOT(ISNUMBER(D220)),D220&lt;=0),"HATA: tarih/tutar geçersiz",IF(C220&lt;&gt;TRIM(C220),"HATA: isimde baştaki/sondaki boşluk",IF(COUNTIF(TurAralik,E220)=0,"HATA: ödeme türü geçersiz",IF(COUNTIFS(kOda,B220,kGiris,"&lt;="&amp;A220,kCikis,"&gt;="&amp;A220,kDurum,"&lt;&gt;İptal")=0,"HATA: bu odada o tarihte misafir yok","OK"))))))</f>
        <v/>
      </c>
      <c r="H220" s="25">
        <f>IF(AND(ISNUMBER(A220),A220=RaporTarihi),COUNTIFS($A$6:A220,RaporTarihi),"")</f>
        <v/>
      </c>
    </row>
    <row r="221">
      <c r="A221" s="23" t="n"/>
      <c r="B221" s="22" t="n"/>
      <c r="C221" s="22" t="n"/>
      <c r="D221" s="24" t="n"/>
      <c r="E221" s="22" t="n"/>
      <c r="F221" s="22" t="n"/>
      <c r="G221" s="25">
        <f>IF(COUNTA(A221:F221)=0,"",IF(OR(A221="",B221="",C221="",D221="",E221=""),"HATA: eksik bilgi",IF(OR(NOT(ISNUMBER(A221)),NOT(ISNUMBER(D221)),D221&lt;=0),"HATA: tarih/tutar geçersiz",IF(C221&lt;&gt;TRIM(C221),"HATA: isimde baştaki/sondaki boşluk",IF(COUNTIF(TurAralik,E221)=0,"HATA: ödeme türü geçersiz",IF(COUNTIFS(kOda,B221,kGiris,"&lt;="&amp;A221,kCikis,"&gt;="&amp;A221,kDurum,"&lt;&gt;İptal")=0,"HATA: bu odada o tarihte misafir yok","OK"))))))</f>
        <v/>
      </c>
      <c r="H221" s="25">
        <f>IF(AND(ISNUMBER(A221),A221=RaporTarihi),COUNTIFS($A$6:A221,RaporTarihi),"")</f>
        <v/>
      </c>
    </row>
    <row r="222">
      <c r="A222" s="23" t="n"/>
      <c r="B222" s="22" t="n"/>
      <c r="C222" s="22" t="n"/>
      <c r="D222" s="24" t="n"/>
      <c r="E222" s="22" t="n"/>
      <c r="F222" s="22" t="n"/>
      <c r="G222" s="25">
        <f>IF(COUNTA(A222:F222)=0,"",IF(OR(A222="",B222="",C222="",D222="",E222=""),"HATA: eksik bilgi",IF(OR(NOT(ISNUMBER(A222)),NOT(ISNUMBER(D222)),D222&lt;=0),"HATA: tarih/tutar geçersiz",IF(C222&lt;&gt;TRIM(C222),"HATA: isimde baştaki/sondaki boşluk",IF(COUNTIF(TurAralik,E222)=0,"HATA: ödeme türü geçersiz",IF(COUNTIFS(kOda,B222,kGiris,"&lt;="&amp;A222,kCikis,"&gt;="&amp;A222,kDurum,"&lt;&gt;İptal")=0,"HATA: bu odada o tarihte misafir yok","OK"))))))</f>
        <v/>
      </c>
      <c r="H222" s="25">
        <f>IF(AND(ISNUMBER(A222),A222=RaporTarihi),COUNTIFS($A$6:A222,RaporTarihi),"")</f>
        <v/>
      </c>
    </row>
    <row r="223">
      <c r="A223" s="23" t="n"/>
      <c r="B223" s="22" t="n"/>
      <c r="C223" s="22" t="n"/>
      <c r="D223" s="24" t="n"/>
      <c r="E223" s="22" t="n"/>
      <c r="F223" s="22" t="n"/>
      <c r="G223" s="25">
        <f>IF(COUNTA(A223:F223)=0,"",IF(OR(A223="",B223="",C223="",D223="",E223=""),"HATA: eksik bilgi",IF(OR(NOT(ISNUMBER(A223)),NOT(ISNUMBER(D223)),D223&lt;=0),"HATA: tarih/tutar geçersiz",IF(C223&lt;&gt;TRIM(C223),"HATA: isimde baştaki/sondaki boşluk",IF(COUNTIF(TurAralik,E223)=0,"HATA: ödeme türü geçersiz",IF(COUNTIFS(kOda,B223,kGiris,"&lt;="&amp;A223,kCikis,"&gt;="&amp;A223,kDurum,"&lt;&gt;İptal")=0,"HATA: bu odada o tarihte misafir yok","OK"))))))</f>
        <v/>
      </c>
      <c r="H223" s="25">
        <f>IF(AND(ISNUMBER(A223),A223=RaporTarihi),COUNTIFS($A$6:A223,RaporTarihi),"")</f>
        <v/>
      </c>
    </row>
    <row r="224">
      <c r="A224" s="23" t="n"/>
      <c r="B224" s="22" t="n"/>
      <c r="C224" s="22" t="n"/>
      <c r="D224" s="24" t="n"/>
      <c r="E224" s="22" t="n"/>
      <c r="F224" s="22" t="n"/>
      <c r="G224" s="25">
        <f>IF(COUNTA(A224:F224)=0,"",IF(OR(A224="",B224="",C224="",D224="",E224=""),"HATA: eksik bilgi",IF(OR(NOT(ISNUMBER(A224)),NOT(ISNUMBER(D224)),D224&lt;=0),"HATA: tarih/tutar geçersiz",IF(C224&lt;&gt;TRIM(C224),"HATA: isimde baştaki/sondaki boşluk",IF(COUNTIF(TurAralik,E224)=0,"HATA: ödeme türü geçersiz",IF(COUNTIFS(kOda,B224,kGiris,"&lt;="&amp;A224,kCikis,"&gt;="&amp;A224,kDurum,"&lt;&gt;İptal")=0,"HATA: bu odada o tarihte misafir yok","OK"))))))</f>
        <v/>
      </c>
      <c r="H224" s="25">
        <f>IF(AND(ISNUMBER(A224),A224=RaporTarihi),COUNTIFS($A$6:A224,RaporTarihi),"")</f>
        <v/>
      </c>
    </row>
    <row r="225">
      <c r="A225" s="23" t="n"/>
      <c r="B225" s="22" t="n"/>
      <c r="C225" s="22" t="n"/>
      <c r="D225" s="24" t="n"/>
      <c r="E225" s="22" t="n"/>
      <c r="F225" s="22" t="n"/>
      <c r="G225" s="25">
        <f>IF(COUNTA(A225:F225)=0,"",IF(OR(A225="",B225="",C225="",D225="",E225=""),"HATA: eksik bilgi",IF(OR(NOT(ISNUMBER(A225)),NOT(ISNUMBER(D225)),D225&lt;=0),"HATA: tarih/tutar geçersiz",IF(C225&lt;&gt;TRIM(C225),"HATA: isimde baştaki/sondaki boşluk",IF(COUNTIF(TurAralik,E225)=0,"HATA: ödeme türü geçersiz",IF(COUNTIFS(kOda,B225,kGiris,"&lt;="&amp;A225,kCikis,"&gt;="&amp;A225,kDurum,"&lt;&gt;İptal")=0,"HATA: bu odada o tarihte misafir yok","OK"))))))</f>
        <v/>
      </c>
      <c r="H225" s="25">
        <f>IF(AND(ISNUMBER(A225),A225=RaporTarihi),COUNTIFS($A$6:A225,RaporTarihi),"")</f>
        <v/>
      </c>
    </row>
    <row r="226">
      <c r="A226" s="23" t="n"/>
      <c r="B226" s="22" t="n"/>
      <c r="C226" s="22" t="n"/>
      <c r="D226" s="24" t="n"/>
      <c r="E226" s="22" t="n"/>
      <c r="F226" s="22" t="n"/>
      <c r="G226" s="25">
        <f>IF(COUNTA(A226:F226)=0,"",IF(OR(A226="",B226="",C226="",D226="",E226=""),"HATA: eksik bilgi",IF(OR(NOT(ISNUMBER(A226)),NOT(ISNUMBER(D226)),D226&lt;=0),"HATA: tarih/tutar geçersiz",IF(C226&lt;&gt;TRIM(C226),"HATA: isimde baştaki/sondaki boşluk",IF(COUNTIF(TurAralik,E226)=0,"HATA: ödeme türü geçersiz",IF(COUNTIFS(kOda,B226,kGiris,"&lt;="&amp;A226,kCikis,"&gt;="&amp;A226,kDurum,"&lt;&gt;İptal")=0,"HATA: bu odada o tarihte misafir yok","OK"))))))</f>
        <v/>
      </c>
      <c r="H226" s="25">
        <f>IF(AND(ISNUMBER(A226),A226=RaporTarihi),COUNTIFS($A$6:A226,RaporTarihi),"")</f>
        <v/>
      </c>
    </row>
    <row r="227">
      <c r="A227" s="23" t="n"/>
      <c r="B227" s="22" t="n"/>
      <c r="C227" s="22" t="n"/>
      <c r="D227" s="24" t="n"/>
      <c r="E227" s="22" t="n"/>
      <c r="F227" s="22" t="n"/>
      <c r="G227" s="25">
        <f>IF(COUNTA(A227:F227)=0,"",IF(OR(A227="",B227="",C227="",D227="",E227=""),"HATA: eksik bilgi",IF(OR(NOT(ISNUMBER(A227)),NOT(ISNUMBER(D227)),D227&lt;=0),"HATA: tarih/tutar geçersiz",IF(C227&lt;&gt;TRIM(C227),"HATA: isimde baştaki/sondaki boşluk",IF(COUNTIF(TurAralik,E227)=0,"HATA: ödeme türü geçersiz",IF(COUNTIFS(kOda,B227,kGiris,"&lt;="&amp;A227,kCikis,"&gt;="&amp;A227,kDurum,"&lt;&gt;İptal")=0,"HATA: bu odada o tarihte misafir yok","OK"))))))</f>
        <v/>
      </c>
      <c r="H227" s="25">
        <f>IF(AND(ISNUMBER(A227),A227=RaporTarihi),COUNTIFS($A$6:A227,RaporTarihi),"")</f>
        <v/>
      </c>
    </row>
    <row r="228">
      <c r="A228" s="23" t="n"/>
      <c r="B228" s="22" t="n"/>
      <c r="C228" s="22" t="n"/>
      <c r="D228" s="24" t="n"/>
      <c r="E228" s="22" t="n"/>
      <c r="F228" s="22" t="n"/>
      <c r="G228" s="25">
        <f>IF(COUNTA(A228:F228)=0,"",IF(OR(A228="",B228="",C228="",D228="",E228=""),"HATA: eksik bilgi",IF(OR(NOT(ISNUMBER(A228)),NOT(ISNUMBER(D228)),D228&lt;=0),"HATA: tarih/tutar geçersiz",IF(C228&lt;&gt;TRIM(C228),"HATA: isimde baştaki/sondaki boşluk",IF(COUNTIF(TurAralik,E228)=0,"HATA: ödeme türü geçersiz",IF(COUNTIFS(kOda,B228,kGiris,"&lt;="&amp;A228,kCikis,"&gt;="&amp;A228,kDurum,"&lt;&gt;İptal")=0,"HATA: bu odada o tarihte misafir yok","OK"))))))</f>
        <v/>
      </c>
      <c r="H228" s="25">
        <f>IF(AND(ISNUMBER(A228),A228=RaporTarihi),COUNTIFS($A$6:A228,RaporTarihi),"")</f>
        <v/>
      </c>
    </row>
    <row r="229">
      <c r="A229" s="23" t="n"/>
      <c r="B229" s="22" t="n"/>
      <c r="C229" s="22" t="n"/>
      <c r="D229" s="24" t="n"/>
      <c r="E229" s="22" t="n"/>
      <c r="F229" s="22" t="n"/>
      <c r="G229" s="25">
        <f>IF(COUNTA(A229:F229)=0,"",IF(OR(A229="",B229="",C229="",D229="",E229=""),"HATA: eksik bilgi",IF(OR(NOT(ISNUMBER(A229)),NOT(ISNUMBER(D229)),D229&lt;=0),"HATA: tarih/tutar geçersiz",IF(C229&lt;&gt;TRIM(C229),"HATA: isimde baştaki/sondaki boşluk",IF(COUNTIF(TurAralik,E229)=0,"HATA: ödeme türü geçersiz",IF(COUNTIFS(kOda,B229,kGiris,"&lt;="&amp;A229,kCikis,"&gt;="&amp;A229,kDurum,"&lt;&gt;İptal")=0,"HATA: bu odada o tarihte misafir yok","OK"))))))</f>
        <v/>
      </c>
      <c r="H229" s="25">
        <f>IF(AND(ISNUMBER(A229),A229=RaporTarihi),COUNTIFS($A$6:A229,RaporTarihi),"")</f>
        <v/>
      </c>
    </row>
    <row r="230">
      <c r="A230" s="23" t="n"/>
      <c r="B230" s="22" t="n"/>
      <c r="C230" s="22" t="n"/>
      <c r="D230" s="24" t="n"/>
      <c r="E230" s="22" t="n"/>
      <c r="F230" s="22" t="n"/>
      <c r="G230" s="25">
        <f>IF(COUNTA(A230:F230)=0,"",IF(OR(A230="",B230="",C230="",D230="",E230=""),"HATA: eksik bilgi",IF(OR(NOT(ISNUMBER(A230)),NOT(ISNUMBER(D230)),D230&lt;=0),"HATA: tarih/tutar geçersiz",IF(C230&lt;&gt;TRIM(C230),"HATA: isimde baştaki/sondaki boşluk",IF(COUNTIF(TurAralik,E230)=0,"HATA: ödeme türü geçersiz",IF(COUNTIFS(kOda,B230,kGiris,"&lt;="&amp;A230,kCikis,"&gt;="&amp;A230,kDurum,"&lt;&gt;İptal")=0,"HATA: bu odada o tarihte misafir yok","OK"))))))</f>
        <v/>
      </c>
      <c r="H230" s="25">
        <f>IF(AND(ISNUMBER(A230),A230=RaporTarihi),COUNTIFS($A$6:A230,RaporTarihi),"")</f>
        <v/>
      </c>
    </row>
    <row r="231">
      <c r="A231" s="23" t="n"/>
      <c r="B231" s="22" t="n"/>
      <c r="C231" s="22" t="n"/>
      <c r="D231" s="24" t="n"/>
      <c r="E231" s="22" t="n"/>
      <c r="F231" s="22" t="n"/>
      <c r="G231" s="25">
        <f>IF(COUNTA(A231:F231)=0,"",IF(OR(A231="",B231="",C231="",D231="",E231=""),"HATA: eksik bilgi",IF(OR(NOT(ISNUMBER(A231)),NOT(ISNUMBER(D231)),D231&lt;=0),"HATA: tarih/tutar geçersiz",IF(C231&lt;&gt;TRIM(C231),"HATA: isimde baştaki/sondaki boşluk",IF(COUNTIF(TurAralik,E231)=0,"HATA: ödeme türü geçersiz",IF(COUNTIFS(kOda,B231,kGiris,"&lt;="&amp;A231,kCikis,"&gt;="&amp;A231,kDurum,"&lt;&gt;İptal")=0,"HATA: bu odada o tarihte misafir yok","OK"))))))</f>
        <v/>
      </c>
      <c r="H231" s="25">
        <f>IF(AND(ISNUMBER(A231),A231=RaporTarihi),COUNTIFS($A$6:A231,RaporTarihi),"")</f>
        <v/>
      </c>
    </row>
    <row r="232">
      <c r="A232" s="23" t="n"/>
      <c r="B232" s="22" t="n"/>
      <c r="C232" s="22" t="n"/>
      <c r="D232" s="24" t="n"/>
      <c r="E232" s="22" t="n"/>
      <c r="F232" s="22" t="n"/>
      <c r="G232" s="25">
        <f>IF(COUNTA(A232:F232)=0,"",IF(OR(A232="",B232="",C232="",D232="",E232=""),"HATA: eksik bilgi",IF(OR(NOT(ISNUMBER(A232)),NOT(ISNUMBER(D232)),D232&lt;=0),"HATA: tarih/tutar geçersiz",IF(C232&lt;&gt;TRIM(C232),"HATA: isimde baştaki/sondaki boşluk",IF(COUNTIF(TurAralik,E232)=0,"HATA: ödeme türü geçersiz",IF(COUNTIFS(kOda,B232,kGiris,"&lt;="&amp;A232,kCikis,"&gt;="&amp;A232,kDurum,"&lt;&gt;İptal")=0,"HATA: bu odada o tarihte misafir yok","OK"))))))</f>
        <v/>
      </c>
      <c r="H232" s="25">
        <f>IF(AND(ISNUMBER(A232),A232=RaporTarihi),COUNTIFS($A$6:A232,RaporTarihi),"")</f>
        <v/>
      </c>
    </row>
    <row r="233">
      <c r="A233" s="23" t="n"/>
      <c r="B233" s="22" t="n"/>
      <c r="C233" s="22" t="n"/>
      <c r="D233" s="24" t="n"/>
      <c r="E233" s="22" t="n"/>
      <c r="F233" s="22" t="n"/>
      <c r="G233" s="25">
        <f>IF(COUNTA(A233:F233)=0,"",IF(OR(A233="",B233="",C233="",D233="",E233=""),"HATA: eksik bilgi",IF(OR(NOT(ISNUMBER(A233)),NOT(ISNUMBER(D233)),D233&lt;=0),"HATA: tarih/tutar geçersiz",IF(C233&lt;&gt;TRIM(C233),"HATA: isimde baştaki/sondaki boşluk",IF(COUNTIF(TurAralik,E233)=0,"HATA: ödeme türü geçersiz",IF(COUNTIFS(kOda,B233,kGiris,"&lt;="&amp;A233,kCikis,"&gt;="&amp;A233,kDurum,"&lt;&gt;İptal")=0,"HATA: bu odada o tarihte misafir yok","OK"))))))</f>
        <v/>
      </c>
      <c r="H233" s="25">
        <f>IF(AND(ISNUMBER(A233),A233=RaporTarihi),COUNTIFS($A$6:A233,RaporTarihi),"")</f>
        <v/>
      </c>
    </row>
    <row r="234">
      <c r="A234" s="23" t="n"/>
      <c r="B234" s="22" t="n"/>
      <c r="C234" s="22" t="n"/>
      <c r="D234" s="24" t="n"/>
      <c r="E234" s="22" t="n"/>
      <c r="F234" s="22" t="n"/>
      <c r="G234" s="25">
        <f>IF(COUNTA(A234:F234)=0,"",IF(OR(A234="",B234="",C234="",D234="",E234=""),"HATA: eksik bilgi",IF(OR(NOT(ISNUMBER(A234)),NOT(ISNUMBER(D234)),D234&lt;=0),"HATA: tarih/tutar geçersiz",IF(C234&lt;&gt;TRIM(C234),"HATA: isimde baştaki/sondaki boşluk",IF(COUNTIF(TurAralik,E234)=0,"HATA: ödeme türü geçersiz",IF(COUNTIFS(kOda,B234,kGiris,"&lt;="&amp;A234,kCikis,"&gt;="&amp;A234,kDurum,"&lt;&gt;İptal")=0,"HATA: bu odada o tarihte misafir yok","OK"))))))</f>
        <v/>
      </c>
      <c r="H234" s="25">
        <f>IF(AND(ISNUMBER(A234),A234=RaporTarihi),COUNTIFS($A$6:A234,RaporTarihi),"")</f>
        <v/>
      </c>
    </row>
    <row r="235">
      <c r="A235" s="23" t="n"/>
      <c r="B235" s="22" t="n"/>
      <c r="C235" s="22" t="n"/>
      <c r="D235" s="24" t="n"/>
      <c r="E235" s="22" t="n"/>
      <c r="F235" s="22" t="n"/>
      <c r="G235" s="25">
        <f>IF(COUNTA(A235:F235)=0,"",IF(OR(A235="",B235="",C235="",D235="",E235=""),"HATA: eksik bilgi",IF(OR(NOT(ISNUMBER(A235)),NOT(ISNUMBER(D235)),D235&lt;=0),"HATA: tarih/tutar geçersiz",IF(C235&lt;&gt;TRIM(C235),"HATA: isimde baştaki/sondaki boşluk",IF(COUNTIF(TurAralik,E235)=0,"HATA: ödeme türü geçersiz",IF(COUNTIFS(kOda,B235,kGiris,"&lt;="&amp;A235,kCikis,"&gt;="&amp;A235,kDurum,"&lt;&gt;İptal")=0,"HATA: bu odada o tarihte misafir yok","OK"))))))</f>
        <v/>
      </c>
      <c r="H235" s="25">
        <f>IF(AND(ISNUMBER(A235),A235=RaporTarihi),COUNTIFS($A$6:A235,RaporTarihi),"")</f>
        <v/>
      </c>
    </row>
    <row r="236">
      <c r="A236" s="23" t="n"/>
      <c r="B236" s="22" t="n"/>
      <c r="C236" s="22" t="n"/>
      <c r="D236" s="24" t="n"/>
      <c r="E236" s="22" t="n"/>
      <c r="F236" s="22" t="n"/>
      <c r="G236" s="25">
        <f>IF(COUNTA(A236:F236)=0,"",IF(OR(A236="",B236="",C236="",D236="",E236=""),"HATA: eksik bilgi",IF(OR(NOT(ISNUMBER(A236)),NOT(ISNUMBER(D236)),D236&lt;=0),"HATA: tarih/tutar geçersiz",IF(C236&lt;&gt;TRIM(C236),"HATA: isimde baştaki/sondaki boşluk",IF(COUNTIF(TurAralik,E236)=0,"HATA: ödeme türü geçersiz",IF(COUNTIFS(kOda,B236,kGiris,"&lt;="&amp;A236,kCikis,"&gt;="&amp;A236,kDurum,"&lt;&gt;İptal")=0,"HATA: bu odada o tarihte misafir yok","OK"))))))</f>
        <v/>
      </c>
      <c r="H236" s="25">
        <f>IF(AND(ISNUMBER(A236),A236=RaporTarihi),COUNTIFS($A$6:A236,RaporTarihi),"")</f>
        <v/>
      </c>
    </row>
    <row r="237">
      <c r="A237" s="23" t="n"/>
      <c r="B237" s="22" t="n"/>
      <c r="C237" s="22" t="n"/>
      <c r="D237" s="24" t="n"/>
      <c r="E237" s="22" t="n"/>
      <c r="F237" s="22" t="n"/>
      <c r="G237" s="25">
        <f>IF(COUNTA(A237:F237)=0,"",IF(OR(A237="",B237="",C237="",D237="",E237=""),"HATA: eksik bilgi",IF(OR(NOT(ISNUMBER(A237)),NOT(ISNUMBER(D237)),D237&lt;=0),"HATA: tarih/tutar geçersiz",IF(C237&lt;&gt;TRIM(C237),"HATA: isimde baştaki/sondaki boşluk",IF(COUNTIF(TurAralik,E237)=0,"HATA: ödeme türü geçersiz",IF(COUNTIFS(kOda,B237,kGiris,"&lt;="&amp;A237,kCikis,"&gt;="&amp;A237,kDurum,"&lt;&gt;İptal")=0,"HATA: bu odada o tarihte misafir yok","OK"))))))</f>
        <v/>
      </c>
      <c r="H237" s="25">
        <f>IF(AND(ISNUMBER(A237),A237=RaporTarihi),COUNTIFS($A$6:A237,RaporTarihi),"")</f>
        <v/>
      </c>
    </row>
    <row r="238">
      <c r="A238" s="23" t="n"/>
      <c r="B238" s="22" t="n"/>
      <c r="C238" s="22" t="n"/>
      <c r="D238" s="24" t="n"/>
      <c r="E238" s="22" t="n"/>
      <c r="F238" s="22" t="n"/>
      <c r="G238" s="25">
        <f>IF(COUNTA(A238:F238)=0,"",IF(OR(A238="",B238="",C238="",D238="",E238=""),"HATA: eksik bilgi",IF(OR(NOT(ISNUMBER(A238)),NOT(ISNUMBER(D238)),D238&lt;=0),"HATA: tarih/tutar geçersiz",IF(C238&lt;&gt;TRIM(C238),"HATA: isimde baştaki/sondaki boşluk",IF(COUNTIF(TurAralik,E238)=0,"HATA: ödeme türü geçersiz",IF(COUNTIFS(kOda,B238,kGiris,"&lt;="&amp;A238,kCikis,"&gt;="&amp;A238,kDurum,"&lt;&gt;İptal")=0,"HATA: bu odada o tarihte misafir yok","OK"))))))</f>
        <v/>
      </c>
      <c r="H238" s="25">
        <f>IF(AND(ISNUMBER(A238),A238=RaporTarihi),COUNTIFS($A$6:A238,RaporTarihi),"")</f>
        <v/>
      </c>
    </row>
    <row r="239">
      <c r="A239" s="23" t="n"/>
      <c r="B239" s="22" t="n"/>
      <c r="C239" s="22" t="n"/>
      <c r="D239" s="24" t="n"/>
      <c r="E239" s="22" t="n"/>
      <c r="F239" s="22" t="n"/>
      <c r="G239" s="25">
        <f>IF(COUNTA(A239:F239)=0,"",IF(OR(A239="",B239="",C239="",D239="",E239=""),"HATA: eksik bilgi",IF(OR(NOT(ISNUMBER(A239)),NOT(ISNUMBER(D239)),D239&lt;=0),"HATA: tarih/tutar geçersiz",IF(C239&lt;&gt;TRIM(C239),"HATA: isimde baştaki/sondaki boşluk",IF(COUNTIF(TurAralik,E239)=0,"HATA: ödeme türü geçersiz",IF(COUNTIFS(kOda,B239,kGiris,"&lt;="&amp;A239,kCikis,"&gt;="&amp;A239,kDurum,"&lt;&gt;İptal")=0,"HATA: bu odada o tarihte misafir yok","OK"))))))</f>
        <v/>
      </c>
      <c r="H239" s="25">
        <f>IF(AND(ISNUMBER(A239),A239=RaporTarihi),COUNTIFS($A$6:A239,RaporTarihi),"")</f>
        <v/>
      </c>
    </row>
    <row r="240">
      <c r="A240" s="23" t="n"/>
      <c r="B240" s="22" t="n"/>
      <c r="C240" s="22" t="n"/>
      <c r="D240" s="24" t="n"/>
      <c r="E240" s="22" t="n"/>
      <c r="F240" s="22" t="n"/>
      <c r="G240" s="25">
        <f>IF(COUNTA(A240:F240)=0,"",IF(OR(A240="",B240="",C240="",D240="",E240=""),"HATA: eksik bilgi",IF(OR(NOT(ISNUMBER(A240)),NOT(ISNUMBER(D240)),D240&lt;=0),"HATA: tarih/tutar geçersiz",IF(C240&lt;&gt;TRIM(C240),"HATA: isimde baştaki/sondaki boşluk",IF(COUNTIF(TurAralik,E240)=0,"HATA: ödeme türü geçersiz",IF(COUNTIFS(kOda,B240,kGiris,"&lt;="&amp;A240,kCikis,"&gt;="&amp;A240,kDurum,"&lt;&gt;İptal")=0,"HATA: bu odada o tarihte misafir yok","OK"))))))</f>
        <v/>
      </c>
      <c r="H240" s="25">
        <f>IF(AND(ISNUMBER(A240),A240=RaporTarihi),COUNTIFS($A$6:A240,RaporTarihi),"")</f>
        <v/>
      </c>
    </row>
    <row r="241">
      <c r="A241" s="23" t="n"/>
      <c r="B241" s="22" t="n"/>
      <c r="C241" s="22" t="n"/>
      <c r="D241" s="24" t="n"/>
      <c r="E241" s="22" t="n"/>
      <c r="F241" s="22" t="n"/>
      <c r="G241" s="25">
        <f>IF(COUNTA(A241:F241)=0,"",IF(OR(A241="",B241="",C241="",D241="",E241=""),"HATA: eksik bilgi",IF(OR(NOT(ISNUMBER(A241)),NOT(ISNUMBER(D241)),D241&lt;=0),"HATA: tarih/tutar geçersiz",IF(C241&lt;&gt;TRIM(C241),"HATA: isimde baştaki/sondaki boşluk",IF(COUNTIF(TurAralik,E241)=0,"HATA: ödeme türü geçersiz",IF(COUNTIFS(kOda,B241,kGiris,"&lt;="&amp;A241,kCikis,"&gt;="&amp;A241,kDurum,"&lt;&gt;İptal")=0,"HATA: bu odada o tarihte misafir yok","OK"))))))</f>
        <v/>
      </c>
      <c r="H241" s="25">
        <f>IF(AND(ISNUMBER(A241),A241=RaporTarihi),COUNTIFS($A$6:A241,RaporTarihi),"")</f>
        <v/>
      </c>
    </row>
    <row r="242">
      <c r="A242" s="23" t="n"/>
      <c r="B242" s="22" t="n"/>
      <c r="C242" s="22" t="n"/>
      <c r="D242" s="24" t="n"/>
      <c r="E242" s="22" t="n"/>
      <c r="F242" s="22" t="n"/>
      <c r="G242" s="25">
        <f>IF(COUNTA(A242:F242)=0,"",IF(OR(A242="",B242="",C242="",D242="",E242=""),"HATA: eksik bilgi",IF(OR(NOT(ISNUMBER(A242)),NOT(ISNUMBER(D242)),D242&lt;=0),"HATA: tarih/tutar geçersiz",IF(C242&lt;&gt;TRIM(C242),"HATA: isimde baştaki/sondaki boşluk",IF(COUNTIF(TurAralik,E242)=0,"HATA: ödeme türü geçersiz",IF(COUNTIFS(kOda,B242,kGiris,"&lt;="&amp;A242,kCikis,"&gt;="&amp;A242,kDurum,"&lt;&gt;İptal")=0,"HATA: bu odada o tarihte misafir yok","OK"))))))</f>
        <v/>
      </c>
      <c r="H242" s="25">
        <f>IF(AND(ISNUMBER(A242),A242=RaporTarihi),COUNTIFS($A$6:A242,RaporTarihi),"")</f>
        <v/>
      </c>
    </row>
    <row r="243">
      <c r="A243" s="23" t="n"/>
      <c r="B243" s="22" t="n"/>
      <c r="C243" s="22" t="n"/>
      <c r="D243" s="24" t="n"/>
      <c r="E243" s="22" t="n"/>
      <c r="F243" s="22" t="n"/>
      <c r="G243" s="25">
        <f>IF(COUNTA(A243:F243)=0,"",IF(OR(A243="",B243="",C243="",D243="",E243=""),"HATA: eksik bilgi",IF(OR(NOT(ISNUMBER(A243)),NOT(ISNUMBER(D243)),D243&lt;=0),"HATA: tarih/tutar geçersiz",IF(C243&lt;&gt;TRIM(C243),"HATA: isimde baştaki/sondaki boşluk",IF(COUNTIF(TurAralik,E243)=0,"HATA: ödeme türü geçersiz",IF(COUNTIFS(kOda,B243,kGiris,"&lt;="&amp;A243,kCikis,"&gt;="&amp;A243,kDurum,"&lt;&gt;İptal")=0,"HATA: bu odada o tarihte misafir yok","OK"))))))</f>
        <v/>
      </c>
      <c r="H243" s="25">
        <f>IF(AND(ISNUMBER(A243),A243=RaporTarihi),COUNTIFS($A$6:A243,RaporTarihi),"")</f>
        <v/>
      </c>
    </row>
    <row r="244">
      <c r="A244" s="23" t="n"/>
      <c r="B244" s="22" t="n"/>
      <c r="C244" s="22" t="n"/>
      <c r="D244" s="24" t="n"/>
      <c r="E244" s="22" t="n"/>
      <c r="F244" s="22" t="n"/>
      <c r="G244" s="25">
        <f>IF(COUNTA(A244:F244)=0,"",IF(OR(A244="",B244="",C244="",D244="",E244=""),"HATA: eksik bilgi",IF(OR(NOT(ISNUMBER(A244)),NOT(ISNUMBER(D244)),D244&lt;=0),"HATA: tarih/tutar geçersiz",IF(C244&lt;&gt;TRIM(C244),"HATA: isimde baştaki/sondaki boşluk",IF(COUNTIF(TurAralik,E244)=0,"HATA: ödeme türü geçersiz",IF(COUNTIFS(kOda,B244,kGiris,"&lt;="&amp;A244,kCikis,"&gt;="&amp;A244,kDurum,"&lt;&gt;İptal")=0,"HATA: bu odada o tarihte misafir yok","OK"))))))</f>
        <v/>
      </c>
      <c r="H244" s="25">
        <f>IF(AND(ISNUMBER(A244),A244=RaporTarihi),COUNTIFS($A$6:A244,RaporTarihi),"")</f>
        <v/>
      </c>
    </row>
    <row r="245">
      <c r="A245" s="23" t="n"/>
      <c r="B245" s="22" t="n"/>
      <c r="C245" s="22" t="n"/>
      <c r="D245" s="24" t="n"/>
      <c r="E245" s="22" t="n"/>
      <c r="F245" s="22" t="n"/>
      <c r="G245" s="25">
        <f>IF(COUNTA(A245:F245)=0,"",IF(OR(A245="",B245="",C245="",D245="",E245=""),"HATA: eksik bilgi",IF(OR(NOT(ISNUMBER(A245)),NOT(ISNUMBER(D245)),D245&lt;=0),"HATA: tarih/tutar geçersiz",IF(C245&lt;&gt;TRIM(C245),"HATA: isimde baştaki/sondaki boşluk",IF(COUNTIF(TurAralik,E245)=0,"HATA: ödeme türü geçersiz",IF(COUNTIFS(kOda,B245,kGiris,"&lt;="&amp;A245,kCikis,"&gt;="&amp;A245,kDurum,"&lt;&gt;İptal")=0,"HATA: bu odada o tarihte misafir yok","OK"))))))</f>
        <v/>
      </c>
      <c r="H245" s="25">
        <f>IF(AND(ISNUMBER(A245),A245=RaporTarihi),COUNTIFS($A$6:A245,RaporTarihi),"")</f>
        <v/>
      </c>
    </row>
    <row r="246">
      <c r="A246" s="23" t="n"/>
      <c r="B246" s="22" t="n"/>
      <c r="C246" s="22" t="n"/>
      <c r="D246" s="24" t="n"/>
      <c r="E246" s="22" t="n"/>
      <c r="F246" s="22" t="n"/>
      <c r="G246" s="25">
        <f>IF(COUNTA(A246:F246)=0,"",IF(OR(A246="",B246="",C246="",D246="",E246=""),"HATA: eksik bilgi",IF(OR(NOT(ISNUMBER(A246)),NOT(ISNUMBER(D246)),D246&lt;=0),"HATA: tarih/tutar geçersiz",IF(C246&lt;&gt;TRIM(C246),"HATA: isimde baştaki/sondaki boşluk",IF(COUNTIF(TurAralik,E246)=0,"HATA: ödeme türü geçersiz",IF(COUNTIFS(kOda,B246,kGiris,"&lt;="&amp;A246,kCikis,"&gt;="&amp;A246,kDurum,"&lt;&gt;İptal")=0,"HATA: bu odada o tarihte misafir yok","OK"))))))</f>
        <v/>
      </c>
      <c r="H246" s="25">
        <f>IF(AND(ISNUMBER(A246),A246=RaporTarihi),COUNTIFS($A$6:A246,RaporTarihi),"")</f>
        <v/>
      </c>
    </row>
    <row r="247">
      <c r="A247" s="23" t="n"/>
      <c r="B247" s="22" t="n"/>
      <c r="C247" s="22" t="n"/>
      <c r="D247" s="24" t="n"/>
      <c r="E247" s="22" t="n"/>
      <c r="F247" s="22" t="n"/>
      <c r="G247" s="25">
        <f>IF(COUNTA(A247:F247)=0,"",IF(OR(A247="",B247="",C247="",D247="",E247=""),"HATA: eksik bilgi",IF(OR(NOT(ISNUMBER(A247)),NOT(ISNUMBER(D247)),D247&lt;=0),"HATA: tarih/tutar geçersiz",IF(C247&lt;&gt;TRIM(C247),"HATA: isimde baştaki/sondaki boşluk",IF(COUNTIF(TurAralik,E247)=0,"HATA: ödeme türü geçersiz",IF(COUNTIFS(kOda,B247,kGiris,"&lt;="&amp;A247,kCikis,"&gt;="&amp;A247,kDurum,"&lt;&gt;İptal")=0,"HATA: bu odada o tarihte misafir yok","OK"))))))</f>
        <v/>
      </c>
      <c r="H247" s="25">
        <f>IF(AND(ISNUMBER(A247),A247=RaporTarihi),COUNTIFS($A$6:A247,RaporTarihi),"")</f>
        <v/>
      </c>
    </row>
    <row r="248">
      <c r="A248" s="23" t="n"/>
      <c r="B248" s="22" t="n"/>
      <c r="C248" s="22" t="n"/>
      <c r="D248" s="24" t="n"/>
      <c r="E248" s="22" t="n"/>
      <c r="F248" s="22" t="n"/>
      <c r="G248" s="25">
        <f>IF(COUNTA(A248:F248)=0,"",IF(OR(A248="",B248="",C248="",D248="",E248=""),"HATA: eksik bilgi",IF(OR(NOT(ISNUMBER(A248)),NOT(ISNUMBER(D248)),D248&lt;=0),"HATA: tarih/tutar geçersiz",IF(C248&lt;&gt;TRIM(C248),"HATA: isimde baştaki/sondaki boşluk",IF(COUNTIF(TurAralik,E248)=0,"HATA: ödeme türü geçersiz",IF(COUNTIFS(kOda,B248,kGiris,"&lt;="&amp;A248,kCikis,"&gt;="&amp;A248,kDurum,"&lt;&gt;İptal")=0,"HATA: bu odada o tarihte misafir yok","OK"))))))</f>
        <v/>
      </c>
      <c r="H248" s="25">
        <f>IF(AND(ISNUMBER(A248),A248=RaporTarihi),COUNTIFS($A$6:A248,RaporTarihi),"")</f>
        <v/>
      </c>
    </row>
    <row r="249">
      <c r="A249" s="23" t="n"/>
      <c r="B249" s="22" t="n"/>
      <c r="C249" s="22" t="n"/>
      <c r="D249" s="24" t="n"/>
      <c r="E249" s="22" t="n"/>
      <c r="F249" s="22" t="n"/>
      <c r="G249" s="25">
        <f>IF(COUNTA(A249:F249)=0,"",IF(OR(A249="",B249="",C249="",D249="",E249=""),"HATA: eksik bilgi",IF(OR(NOT(ISNUMBER(A249)),NOT(ISNUMBER(D249)),D249&lt;=0),"HATA: tarih/tutar geçersiz",IF(C249&lt;&gt;TRIM(C249),"HATA: isimde baştaki/sondaki boşluk",IF(COUNTIF(TurAralik,E249)=0,"HATA: ödeme türü geçersiz",IF(COUNTIFS(kOda,B249,kGiris,"&lt;="&amp;A249,kCikis,"&gt;="&amp;A249,kDurum,"&lt;&gt;İptal")=0,"HATA: bu odada o tarihte misafir yok","OK"))))))</f>
        <v/>
      </c>
      <c r="H249" s="25">
        <f>IF(AND(ISNUMBER(A249),A249=RaporTarihi),COUNTIFS($A$6:A249,RaporTarihi),"")</f>
        <v/>
      </c>
    </row>
    <row r="250">
      <c r="A250" s="23" t="n"/>
      <c r="B250" s="22" t="n"/>
      <c r="C250" s="22" t="n"/>
      <c r="D250" s="24" t="n"/>
      <c r="E250" s="22" t="n"/>
      <c r="F250" s="22" t="n"/>
      <c r="G250" s="25">
        <f>IF(COUNTA(A250:F250)=0,"",IF(OR(A250="",B250="",C250="",D250="",E250=""),"HATA: eksik bilgi",IF(OR(NOT(ISNUMBER(A250)),NOT(ISNUMBER(D250)),D250&lt;=0),"HATA: tarih/tutar geçersiz",IF(C250&lt;&gt;TRIM(C250),"HATA: isimde baştaki/sondaki boşluk",IF(COUNTIF(TurAralik,E250)=0,"HATA: ödeme türü geçersiz",IF(COUNTIFS(kOda,B250,kGiris,"&lt;="&amp;A250,kCikis,"&gt;="&amp;A250,kDurum,"&lt;&gt;İptal")=0,"HATA: bu odada o tarihte misafir yok","OK"))))))</f>
        <v/>
      </c>
      <c r="H250" s="25">
        <f>IF(AND(ISNUMBER(A250),A250=RaporTarihi),COUNTIFS($A$6:A250,RaporTarihi),"")</f>
        <v/>
      </c>
    </row>
    <row r="251">
      <c r="A251" s="23" t="n"/>
      <c r="B251" s="22" t="n"/>
      <c r="C251" s="22" t="n"/>
      <c r="D251" s="24" t="n"/>
      <c r="E251" s="22" t="n"/>
      <c r="F251" s="22" t="n"/>
      <c r="G251" s="25">
        <f>IF(COUNTA(A251:F251)=0,"",IF(OR(A251="",B251="",C251="",D251="",E251=""),"HATA: eksik bilgi",IF(OR(NOT(ISNUMBER(A251)),NOT(ISNUMBER(D251)),D251&lt;=0),"HATA: tarih/tutar geçersiz",IF(C251&lt;&gt;TRIM(C251),"HATA: isimde baştaki/sondaki boşluk",IF(COUNTIF(TurAralik,E251)=0,"HATA: ödeme türü geçersiz",IF(COUNTIFS(kOda,B251,kGiris,"&lt;="&amp;A251,kCikis,"&gt;="&amp;A251,kDurum,"&lt;&gt;İptal")=0,"HATA: bu odada o tarihte misafir yok","OK"))))))</f>
        <v/>
      </c>
      <c r="H251" s="25">
        <f>IF(AND(ISNUMBER(A251),A251=RaporTarihi),COUNTIFS($A$6:A251,RaporTarihi),"")</f>
        <v/>
      </c>
    </row>
    <row r="252">
      <c r="A252" s="23" t="n"/>
      <c r="B252" s="22" t="n"/>
      <c r="C252" s="22" t="n"/>
      <c r="D252" s="24" t="n"/>
      <c r="E252" s="22" t="n"/>
      <c r="F252" s="22" t="n"/>
      <c r="G252" s="25">
        <f>IF(COUNTA(A252:F252)=0,"",IF(OR(A252="",B252="",C252="",D252="",E252=""),"HATA: eksik bilgi",IF(OR(NOT(ISNUMBER(A252)),NOT(ISNUMBER(D252)),D252&lt;=0),"HATA: tarih/tutar geçersiz",IF(C252&lt;&gt;TRIM(C252),"HATA: isimde baştaki/sondaki boşluk",IF(COUNTIF(TurAralik,E252)=0,"HATA: ödeme türü geçersiz",IF(COUNTIFS(kOda,B252,kGiris,"&lt;="&amp;A252,kCikis,"&gt;="&amp;A252,kDurum,"&lt;&gt;İptal")=0,"HATA: bu odada o tarihte misafir yok","OK"))))))</f>
        <v/>
      </c>
      <c r="H252" s="25">
        <f>IF(AND(ISNUMBER(A252),A252=RaporTarihi),COUNTIFS($A$6:A252,RaporTarihi),"")</f>
        <v/>
      </c>
    </row>
    <row r="253">
      <c r="A253" s="23" t="n"/>
      <c r="B253" s="22" t="n"/>
      <c r="C253" s="22" t="n"/>
      <c r="D253" s="24" t="n"/>
      <c r="E253" s="22" t="n"/>
      <c r="F253" s="22" t="n"/>
      <c r="G253" s="25">
        <f>IF(COUNTA(A253:F253)=0,"",IF(OR(A253="",B253="",C253="",D253="",E253=""),"HATA: eksik bilgi",IF(OR(NOT(ISNUMBER(A253)),NOT(ISNUMBER(D253)),D253&lt;=0),"HATA: tarih/tutar geçersiz",IF(C253&lt;&gt;TRIM(C253),"HATA: isimde baştaki/sondaki boşluk",IF(COUNTIF(TurAralik,E253)=0,"HATA: ödeme türü geçersiz",IF(COUNTIFS(kOda,B253,kGiris,"&lt;="&amp;A253,kCikis,"&gt;="&amp;A253,kDurum,"&lt;&gt;İptal")=0,"HATA: bu odada o tarihte misafir yok","OK"))))))</f>
        <v/>
      </c>
      <c r="H253" s="25">
        <f>IF(AND(ISNUMBER(A253),A253=RaporTarihi),COUNTIFS($A$6:A253,RaporTarihi),"")</f>
        <v/>
      </c>
    </row>
    <row r="254">
      <c r="A254" s="23" t="n"/>
      <c r="B254" s="22" t="n"/>
      <c r="C254" s="22" t="n"/>
      <c r="D254" s="24" t="n"/>
      <c r="E254" s="22" t="n"/>
      <c r="F254" s="22" t="n"/>
      <c r="G254" s="25">
        <f>IF(COUNTA(A254:F254)=0,"",IF(OR(A254="",B254="",C254="",D254="",E254=""),"HATA: eksik bilgi",IF(OR(NOT(ISNUMBER(A254)),NOT(ISNUMBER(D254)),D254&lt;=0),"HATA: tarih/tutar geçersiz",IF(C254&lt;&gt;TRIM(C254),"HATA: isimde baştaki/sondaki boşluk",IF(COUNTIF(TurAralik,E254)=0,"HATA: ödeme türü geçersiz",IF(COUNTIFS(kOda,B254,kGiris,"&lt;="&amp;A254,kCikis,"&gt;="&amp;A254,kDurum,"&lt;&gt;İptal")=0,"HATA: bu odada o tarihte misafir yok","OK"))))))</f>
        <v/>
      </c>
      <c r="H254" s="25">
        <f>IF(AND(ISNUMBER(A254),A254=RaporTarihi),COUNTIFS($A$6:A254,RaporTarihi),"")</f>
        <v/>
      </c>
    </row>
    <row r="255">
      <c r="A255" s="23" t="n"/>
      <c r="B255" s="22" t="n"/>
      <c r="C255" s="22" t="n"/>
      <c r="D255" s="24" t="n"/>
      <c r="E255" s="22" t="n"/>
      <c r="F255" s="22" t="n"/>
      <c r="G255" s="25">
        <f>IF(COUNTA(A255:F255)=0,"",IF(OR(A255="",B255="",C255="",D255="",E255=""),"HATA: eksik bilgi",IF(OR(NOT(ISNUMBER(A255)),NOT(ISNUMBER(D255)),D255&lt;=0),"HATA: tarih/tutar geçersiz",IF(C255&lt;&gt;TRIM(C255),"HATA: isimde baştaki/sondaki boşluk",IF(COUNTIF(TurAralik,E255)=0,"HATA: ödeme türü geçersiz",IF(COUNTIFS(kOda,B255,kGiris,"&lt;="&amp;A255,kCikis,"&gt;="&amp;A255,kDurum,"&lt;&gt;İptal")=0,"HATA: bu odada o tarihte misafir yok","OK"))))))</f>
        <v/>
      </c>
      <c r="H255" s="25">
        <f>IF(AND(ISNUMBER(A255),A255=RaporTarihi),COUNTIFS($A$6:A255,RaporTarihi),"")</f>
        <v/>
      </c>
    </row>
    <row r="256">
      <c r="A256" s="23" t="n"/>
      <c r="B256" s="22" t="n"/>
      <c r="C256" s="22" t="n"/>
      <c r="D256" s="24" t="n"/>
      <c r="E256" s="22" t="n"/>
      <c r="F256" s="22" t="n"/>
      <c r="G256" s="25">
        <f>IF(COUNTA(A256:F256)=0,"",IF(OR(A256="",B256="",C256="",D256="",E256=""),"HATA: eksik bilgi",IF(OR(NOT(ISNUMBER(A256)),NOT(ISNUMBER(D256)),D256&lt;=0),"HATA: tarih/tutar geçersiz",IF(C256&lt;&gt;TRIM(C256),"HATA: isimde baştaki/sondaki boşluk",IF(COUNTIF(TurAralik,E256)=0,"HATA: ödeme türü geçersiz",IF(COUNTIFS(kOda,B256,kGiris,"&lt;="&amp;A256,kCikis,"&gt;="&amp;A256,kDurum,"&lt;&gt;İptal")=0,"HATA: bu odada o tarihte misafir yok","OK"))))))</f>
        <v/>
      </c>
      <c r="H256" s="25">
        <f>IF(AND(ISNUMBER(A256),A256=RaporTarihi),COUNTIFS($A$6:A256,RaporTarihi),"")</f>
        <v/>
      </c>
    </row>
    <row r="257">
      <c r="A257" s="23" t="n"/>
      <c r="B257" s="22" t="n"/>
      <c r="C257" s="22" t="n"/>
      <c r="D257" s="24" t="n"/>
      <c r="E257" s="22" t="n"/>
      <c r="F257" s="22" t="n"/>
      <c r="G257" s="25">
        <f>IF(COUNTA(A257:F257)=0,"",IF(OR(A257="",B257="",C257="",D257="",E257=""),"HATA: eksik bilgi",IF(OR(NOT(ISNUMBER(A257)),NOT(ISNUMBER(D257)),D257&lt;=0),"HATA: tarih/tutar geçersiz",IF(C257&lt;&gt;TRIM(C257),"HATA: isimde baştaki/sondaki boşluk",IF(COUNTIF(TurAralik,E257)=0,"HATA: ödeme türü geçersiz",IF(COUNTIFS(kOda,B257,kGiris,"&lt;="&amp;A257,kCikis,"&gt;="&amp;A257,kDurum,"&lt;&gt;İptal")=0,"HATA: bu odada o tarihte misafir yok","OK"))))))</f>
        <v/>
      </c>
      <c r="H257" s="25">
        <f>IF(AND(ISNUMBER(A257),A257=RaporTarihi),COUNTIFS($A$6:A257,RaporTarihi),"")</f>
        <v/>
      </c>
    </row>
    <row r="258">
      <c r="A258" s="23" t="n"/>
      <c r="B258" s="22" t="n"/>
      <c r="C258" s="22" t="n"/>
      <c r="D258" s="24" t="n"/>
      <c r="E258" s="22" t="n"/>
      <c r="F258" s="22" t="n"/>
      <c r="G258" s="25">
        <f>IF(COUNTA(A258:F258)=0,"",IF(OR(A258="",B258="",C258="",D258="",E258=""),"HATA: eksik bilgi",IF(OR(NOT(ISNUMBER(A258)),NOT(ISNUMBER(D258)),D258&lt;=0),"HATA: tarih/tutar geçersiz",IF(C258&lt;&gt;TRIM(C258),"HATA: isimde baştaki/sondaki boşluk",IF(COUNTIF(TurAralik,E258)=0,"HATA: ödeme türü geçersiz",IF(COUNTIFS(kOda,B258,kGiris,"&lt;="&amp;A258,kCikis,"&gt;="&amp;A258,kDurum,"&lt;&gt;İptal")=0,"HATA: bu odada o tarihte misafir yok","OK"))))))</f>
        <v/>
      </c>
      <c r="H258" s="25">
        <f>IF(AND(ISNUMBER(A258),A258=RaporTarihi),COUNTIFS($A$6:A258,RaporTarihi),"")</f>
        <v/>
      </c>
    </row>
    <row r="259">
      <c r="A259" s="23" t="n"/>
      <c r="B259" s="22" t="n"/>
      <c r="C259" s="22" t="n"/>
      <c r="D259" s="24" t="n"/>
      <c r="E259" s="22" t="n"/>
      <c r="F259" s="22" t="n"/>
      <c r="G259" s="25">
        <f>IF(COUNTA(A259:F259)=0,"",IF(OR(A259="",B259="",C259="",D259="",E259=""),"HATA: eksik bilgi",IF(OR(NOT(ISNUMBER(A259)),NOT(ISNUMBER(D259)),D259&lt;=0),"HATA: tarih/tutar geçersiz",IF(C259&lt;&gt;TRIM(C259),"HATA: isimde baştaki/sondaki boşluk",IF(COUNTIF(TurAralik,E259)=0,"HATA: ödeme türü geçersiz",IF(COUNTIFS(kOda,B259,kGiris,"&lt;="&amp;A259,kCikis,"&gt;="&amp;A259,kDurum,"&lt;&gt;İptal")=0,"HATA: bu odada o tarihte misafir yok","OK"))))))</f>
        <v/>
      </c>
      <c r="H259" s="25">
        <f>IF(AND(ISNUMBER(A259),A259=RaporTarihi),COUNTIFS($A$6:A259,RaporTarihi),"")</f>
        <v/>
      </c>
    </row>
    <row r="260">
      <c r="A260" s="23" t="n"/>
      <c r="B260" s="22" t="n"/>
      <c r="C260" s="22" t="n"/>
      <c r="D260" s="24" t="n"/>
      <c r="E260" s="22" t="n"/>
      <c r="F260" s="22" t="n"/>
      <c r="G260" s="25">
        <f>IF(COUNTA(A260:F260)=0,"",IF(OR(A260="",B260="",C260="",D260="",E260=""),"HATA: eksik bilgi",IF(OR(NOT(ISNUMBER(A260)),NOT(ISNUMBER(D260)),D260&lt;=0),"HATA: tarih/tutar geçersiz",IF(C260&lt;&gt;TRIM(C260),"HATA: isimde baştaki/sondaki boşluk",IF(COUNTIF(TurAralik,E260)=0,"HATA: ödeme türü geçersiz",IF(COUNTIFS(kOda,B260,kGiris,"&lt;="&amp;A260,kCikis,"&gt;="&amp;A260,kDurum,"&lt;&gt;İptal")=0,"HATA: bu odada o tarihte misafir yok","OK"))))))</f>
        <v/>
      </c>
      <c r="H260" s="25">
        <f>IF(AND(ISNUMBER(A260),A260=RaporTarihi),COUNTIFS($A$6:A260,RaporTarihi),"")</f>
        <v/>
      </c>
    </row>
    <row r="261">
      <c r="A261" s="23" t="n"/>
      <c r="B261" s="22" t="n"/>
      <c r="C261" s="22" t="n"/>
      <c r="D261" s="24" t="n"/>
      <c r="E261" s="22" t="n"/>
      <c r="F261" s="22" t="n"/>
      <c r="G261" s="25">
        <f>IF(COUNTA(A261:F261)=0,"",IF(OR(A261="",B261="",C261="",D261="",E261=""),"HATA: eksik bilgi",IF(OR(NOT(ISNUMBER(A261)),NOT(ISNUMBER(D261)),D261&lt;=0),"HATA: tarih/tutar geçersiz",IF(C261&lt;&gt;TRIM(C261),"HATA: isimde baştaki/sondaki boşluk",IF(COUNTIF(TurAralik,E261)=0,"HATA: ödeme türü geçersiz",IF(COUNTIFS(kOda,B261,kGiris,"&lt;="&amp;A261,kCikis,"&gt;="&amp;A261,kDurum,"&lt;&gt;İptal")=0,"HATA: bu odada o tarihte misafir yok","OK"))))))</f>
        <v/>
      </c>
      <c r="H261" s="25">
        <f>IF(AND(ISNUMBER(A261),A261=RaporTarihi),COUNTIFS($A$6:A261,RaporTarihi),"")</f>
        <v/>
      </c>
    </row>
    <row r="262">
      <c r="A262" s="23" t="n"/>
      <c r="B262" s="22" t="n"/>
      <c r="C262" s="22" t="n"/>
      <c r="D262" s="24" t="n"/>
      <c r="E262" s="22" t="n"/>
      <c r="F262" s="22" t="n"/>
      <c r="G262" s="25">
        <f>IF(COUNTA(A262:F262)=0,"",IF(OR(A262="",B262="",C262="",D262="",E262=""),"HATA: eksik bilgi",IF(OR(NOT(ISNUMBER(A262)),NOT(ISNUMBER(D262)),D262&lt;=0),"HATA: tarih/tutar geçersiz",IF(C262&lt;&gt;TRIM(C262),"HATA: isimde baştaki/sondaki boşluk",IF(COUNTIF(TurAralik,E262)=0,"HATA: ödeme türü geçersiz",IF(COUNTIFS(kOda,B262,kGiris,"&lt;="&amp;A262,kCikis,"&gt;="&amp;A262,kDurum,"&lt;&gt;İptal")=0,"HATA: bu odada o tarihte misafir yok","OK"))))))</f>
        <v/>
      </c>
      <c r="H262" s="25">
        <f>IF(AND(ISNUMBER(A262),A262=RaporTarihi),COUNTIFS($A$6:A262,RaporTarihi),"")</f>
        <v/>
      </c>
    </row>
    <row r="263">
      <c r="A263" s="23" t="n"/>
      <c r="B263" s="22" t="n"/>
      <c r="C263" s="22" t="n"/>
      <c r="D263" s="24" t="n"/>
      <c r="E263" s="22" t="n"/>
      <c r="F263" s="22" t="n"/>
      <c r="G263" s="25">
        <f>IF(COUNTA(A263:F263)=0,"",IF(OR(A263="",B263="",C263="",D263="",E263=""),"HATA: eksik bilgi",IF(OR(NOT(ISNUMBER(A263)),NOT(ISNUMBER(D263)),D263&lt;=0),"HATA: tarih/tutar geçersiz",IF(C263&lt;&gt;TRIM(C263),"HATA: isimde baştaki/sondaki boşluk",IF(COUNTIF(TurAralik,E263)=0,"HATA: ödeme türü geçersiz",IF(COUNTIFS(kOda,B263,kGiris,"&lt;="&amp;A263,kCikis,"&gt;="&amp;A263,kDurum,"&lt;&gt;İptal")=0,"HATA: bu odada o tarihte misafir yok","OK"))))))</f>
        <v/>
      </c>
      <c r="H263" s="25">
        <f>IF(AND(ISNUMBER(A263),A263=RaporTarihi),COUNTIFS($A$6:A263,RaporTarihi),"")</f>
        <v/>
      </c>
    </row>
    <row r="264">
      <c r="A264" s="23" t="n"/>
      <c r="B264" s="22" t="n"/>
      <c r="C264" s="22" t="n"/>
      <c r="D264" s="24" t="n"/>
      <c r="E264" s="22" t="n"/>
      <c r="F264" s="22" t="n"/>
      <c r="G264" s="25">
        <f>IF(COUNTA(A264:F264)=0,"",IF(OR(A264="",B264="",C264="",D264="",E264=""),"HATA: eksik bilgi",IF(OR(NOT(ISNUMBER(A264)),NOT(ISNUMBER(D264)),D264&lt;=0),"HATA: tarih/tutar geçersiz",IF(C264&lt;&gt;TRIM(C264),"HATA: isimde baştaki/sondaki boşluk",IF(COUNTIF(TurAralik,E264)=0,"HATA: ödeme türü geçersiz",IF(COUNTIFS(kOda,B264,kGiris,"&lt;="&amp;A264,kCikis,"&gt;="&amp;A264,kDurum,"&lt;&gt;İptal")=0,"HATA: bu odada o tarihte misafir yok","OK"))))))</f>
        <v/>
      </c>
      <c r="H264" s="25">
        <f>IF(AND(ISNUMBER(A264),A264=RaporTarihi),COUNTIFS($A$6:A264,RaporTarihi),"")</f>
        <v/>
      </c>
    </row>
    <row r="265">
      <c r="A265" s="23" t="n"/>
      <c r="B265" s="22" t="n"/>
      <c r="C265" s="22" t="n"/>
      <c r="D265" s="24" t="n"/>
      <c r="E265" s="22" t="n"/>
      <c r="F265" s="22" t="n"/>
      <c r="G265" s="25">
        <f>IF(COUNTA(A265:F265)=0,"",IF(OR(A265="",B265="",C265="",D265="",E265=""),"HATA: eksik bilgi",IF(OR(NOT(ISNUMBER(A265)),NOT(ISNUMBER(D265)),D265&lt;=0),"HATA: tarih/tutar geçersiz",IF(C265&lt;&gt;TRIM(C265),"HATA: isimde baştaki/sondaki boşluk",IF(COUNTIF(TurAralik,E265)=0,"HATA: ödeme türü geçersiz",IF(COUNTIFS(kOda,B265,kGiris,"&lt;="&amp;A265,kCikis,"&gt;="&amp;A265,kDurum,"&lt;&gt;İptal")=0,"HATA: bu odada o tarihte misafir yok","OK"))))))</f>
        <v/>
      </c>
      <c r="H265" s="25">
        <f>IF(AND(ISNUMBER(A265),A265=RaporTarihi),COUNTIFS($A$6:A265,RaporTarihi),"")</f>
        <v/>
      </c>
    </row>
    <row r="266">
      <c r="A266" s="23" t="n"/>
      <c r="B266" s="22" t="n"/>
      <c r="C266" s="22" t="n"/>
      <c r="D266" s="24" t="n"/>
      <c r="E266" s="22" t="n"/>
      <c r="F266" s="22" t="n"/>
      <c r="G266" s="25">
        <f>IF(COUNTA(A266:F266)=0,"",IF(OR(A266="",B266="",C266="",D266="",E266=""),"HATA: eksik bilgi",IF(OR(NOT(ISNUMBER(A266)),NOT(ISNUMBER(D266)),D266&lt;=0),"HATA: tarih/tutar geçersiz",IF(C266&lt;&gt;TRIM(C266),"HATA: isimde baştaki/sondaki boşluk",IF(COUNTIF(TurAralik,E266)=0,"HATA: ödeme türü geçersiz",IF(COUNTIFS(kOda,B266,kGiris,"&lt;="&amp;A266,kCikis,"&gt;="&amp;A266,kDurum,"&lt;&gt;İptal")=0,"HATA: bu odada o tarihte misafir yok","OK"))))))</f>
        <v/>
      </c>
      <c r="H266" s="25">
        <f>IF(AND(ISNUMBER(A266),A266=RaporTarihi),COUNTIFS($A$6:A266,RaporTarihi),"")</f>
        <v/>
      </c>
    </row>
    <row r="267">
      <c r="A267" s="23" t="n"/>
      <c r="B267" s="22" t="n"/>
      <c r="C267" s="22" t="n"/>
      <c r="D267" s="24" t="n"/>
      <c r="E267" s="22" t="n"/>
      <c r="F267" s="22" t="n"/>
      <c r="G267" s="25">
        <f>IF(COUNTA(A267:F267)=0,"",IF(OR(A267="",B267="",C267="",D267="",E267=""),"HATA: eksik bilgi",IF(OR(NOT(ISNUMBER(A267)),NOT(ISNUMBER(D267)),D267&lt;=0),"HATA: tarih/tutar geçersiz",IF(C267&lt;&gt;TRIM(C267),"HATA: isimde baştaki/sondaki boşluk",IF(COUNTIF(TurAralik,E267)=0,"HATA: ödeme türü geçersiz",IF(COUNTIFS(kOda,B267,kGiris,"&lt;="&amp;A267,kCikis,"&gt;="&amp;A267,kDurum,"&lt;&gt;İptal")=0,"HATA: bu odada o tarihte misafir yok","OK"))))))</f>
        <v/>
      </c>
      <c r="H267" s="25">
        <f>IF(AND(ISNUMBER(A267),A267=RaporTarihi),COUNTIFS($A$6:A267,RaporTarihi),"")</f>
        <v/>
      </c>
    </row>
    <row r="268">
      <c r="A268" s="23" t="n"/>
      <c r="B268" s="22" t="n"/>
      <c r="C268" s="22" t="n"/>
      <c r="D268" s="24" t="n"/>
      <c r="E268" s="22" t="n"/>
      <c r="F268" s="22" t="n"/>
      <c r="G268" s="25">
        <f>IF(COUNTA(A268:F268)=0,"",IF(OR(A268="",B268="",C268="",D268="",E268=""),"HATA: eksik bilgi",IF(OR(NOT(ISNUMBER(A268)),NOT(ISNUMBER(D268)),D268&lt;=0),"HATA: tarih/tutar geçersiz",IF(C268&lt;&gt;TRIM(C268),"HATA: isimde baştaki/sondaki boşluk",IF(COUNTIF(TurAralik,E268)=0,"HATA: ödeme türü geçersiz",IF(COUNTIFS(kOda,B268,kGiris,"&lt;="&amp;A268,kCikis,"&gt;="&amp;A268,kDurum,"&lt;&gt;İptal")=0,"HATA: bu odada o tarihte misafir yok","OK"))))))</f>
        <v/>
      </c>
      <c r="H268" s="25">
        <f>IF(AND(ISNUMBER(A268),A268=RaporTarihi),COUNTIFS($A$6:A268,RaporTarihi),"")</f>
        <v/>
      </c>
    </row>
    <row r="269">
      <c r="A269" s="23" t="n"/>
      <c r="B269" s="22" t="n"/>
      <c r="C269" s="22" t="n"/>
      <c r="D269" s="24" t="n"/>
      <c r="E269" s="22" t="n"/>
      <c r="F269" s="22" t="n"/>
      <c r="G269" s="25">
        <f>IF(COUNTA(A269:F269)=0,"",IF(OR(A269="",B269="",C269="",D269="",E269=""),"HATA: eksik bilgi",IF(OR(NOT(ISNUMBER(A269)),NOT(ISNUMBER(D269)),D269&lt;=0),"HATA: tarih/tutar geçersiz",IF(C269&lt;&gt;TRIM(C269),"HATA: isimde baştaki/sondaki boşluk",IF(COUNTIF(TurAralik,E269)=0,"HATA: ödeme türü geçersiz",IF(COUNTIFS(kOda,B269,kGiris,"&lt;="&amp;A269,kCikis,"&gt;="&amp;A269,kDurum,"&lt;&gt;İptal")=0,"HATA: bu odada o tarihte misafir yok","OK"))))))</f>
        <v/>
      </c>
      <c r="H269" s="25">
        <f>IF(AND(ISNUMBER(A269),A269=RaporTarihi),COUNTIFS($A$6:A269,RaporTarihi),"")</f>
        <v/>
      </c>
    </row>
    <row r="270">
      <c r="A270" s="23" t="n"/>
      <c r="B270" s="22" t="n"/>
      <c r="C270" s="22" t="n"/>
      <c r="D270" s="24" t="n"/>
      <c r="E270" s="22" t="n"/>
      <c r="F270" s="22" t="n"/>
      <c r="G270" s="25">
        <f>IF(COUNTA(A270:F270)=0,"",IF(OR(A270="",B270="",C270="",D270="",E270=""),"HATA: eksik bilgi",IF(OR(NOT(ISNUMBER(A270)),NOT(ISNUMBER(D270)),D270&lt;=0),"HATA: tarih/tutar geçersiz",IF(C270&lt;&gt;TRIM(C270),"HATA: isimde baştaki/sondaki boşluk",IF(COUNTIF(TurAralik,E270)=0,"HATA: ödeme türü geçersiz",IF(COUNTIFS(kOda,B270,kGiris,"&lt;="&amp;A270,kCikis,"&gt;="&amp;A270,kDurum,"&lt;&gt;İptal")=0,"HATA: bu odada o tarihte misafir yok","OK"))))))</f>
        <v/>
      </c>
      <c r="H270" s="25">
        <f>IF(AND(ISNUMBER(A270),A270=RaporTarihi),COUNTIFS($A$6:A270,RaporTarihi),"")</f>
        <v/>
      </c>
    </row>
    <row r="271">
      <c r="A271" s="23" t="n"/>
      <c r="B271" s="22" t="n"/>
      <c r="C271" s="22" t="n"/>
      <c r="D271" s="24" t="n"/>
      <c r="E271" s="22" t="n"/>
      <c r="F271" s="22" t="n"/>
      <c r="G271" s="25">
        <f>IF(COUNTA(A271:F271)=0,"",IF(OR(A271="",B271="",C271="",D271="",E271=""),"HATA: eksik bilgi",IF(OR(NOT(ISNUMBER(A271)),NOT(ISNUMBER(D271)),D271&lt;=0),"HATA: tarih/tutar geçersiz",IF(C271&lt;&gt;TRIM(C271),"HATA: isimde baştaki/sondaki boşluk",IF(COUNTIF(TurAralik,E271)=0,"HATA: ödeme türü geçersiz",IF(COUNTIFS(kOda,B271,kGiris,"&lt;="&amp;A271,kCikis,"&gt;="&amp;A271,kDurum,"&lt;&gt;İptal")=0,"HATA: bu odada o tarihte misafir yok","OK"))))))</f>
        <v/>
      </c>
      <c r="H271" s="25">
        <f>IF(AND(ISNUMBER(A271),A271=RaporTarihi),COUNTIFS($A$6:A271,RaporTarihi),"")</f>
        <v/>
      </c>
    </row>
    <row r="272">
      <c r="A272" s="23" t="n"/>
      <c r="B272" s="22" t="n"/>
      <c r="C272" s="22" t="n"/>
      <c r="D272" s="24" t="n"/>
      <c r="E272" s="22" t="n"/>
      <c r="F272" s="22" t="n"/>
      <c r="G272" s="25">
        <f>IF(COUNTA(A272:F272)=0,"",IF(OR(A272="",B272="",C272="",D272="",E272=""),"HATA: eksik bilgi",IF(OR(NOT(ISNUMBER(A272)),NOT(ISNUMBER(D272)),D272&lt;=0),"HATA: tarih/tutar geçersiz",IF(C272&lt;&gt;TRIM(C272),"HATA: isimde baştaki/sondaki boşluk",IF(COUNTIF(TurAralik,E272)=0,"HATA: ödeme türü geçersiz",IF(COUNTIFS(kOda,B272,kGiris,"&lt;="&amp;A272,kCikis,"&gt;="&amp;A272,kDurum,"&lt;&gt;İptal")=0,"HATA: bu odada o tarihte misafir yok","OK"))))))</f>
        <v/>
      </c>
      <c r="H272" s="25">
        <f>IF(AND(ISNUMBER(A272),A272=RaporTarihi),COUNTIFS($A$6:A272,RaporTarihi),"")</f>
        <v/>
      </c>
    </row>
    <row r="273">
      <c r="A273" s="23" t="n"/>
      <c r="B273" s="22" t="n"/>
      <c r="C273" s="22" t="n"/>
      <c r="D273" s="24" t="n"/>
      <c r="E273" s="22" t="n"/>
      <c r="F273" s="22" t="n"/>
      <c r="G273" s="25">
        <f>IF(COUNTA(A273:F273)=0,"",IF(OR(A273="",B273="",C273="",D273="",E273=""),"HATA: eksik bilgi",IF(OR(NOT(ISNUMBER(A273)),NOT(ISNUMBER(D273)),D273&lt;=0),"HATA: tarih/tutar geçersiz",IF(C273&lt;&gt;TRIM(C273),"HATA: isimde baştaki/sondaki boşluk",IF(COUNTIF(TurAralik,E273)=0,"HATA: ödeme türü geçersiz",IF(COUNTIFS(kOda,B273,kGiris,"&lt;="&amp;A273,kCikis,"&gt;="&amp;A273,kDurum,"&lt;&gt;İptal")=0,"HATA: bu odada o tarihte misafir yok","OK"))))))</f>
        <v/>
      </c>
      <c r="H273" s="25">
        <f>IF(AND(ISNUMBER(A273),A273=RaporTarihi),COUNTIFS($A$6:A273,RaporTarihi),"")</f>
        <v/>
      </c>
    </row>
    <row r="274">
      <c r="A274" s="23" t="n"/>
      <c r="B274" s="22" t="n"/>
      <c r="C274" s="22" t="n"/>
      <c r="D274" s="24" t="n"/>
      <c r="E274" s="22" t="n"/>
      <c r="F274" s="22" t="n"/>
      <c r="G274" s="25">
        <f>IF(COUNTA(A274:F274)=0,"",IF(OR(A274="",B274="",C274="",D274="",E274=""),"HATA: eksik bilgi",IF(OR(NOT(ISNUMBER(A274)),NOT(ISNUMBER(D274)),D274&lt;=0),"HATA: tarih/tutar geçersiz",IF(C274&lt;&gt;TRIM(C274),"HATA: isimde baştaki/sondaki boşluk",IF(COUNTIF(TurAralik,E274)=0,"HATA: ödeme türü geçersiz",IF(COUNTIFS(kOda,B274,kGiris,"&lt;="&amp;A274,kCikis,"&gt;="&amp;A274,kDurum,"&lt;&gt;İptal")=0,"HATA: bu odada o tarihte misafir yok","OK"))))))</f>
        <v/>
      </c>
      <c r="H274" s="25">
        <f>IF(AND(ISNUMBER(A274),A274=RaporTarihi),COUNTIFS($A$6:A274,RaporTarihi),"")</f>
        <v/>
      </c>
    </row>
    <row r="275">
      <c r="A275" s="23" t="n"/>
      <c r="B275" s="22" t="n"/>
      <c r="C275" s="22" t="n"/>
      <c r="D275" s="24" t="n"/>
      <c r="E275" s="22" t="n"/>
      <c r="F275" s="22" t="n"/>
      <c r="G275" s="25">
        <f>IF(COUNTA(A275:F275)=0,"",IF(OR(A275="",B275="",C275="",D275="",E275=""),"HATA: eksik bilgi",IF(OR(NOT(ISNUMBER(A275)),NOT(ISNUMBER(D275)),D275&lt;=0),"HATA: tarih/tutar geçersiz",IF(C275&lt;&gt;TRIM(C275),"HATA: isimde baştaki/sondaki boşluk",IF(COUNTIF(TurAralik,E275)=0,"HATA: ödeme türü geçersiz",IF(COUNTIFS(kOda,B275,kGiris,"&lt;="&amp;A275,kCikis,"&gt;="&amp;A275,kDurum,"&lt;&gt;İptal")=0,"HATA: bu odada o tarihte misafir yok","OK"))))))</f>
        <v/>
      </c>
      <c r="H275" s="25">
        <f>IF(AND(ISNUMBER(A275),A275=RaporTarihi),COUNTIFS($A$6:A275,RaporTarihi),"")</f>
        <v/>
      </c>
    </row>
    <row r="276">
      <c r="A276" s="23" t="n"/>
      <c r="B276" s="22" t="n"/>
      <c r="C276" s="22" t="n"/>
      <c r="D276" s="24" t="n"/>
      <c r="E276" s="22" t="n"/>
      <c r="F276" s="22" t="n"/>
      <c r="G276" s="25">
        <f>IF(COUNTA(A276:F276)=0,"",IF(OR(A276="",B276="",C276="",D276="",E276=""),"HATA: eksik bilgi",IF(OR(NOT(ISNUMBER(A276)),NOT(ISNUMBER(D276)),D276&lt;=0),"HATA: tarih/tutar geçersiz",IF(C276&lt;&gt;TRIM(C276),"HATA: isimde baştaki/sondaki boşluk",IF(COUNTIF(TurAralik,E276)=0,"HATA: ödeme türü geçersiz",IF(COUNTIFS(kOda,B276,kGiris,"&lt;="&amp;A276,kCikis,"&gt;="&amp;A276,kDurum,"&lt;&gt;İptal")=0,"HATA: bu odada o tarihte misafir yok","OK"))))))</f>
        <v/>
      </c>
      <c r="H276" s="25">
        <f>IF(AND(ISNUMBER(A276),A276=RaporTarihi),COUNTIFS($A$6:A276,RaporTarihi),"")</f>
        <v/>
      </c>
    </row>
    <row r="277">
      <c r="A277" s="23" t="n"/>
      <c r="B277" s="22" t="n"/>
      <c r="C277" s="22" t="n"/>
      <c r="D277" s="24" t="n"/>
      <c r="E277" s="22" t="n"/>
      <c r="F277" s="22" t="n"/>
      <c r="G277" s="25">
        <f>IF(COUNTA(A277:F277)=0,"",IF(OR(A277="",B277="",C277="",D277="",E277=""),"HATA: eksik bilgi",IF(OR(NOT(ISNUMBER(A277)),NOT(ISNUMBER(D277)),D277&lt;=0),"HATA: tarih/tutar geçersiz",IF(C277&lt;&gt;TRIM(C277),"HATA: isimde baştaki/sondaki boşluk",IF(COUNTIF(TurAralik,E277)=0,"HATA: ödeme türü geçersiz",IF(COUNTIFS(kOda,B277,kGiris,"&lt;="&amp;A277,kCikis,"&gt;="&amp;A277,kDurum,"&lt;&gt;İptal")=0,"HATA: bu odada o tarihte misafir yok","OK"))))))</f>
        <v/>
      </c>
      <c r="H277" s="25">
        <f>IF(AND(ISNUMBER(A277),A277=RaporTarihi),COUNTIFS($A$6:A277,RaporTarihi),"")</f>
        <v/>
      </c>
    </row>
    <row r="278">
      <c r="A278" s="23" t="n"/>
      <c r="B278" s="22" t="n"/>
      <c r="C278" s="22" t="n"/>
      <c r="D278" s="24" t="n"/>
      <c r="E278" s="22" t="n"/>
      <c r="F278" s="22" t="n"/>
      <c r="G278" s="25">
        <f>IF(COUNTA(A278:F278)=0,"",IF(OR(A278="",B278="",C278="",D278="",E278=""),"HATA: eksik bilgi",IF(OR(NOT(ISNUMBER(A278)),NOT(ISNUMBER(D278)),D278&lt;=0),"HATA: tarih/tutar geçersiz",IF(C278&lt;&gt;TRIM(C278),"HATA: isimde baştaki/sondaki boşluk",IF(COUNTIF(TurAralik,E278)=0,"HATA: ödeme türü geçersiz",IF(COUNTIFS(kOda,B278,kGiris,"&lt;="&amp;A278,kCikis,"&gt;="&amp;A278,kDurum,"&lt;&gt;İptal")=0,"HATA: bu odada o tarihte misafir yok","OK"))))))</f>
        <v/>
      </c>
      <c r="H278" s="25">
        <f>IF(AND(ISNUMBER(A278),A278=RaporTarihi),COUNTIFS($A$6:A278,RaporTarihi),"")</f>
        <v/>
      </c>
    </row>
    <row r="279">
      <c r="A279" s="23" t="n"/>
      <c r="B279" s="22" t="n"/>
      <c r="C279" s="22" t="n"/>
      <c r="D279" s="24" t="n"/>
      <c r="E279" s="22" t="n"/>
      <c r="F279" s="22" t="n"/>
      <c r="G279" s="25">
        <f>IF(COUNTA(A279:F279)=0,"",IF(OR(A279="",B279="",C279="",D279="",E279=""),"HATA: eksik bilgi",IF(OR(NOT(ISNUMBER(A279)),NOT(ISNUMBER(D279)),D279&lt;=0),"HATA: tarih/tutar geçersiz",IF(C279&lt;&gt;TRIM(C279),"HATA: isimde baştaki/sondaki boşluk",IF(COUNTIF(TurAralik,E279)=0,"HATA: ödeme türü geçersiz",IF(COUNTIFS(kOda,B279,kGiris,"&lt;="&amp;A279,kCikis,"&gt;="&amp;A279,kDurum,"&lt;&gt;İptal")=0,"HATA: bu odada o tarihte misafir yok","OK"))))))</f>
        <v/>
      </c>
      <c r="H279" s="25">
        <f>IF(AND(ISNUMBER(A279),A279=RaporTarihi),COUNTIFS($A$6:A279,RaporTarihi),"")</f>
        <v/>
      </c>
    </row>
    <row r="280">
      <c r="A280" s="23" t="n"/>
      <c r="B280" s="22" t="n"/>
      <c r="C280" s="22" t="n"/>
      <c r="D280" s="24" t="n"/>
      <c r="E280" s="22" t="n"/>
      <c r="F280" s="22" t="n"/>
      <c r="G280" s="25">
        <f>IF(COUNTA(A280:F280)=0,"",IF(OR(A280="",B280="",C280="",D280="",E280=""),"HATA: eksik bilgi",IF(OR(NOT(ISNUMBER(A280)),NOT(ISNUMBER(D280)),D280&lt;=0),"HATA: tarih/tutar geçersiz",IF(C280&lt;&gt;TRIM(C280),"HATA: isimde baştaki/sondaki boşluk",IF(COUNTIF(TurAralik,E280)=0,"HATA: ödeme türü geçersiz",IF(COUNTIFS(kOda,B280,kGiris,"&lt;="&amp;A280,kCikis,"&gt;="&amp;A280,kDurum,"&lt;&gt;İptal")=0,"HATA: bu odada o tarihte misafir yok","OK"))))))</f>
        <v/>
      </c>
      <c r="H280" s="25">
        <f>IF(AND(ISNUMBER(A280),A280=RaporTarihi),COUNTIFS($A$6:A280,RaporTarihi),"")</f>
        <v/>
      </c>
    </row>
    <row r="281">
      <c r="A281" s="23" t="n"/>
      <c r="B281" s="22" t="n"/>
      <c r="C281" s="22" t="n"/>
      <c r="D281" s="24" t="n"/>
      <c r="E281" s="22" t="n"/>
      <c r="F281" s="22" t="n"/>
      <c r="G281" s="25">
        <f>IF(COUNTA(A281:F281)=0,"",IF(OR(A281="",B281="",C281="",D281="",E281=""),"HATA: eksik bilgi",IF(OR(NOT(ISNUMBER(A281)),NOT(ISNUMBER(D281)),D281&lt;=0),"HATA: tarih/tutar geçersiz",IF(C281&lt;&gt;TRIM(C281),"HATA: isimde baştaki/sondaki boşluk",IF(COUNTIF(TurAralik,E281)=0,"HATA: ödeme türü geçersiz",IF(COUNTIFS(kOda,B281,kGiris,"&lt;="&amp;A281,kCikis,"&gt;="&amp;A281,kDurum,"&lt;&gt;İptal")=0,"HATA: bu odada o tarihte misafir yok","OK"))))))</f>
        <v/>
      </c>
      <c r="H281" s="25">
        <f>IF(AND(ISNUMBER(A281),A281=RaporTarihi),COUNTIFS($A$6:A281,RaporTarihi),"")</f>
        <v/>
      </c>
    </row>
    <row r="282">
      <c r="A282" s="23" t="n"/>
      <c r="B282" s="22" t="n"/>
      <c r="C282" s="22" t="n"/>
      <c r="D282" s="24" t="n"/>
      <c r="E282" s="22" t="n"/>
      <c r="F282" s="22" t="n"/>
      <c r="G282" s="25">
        <f>IF(COUNTA(A282:F282)=0,"",IF(OR(A282="",B282="",C282="",D282="",E282=""),"HATA: eksik bilgi",IF(OR(NOT(ISNUMBER(A282)),NOT(ISNUMBER(D282)),D282&lt;=0),"HATA: tarih/tutar geçersiz",IF(C282&lt;&gt;TRIM(C282),"HATA: isimde baştaki/sondaki boşluk",IF(COUNTIF(TurAralik,E282)=0,"HATA: ödeme türü geçersiz",IF(COUNTIFS(kOda,B282,kGiris,"&lt;="&amp;A282,kCikis,"&gt;="&amp;A282,kDurum,"&lt;&gt;İptal")=0,"HATA: bu odada o tarihte misafir yok","OK"))))))</f>
        <v/>
      </c>
      <c r="H282" s="25">
        <f>IF(AND(ISNUMBER(A282),A282=RaporTarihi),COUNTIFS($A$6:A282,RaporTarihi),"")</f>
        <v/>
      </c>
    </row>
    <row r="283">
      <c r="A283" s="23" t="n"/>
      <c r="B283" s="22" t="n"/>
      <c r="C283" s="22" t="n"/>
      <c r="D283" s="24" t="n"/>
      <c r="E283" s="22" t="n"/>
      <c r="F283" s="22" t="n"/>
      <c r="G283" s="25">
        <f>IF(COUNTA(A283:F283)=0,"",IF(OR(A283="",B283="",C283="",D283="",E283=""),"HATA: eksik bilgi",IF(OR(NOT(ISNUMBER(A283)),NOT(ISNUMBER(D283)),D283&lt;=0),"HATA: tarih/tutar geçersiz",IF(C283&lt;&gt;TRIM(C283),"HATA: isimde baştaki/sondaki boşluk",IF(COUNTIF(TurAralik,E283)=0,"HATA: ödeme türü geçersiz",IF(COUNTIFS(kOda,B283,kGiris,"&lt;="&amp;A283,kCikis,"&gt;="&amp;A283,kDurum,"&lt;&gt;İptal")=0,"HATA: bu odada o tarihte misafir yok","OK"))))))</f>
        <v/>
      </c>
      <c r="H283" s="25">
        <f>IF(AND(ISNUMBER(A283),A283=RaporTarihi),COUNTIFS($A$6:A283,RaporTarihi),"")</f>
        <v/>
      </c>
    </row>
    <row r="284">
      <c r="A284" s="23" t="n"/>
      <c r="B284" s="22" t="n"/>
      <c r="C284" s="22" t="n"/>
      <c r="D284" s="24" t="n"/>
      <c r="E284" s="22" t="n"/>
      <c r="F284" s="22" t="n"/>
      <c r="G284" s="25">
        <f>IF(COUNTA(A284:F284)=0,"",IF(OR(A284="",B284="",C284="",D284="",E284=""),"HATA: eksik bilgi",IF(OR(NOT(ISNUMBER(A284)),NOT(ISNUMBER(D284)),D284&lt;=0),"HATA: tarih/tutar geçersiz",IF(C284&lt;&gt;TRIM(C284),"HATA: isimde baştaki/sondaki boşluk",IF(COUNTIF(TurAralik,E284)=0,"HATA: ödeme türü geçersiz",IF(COUNTIFS(kOda,B284,kGiris,"&lt;="&amp;A284,kCikis,"&gt;="&amp;A284,kDurum,"&lt;&gt;İptal")=0,"HATA: bu odada o tarihte misafir yok","OK"))))))</f>
        <v/>
      </c>
      <c r="H284" s="25">
        <f>IF(AND(ISNUMBER(A284),A284=RaporTarihi),COUNTIFS($A$6:A284,RaporTarihi),"")</f>
        <v/>
      </c>
    </row>
    <row r="285">
      <c r="A285" s="23" t="n"/>
      <c r="B285" s="22" t="n"/>
      <c r="C285" s="22" t="n"/>
      <c r="D285" s="24" t="n"/>
      <c r="E285" s="22" t="n"/>
      <c r="F285" s="22" t="n"/>
      <c r="G285" s="25">
        <f>IF(COUNTA(A285:F285)=0,"",IF(OR(A285="",B285="",C285="",D285="",E285=""),"HATA: eksik bilgi",IF(OR(NOT(ISNUMBER(A285)),NOT(ISNUMBER(D285)),D285&lt;=0),"HATA: tarih/tutar geçersiz",IF(C285&lt;&gt;TRIM(C285),"HATA: isimde baştaki/sondaki boşluk",IF(COUNTIF(TurAralik,E285)=0,"HATA: ödeme türü geçersiz",IF(COUNTIFS(kOda,B285,kGiris,"&lt;="&amp;A285,kCikis,"&gt;="&amp;A285,kDurum,"&lt;&gt;İptal")=0,"HATA: bu odada o tarihte misafir yok","OK"))))))</f>
        <v/>
      </c>
      <c r="H285" s="25">
        <f>IF(AND(ISNUMBER(A285),A285=RaporTarihi),COUNTIFS($A$6:A285,RaporTarihi),"")</f>
        <v/>
      </c>
    </row>
    <row r="286">
      <c r="A286" s="23" t="n"/>
      <c r="B286" s="22" t="n"/>
      <c r="C286" s="22" t="n"/>
      <c r="D286" s="24" t="n"/>
      <c r="E286" s="22" t="n"/>
      <c r="F286" s="22" t="n"/>
      <c r="G286" s="25">
        <f>IF(COUNTA(A286:F286)=0,"",IF(OR(A286="",B286="",C286="",D286="",E286=""),"HATA: eksik bilgi",IF(OR(NOT(ISNUMBER(A286)),NOT(ISNUMBER(D286)),D286&lt;=0),"HATA: tarih/tutar geçersiz",IF(C286&lt;&gt;TRIM(C286),"HATA: isimde baştaki/sondaki boşluk",IF(COUNTIF(TurAralik,E286)=0,"HATA: ödeme türü geçersiz",IF(COUNTIFS(kOda,B286,kGiris,"&lt;="&amp;A286,kCikis,"&gt;="&amp;A286,kDurum,"&lt;&gt;İptal")=0,"HATA: bu odada o tarihte misafir yok","OK"))))))</f>
        <v/>
      </c>
      <c r="H286" s="25">
        <f>IF(AND(ISNUMBER(A286),A286=RaporTarihi),COUNTIFS($A$6:A286,RaporTarihi),"")</f>
        <v/>
      </c>
    </row>
    <row r="287">
      <c r="A287" s="23" t="n"/>
      <c r="B287" s="22" t="n"/>
      <c r="C287" s="22" t="n"/>
      <c r="D287" s="24" t="n"/>
      <c r="E287" s="22" t="n"/>
      <c r="F287" s="22" t="n"/>
      <c r="G287" s="25">
        <f>IF(COUNTA(A287:F287)=0,"",IF(OR(A287="",B287="",C287="",D287="",E287=""),"HATA: eksik bilgi",IF(OR(NOT(ISNUMBER(A287)),NOT(ISNUMBER(D287)),D287&lt;=0),"HATA: tarih/tutar geçersiz",IF(C287&lt;&gt;TRIM(C287),"HATA: isimde baştaki/sondaki boşluk",IF(COUNTIF(TurAralik,E287)=0,"HATA: ödeme türü geçersiz",IF(COUNTIFS(kOda,B287,kGiris,"&lt;="&amp;A287,kCikis,"&gt;="&amp;A287,kDurum,"&lt;&gt;İptal")=0,"HATA: bu odada o tarihte misafir yok","OK"))))))</f>
        <v/>
      </c>
      <c r="H287" s="25">
        <f>IF(AND(ISNUMBER(A287),A287=RaporTarihi),COUNTIFS($A$6:A287,RaporTarihi),"")</f>
        <v/>
      </c>
    </row>
    <row r="288">
      <c r="A288" s="23" t="n"/>
      <c r="B288" s="22" t="n"/>
      <c r="C288" s="22" t="n"/>
      <c r="D288" s="24" t="n"/>
      <c r="E288" s="22" t="n"/>
      <c r="F288" s="22" t="n"/>
      <c r="G288" s="25">
        <f>IF(COUNTA(A288:F288)=0,"",IF(OR(A288="",B288="",C288="",D288="",E288=""),"HATA: eksik bilgi",IF(OR(NOT(ISNUMBER(A288)),NOT(ISNUMBER(D288)),D288&lt;=0),"HATA: tarih/tutar geçersiz",IF(C288&lt;&gt;TRIM(C288),"HATA: isimde baştaki/sondaki boşluk",IF(COUNTIF(TurAralik,E288)=0,"HATA: ödeme türü geçersiz",IF(COUNTIFS(kOda,B288,kGiris,"&lt;="&amp;A288,kCikis,"&gt;="&amp;A288,kDurum,"&lt;&gt;İptal")=0,"HATA: bu odada o tarihte misafir yok","OK"))))))</f>
        <v/>
      </c>
      <c r="H288" s="25">
        <f>IF(AND(ISNUMBER(A288),A288=RaporTarihi),COUNTIFS($A$6:A288,RaporTarihi),"")</f>
        <v/>
      </c>
    </row>
    <row r="289">
      <c r="A289" s="23" t="n"/>
      <c r="B289" s="22" t="n"/>
      <c r="C289" s="22" t="n"/>
      <c r="D289" s="24" t="n"/>
      <c r="E289" s="22" t="n"/>
      <c r="F289" s="22" t="n"/>
      <c r="G289" s="25">
        <f>IF(COUNTA(A289:F289)=0,"",IF(OR(A289="",B289="",C289="",D289="",E289=""),"HATA: eksik bilgi",IF(OR(NOT(ISNUMBER(A289)),NOT(ISNUMBER(D289)),D289&lt;=0),"HATA: tarih/tutar geçersiz",IF(C289&lt;&gt;TRIM(C289),"HATA: isimde baştaki/sondaki boşluk",IF(COUNTIF(TurAralik,E289)=0,"HATA: ödeme türü geçersiz",IF(COUNTIFS(kOda,B289,kGiris,"&lt;="&amp;A289,kCikis,"&gt;="&amp;A289,kDurum,"&lt;&gt;İptal")=0,"HATA: bu odada o tarihte misafir yok","OK"))))))</f>
        <v/>
      </c>
      <c r="H289" s="25">
        <f>IF(AND(ISNUMBER(A289),A289=RaporTarihi),COUNTIFS($A$6:A289,RaporTarihi),"")</f>
        <v/>
      </c>
    </row>
    <row r="290">
      <c r="A290" s="23" t="n"/>
      <c r="B290" s="22" t="n"/>
      <c r="C290" s="22" t="n"/>
      <c r="D290" s="24" t="n"/>
      <c r="E290" s="22" t="n"/>
      <c r="F290" s="22" t="n"/>
      <c r="G290" s="25">
        <f>IF(COUNTA(A290:F290)=0,"",IF(OR(A290="",B290="",C290="",D290="",E290=""),"HATA: eksik bilgi",IF(OR(NOT(ISNUMBER(A290)),NOT(ISNUMBER(D290)),D290&lt;=0),"HATA: tarih/tutar geçersiz",IF(C290&lt;&gt;TRIM(C290),"HATA: isimde baştaki/sondaki boşluk",IF(COUNTIF(TurAralik,E290)=0,"HATA: ödeme türü geçersiz",IF(COUNTIFS(kOda,B290,kGiris,"&lt;="&amp;A290,kCikis,"&gt;="&amp;A290,kDurum,"&lt;&gt;İptal")=0,"HATA: bu odada o tarihte misafir yok","OK"))))))</f>
        <v/>
      </c>
      <c r="H290" s="25">
        <f>IF(AND(ISNUMBER(A290),A290=RaporTarihi),COUNTIFS($A$6:A290,RaporTarihi),"")</f>
        <v/>
      </c>
    </row>
    <row r="291">
      <c r="A291" s="23" t="n"/>
      <c r="B291" s="22" t="n"/>
      <c r="C291" s="22" t="n"/>
      <c r="D291" s="24" t="n"/>
      <c r="E291" s="22" t="n"/>
      <c r="F291" s="22" t="n"/>
      <c r="G291" s="25">
        <f>IF(COUNTA(A291:F291)=0,"",IF(OR(A291="",B291="",C291="",D291="",E291=""),"HATA: eksik bilgi",IF(OR(NOT(ISNUMBER(A291)),NOT(ISNUMBER(D291)),D291&lt;=0),"HATA: tarih/tutar geçersiz",IF(C291&lt;&gt;TRIM(C291),"HATA: isimde baştaki/sondaki boşluk",IF(COUNTIF(TurAralik,E291)=0,"HATA: ödeme türü geçersiz",IF(COUNTIFS(kOda,B291,kGiris,"&lt;="&amp;A291,kCikis,"&gt;="&amp;A291,kDurum,"&lt;&gt;İptal")=0,"HATA: bu odada o tarihte misafir yok","OK"))))))</f>
        <v/>
      </c>
      <c r="H291" s="25">
        <f>IF(AND(ISNUMBER(A291),A291=RaporTarihi),COUNTIFS($A$6:A291,RaporTarihi),"")</f>
        <v/>
      </c>
    </row>
    <row r="292">
      <c r="A292" s="23" t="n"/>
      <c r="B292" s="22" t="n"/>
      <c r="C292" s="22" t="n"/>
      <c r="D292" s="24" t="n"/>
      <c r="E292" s="22" t="n"/>
      <c r="F292" s="22" t="n"/>
      <c r="G292" s="25">
        <f>IF(COUNTA(A292:F292)=0,"",IF(OR(A292="",B292="",C292="",D292="",E292=""),"HATA: eksik bilgi",IF(OR(NOT(ISNUMBER(A292)),NOT(ISNUMBER(D292)),D292&lt;=0),"HATA: tarih/tutar geçersiz",IF(C292&lt;&gt;TRIM(C292),"HATA: isimde baştaki/sondaki boşluk",IF(COUNTIF(TurAralik,E292)=0,"HATA: ödeme türü geçersiz",IF(COUNTIFS(kOda,B292,kGiris,"&lt;="&amp;A292,kCikis,"&gt;="&amp;A292,kDurum,"&lt;&gt;İptal")=0,"HATA: bu odada o tarihte misafir yok","OK"))))))</f>
        <v/>
      </c>
      <c r="H292" s="25">
        <f>IF(AND(ISNUMBER(A292),A292=RaporTarihi),COUNTIFS($A$6:A292,RaporTarihi),"")</f>
        <v/>
      </c>
    </row>
    <row r="293">
      <c r="A293" s="23" t="n"/>
      <c r="B293" s="22" t="n"/>
      <c r="C293" s="22" t="n"/>
      <c r="D293" s="24" t="n"/>
      <c r="E293" s="22" t="n"/>
      <c r="F293" s="22" t="n"/>
      <c r="G293" s="25">
        <f>IF(COUNTA(A293:F293)=0,"",IF(OR(A293="",B293="",C293="",D293="",E293=""),"HATA: eksik bilgi",IF(OR(NOT(ISNUMBER(A293)),NOT(ISNUMBER(D293)),D293&lt;=0),"HATA: tarih/tutar geçersiz",IF(C293&lt;&gt;TRIM(C293),"HATA: isimde baştaki/sondaki boşluk",IF(COUNTIF(TurAralik,E293)=0,"HATA: ödeme türü geçersiz",IF(COUNTIFS(kOda,B293,kGiris,"&lt;="&amp;A293,kCikis,"&gt;="&amp;A293,kDurum,"&lt;&gt;İptal")=0,"HATA: bu odada o tarihte misafir yok","OK"))))))</f>
        <v/>
      </c>
      <c r="H293" s="25">
        <f>IF(AND(ISNUMBER(A293),A293=RaporTarihi),COUNTIFS($A$6:A293,RaporTarihi),"")</f>
        <v/>
      </c>
    </row>
    <row r="294">
      <c r="A294" s="23" t="n"/>
      <c r="B294" s="22" t="n"/>
      <c r="C294" s="22" t="n"/>
      <c r="D294" s="24" t="n"/>
      <c r="E294" s="22" t="n"/>
      <c r="F294" s="22" t="n"/>
      <c r="G294" s="25">
        <f>IF(COUNTA(A294:F294)=0,"",IF(OR(A294="",B294="",C294="",D294="",E294=""),"HATA: eksik bilgi",IF(OR(NOT(ISNUMBER(A294)),NOT(ISNUMBER(D294)),D294&lt;=0),"HATA: tarih/tutar geçersiz",IF(C294&lt;&gt;TRIM(C294),"HATA: isimde baştaki/sondaki boşluk",IF(COUNTIF(TurAralik,E294)=0,"HATA: ödeme türü geçersiz",IF(COUNTIFS(kOda,B294,kGiris,"&lt;="&amp;A294,kCikis,"&gt;="&amp;A294,kDurum,"&lt;&gt;İptal")=0,"HATA: bu odada o tarihte misafir yok","OK"))))))</f>
        <v/>
      </c>
      <c r="H294" s="25">
        <f>IF(AND(ISNUMBER(A294),A294=RaporTarihi),COUNTIFS($A$6:A294,RaporTarihi),"")</f>
        <v/>
      </c>
    </row>
    <row r="295">
      <c r="A295" s="23" t="n"/>
      <c r="B295" s="22" t="n"/>
      <c r="C295" s="22" t="n"/>
      <c r="D295" s="24" t="n"/>
      <c r="E295" s="22" t="n"/>
      <c r="F295" s="22" t="n"/>
      <c r="G295" s="25">
        <f>IF(COUNTA(A295:F295)=0,"",IF(OR(A295="",B295="",C295="",D295="",E295=""),"HATA: eksik bilgi",IF(OR(NOT(ISNUMBER(A295)),NOT(ISNUMBER(D295)),D295&lt;=0),"HATA: tarih/tutar geçersiz",IF(C295&lt;&gt;TRIM(C295),"HATA: isimde baştaki/sondaki boşluk",IF(COUNTIF(TurAralik,E295)=0,"HATA: ödeme türü geçersiz",IF(COUNTIFS(kOda,B295,kGiris,"&lt;="&amp;A295,kCikis,"&gt;="&amp;A295,kDurum,"&lt;&gt;İptal")=0,"HATA: bu odada o tarihte misafir yok","OK"))))))</f>
        <v/>
      </c>
      <c r="H295" s="25">
        <f>IF(AND(ISNUMBER(A295),A295=RaporTarihi),COUNTIFS($A$6:A295,RaporTarihi),"")</f>
        <v/>
      </c>
    </row>
    <row r="296">
      <c r="A296" s="23" t="n"/>
      <c r="B296" s="22" t="n"/>
      <c r="C296" s="22" t="n"/>
      <c r="D296" s="24" t="n"/>
      <c r="E296" s="22" t="n"/>
      <c r="F296" s="22" t="n"/>
      <c r="G296" s="25">
        <f>IF(COUNTA(A296:F296)=0,"",IF(OR(A296="",B296="",C296="",D296="",E296=""),"HATA: eksik bilgi",IF(OR(NOT(ISNUMBER(A296)),NOT(ISNUMBER(D296)),D296&lt;=0),"HATA: tarih/tutar geçersiz",IF(C296&lt;&gt;TRIM(C296),"HATA: isimde baştaki/sondaki boşluk",IF(COUNTIF(TurAralik,E296)=0,"HATA: ödeme türü geçersiz",IF(COUNTIFS(kOda,B296,kGiris,"&lt;="&amp;A296,kCikis,"&gt;="&amp;A296,kDurum,"&lt;&gt;İptal")=0,"HATA: bu odada o tarihte misafir yok","OK"))))))</f>
        <v/>
      </c>
      <c r="H296" s="25">
        <f>IF(AND(ISNUMBER(A296),A296=RaporTarihi),COUNTIFS($A$6:A296,RaporTarihi),"")</f>
        <v/>
      </c>
    </row>
    <row r="297">
      <c r="A297" s="23" t="n"/>
      <c r="B297" s="22" t="n"/>
      <c r="C297" s="22" t="n"/>
      <c r="D297" s="24" t="n"/>
      <c r="E297" s="22" t="n"/>
      <c r="F297" s="22" t="n"/>
      <c r="G297" s="25">
        <f>IF(COUNTA(A297:F297)=0,"",IF(OR(A297="",B297="",C297="",D297="",E297=""),"HATA: eksik bilgi",IF(OR(NOT(ISNUMBER(A297)),NOT(ISNUMBER(D297)),D297&lt;=0),"HATA: tarih/tutar geçersiz",IF(C297&lt;&gt;TRIM(C297),"HATA: isimde baştaki/sondaki boşluk",IF(COUNTIF(TurAralik,E297)=0,"HATA: ödeme türü geçersiz",IF(COUNTIFS(kOda,B297,kGiris,"&lt;="&amp;A297,kCikis,"&gt;="&amp;A297,kDurum,"&lt;&gt;İptal")=0,"HATA: bu odada o tarihte misafir yok","OK"))))))</f>
        <v/>
      </c>
      <c r="H297" s="25">
        <f>IF(AND(ISNUMBER(A297),A297=RaporTarihi),COUNTIFS($A$6:A297,RaporTarihi),"")</f>
        <v/>
      </c>
    </row>
    <row r="298">
      <c r="A298" s="23" t="n"/>
      <c r="B298" s="22" t="n"/>
      <c r="C298" s="22" t="n"/>
      <c r="D298" s="24" t="n"/>
      <c r="E298" s="22" t="n"/>
      <c r="F298" s="22" t="n"/>
      <c r="G298" s="25">
        <f>IF(COUNTA(A298:F298)=0,"",IF(OR(A298="",B298="",C298="",D298="",E298=""),"HATA: eksik bilgi",IF(OR(NOT(ISNUMBER(A298)),NOT(ISNUMBER(D298)),D298&lt;=0),"HATA: tarih/tutar geçersiz",IF(C298&lt;&gt;TRIM(C298),"HATA: isimde baştaki/sondaki boşluk",IF(COUNTIF(TurAralik,E298)=0,"HATA: ödeme türü geçersiz",IF(COUNTIFS(kOda,B298,kGiris,"&lt;="&amp;A298,kCikis,"&gt;="&amp;A298,kDurum,"&lt;&gt;İptal")=0,"HATA: bu odada o tarihte misafir yok","OK"))))))</f>
        <v/>
      </c>
      <c r="H298" s="25">
        <f>IF(AND(ISNUMBER(A298),A298=RaporTarihi),COUNTIFS($A$6:A298,RaporTarihi),"")</f>
        <v/>
      </c>
    </row>
    <row r="299">
      <c r="A299" s="23" t="n"/>
      <c r="B299" s="22" t="n"/>
      <c r="C299" s="22" t="n"/>
      <c r="D299" s="24" t="n"/>
      <c r="E299" s="22" t="n"/>
      <c r="F299" s="22" t="n"/>
      <c r="G299" s="25">
        <f>IF(COUNTA(A299:F299)=0,"",IF(OR(A299="",B299="",C299="",D299="",E299=""),"HATA: eksik bilgi",IF(OR(NOT(ISNUMBER(A299)),NOT(ISNUMBER(D299)),D299&lt;=0),"HATA: tarih/tutar geçersiz",IF(C299&lt;&gt;TRIM(C299),"HATA: isimde baştaki/sondaki boşluk",IF(COUNTIF(TurAralik,E299)=0,"HATA: ödeme türü geçersiz",IF(COUNTIFS(kOda,B299,kGiris,"&lt;="&amp;A299,kCikis,"&gt;="&amp;A299,kDurum,"&lt;&gt;İptal")=0,"HATA: bu odada o tarihte misafir yok","OK"))))))</f>
        <v/>
      </c>
      <c r="H299" s="25">
        <f>IF(AND(ISNUMBER(A299),A299=RaporTarihi),COUNTIFS($A$6:A299,RaporTarihi),"")</f>
        <v/>
      </c>
    </row>
    <row r="300">
      <c r="A300" s="23" t="n"/>
      <c r="B300" s="22" t="n"/>
      <c r="C300" s="22" t="n"/>
      <c r="D300" s="24" t="n"/>
      <c r="E300" s="22" t="n"/>
      <c r="F300" s="22" t="n"/>
      <c r="G300" s="25">
        <f>IF(COUNTA(A300:F300)=0,"",IF(OR(A300="",B300="",C300="",D300="",E300=""),"HATA: eksik bilgi",IF(OR(NOT(ISNUMBER(A300)),NOT(ISNUMBER(D300)),D300&lt;=0),"HATA: tarih/tutar geçersiz",IF(C300&lt;&gt;TRIM(C300),"HATA: isimde baştaki/sondaki boşluk",IF(COUNTIF(TurAralik,E300)=0,"HATA: ödeme türü geçersiz",IF(COUNTIFS(kOda,B300,kGiris,"&lt;="&amp;A300,kCikis,"&gt;="&amp;A300,kDurum,"&lt;&gt;İptal")=0,"HATA: bu odada o tarihte misafir yok","OK"))))))</f>
        <v/>
      </c>
      <c r="H300" s="25">
        <f>IF(AND(ISNUMBER(A300),A300=RaporTarihi),COUNTIFS($A$6:A300,RaporTarihi),"")</f>
        <v/>
      </c>
    </row>
    <row r="301">
      <c r="A301" s="23" t="n"/>
      <c r="B301" s="22" t="n"/>
      <c r="C301" s="22" t="n"/>
      <c r="D301" s="24" t="n"/>
      <c r="E301" s="22" t="n"/>
      <c r="F301" s="22" t="n"/>
      <c r="G301" s="25">
        <f>IF(COUNTA(A301:F301)=0,"",IF(OR(A301="",B301="",C301="",D301="",E301=""),"HATA: eksik bilgi",IF(OR(NOT(ISNUMBER(A301)),NOT(ISNUMBER(D301)),D301&lt;=0),"HATA: tarih/tutar geçersiz",IF(C301&lt;&gt;TRIM(C301),"HATA: isimde baştaki/sondaki boşluk",IF(COUNTIF(TurAralik,E301)=0,"HATA: ödeme türü geçersiz",IF(COUNTIFS(kOda,B301,kGiris,"&lt;="&amp;A301,kCikis,"&gt;="&amp;A301,kDurum,"&lt;&gt;İptal")=0,"HATA: bu odada o tarihte misafir yok","OK"))))))</f>
        <v/>
      </c>
      <c r="H301" s="25">
        <f>IF(AND(ISNUMBER(A301),A301=RaporTarihi),COUNTIFS($A$6:A301,RaporTarihi),"")</f>
        <v/>
      </c>
    </row>
    <row r="302">
      <c r="A302" s="23" t="n"/>
      <c r="B302" s="22" t="n"/>
      <c r="C302" s="22" t="n"/>
      <c r="D302" s="24" t="n"/>
      <c r="E302" s="22" t="n"/>
      <c r="F302" s="22" t="n"/>
      <c r="G302" s="25">
        <f>IF(COUNTA(A302:F302)=0,"",IF(OR(A302="",B302="",C302="",D302="",E302=""),"HATA: eksik bilgi",IF(OR(NOT(ISNUMBER(A302)),NOT(ISNUMBER(D302)),D302&lt;=0),"HATA: tarih/tutar geçersiz",IF(C302&lt;&gt;TRIM(C302),"HATA: isimde baştaki/sondaki boşluk",IF(COUNTIF(TurAralik,E302)=0,"HATA: ödeme türü geçersiz",IF(COUNTIFS(kOda,B302,kGiris,"&lt;="&amp;A302,kCikis,"&gt;="&amp;A302,kDurum,"&lt;&gt;İptal")=0,"HATA: bu odada o tarihte misafir yok","OK"))))))</f>
        <v/>
      </c>
      <c r="H302" s="25">
        <f>IF(AND(ISNUMBER(A302),A302=RaporTarihi),COUNTIFS($A$6:A302,RaporTarihi),"")</f>
        <v/>
      </c>
    </row>
    <row r="303">
      <c r="A303" s="23" t="n"/>
      <c r="B303" s="22" t="n"/>
      <c r="C303" s="22" t="n"/>
      <c r="D303" s="24" t="n"/>
      <c r="E303" s="22" t="n"/>
      <c r="F303" s="22" t="n"/>
      <c r="G303" s="25">
        <f>IF(COUNTA(A303:F303)=0,"",IF(OR(A303="",B303="",C303="",D303="",E303=""),"HATA: eksik bilgi",IF(OR(NOT(ISNUMBER(A303)),NOT(ISNUMBER(D303)),D303&lt;=0),"HATA: tarih/tutar geçersiz",IF(C303&lt;&gt;TRIM(C303),"HATA: isimde baştaki/sondaki boşluk",IF(COUNTIF(TurAralik,E303)=0,"HATA: ödeme türü geçersiz",IF(COUNTIFS(kOda,B303,kGiris,"&lt;="&amp;A303,kCikis,"&gt;="&amp;A303,kDurum,"&lt;&gt;İptal")=0,"HATA: bu odada o tarihte misafir yok","OK"))))))</f>
        <v/>
      </c>
      <c r="H303" s="25">
        <f>IF(AND(ISNUMBER(A303),A303=RaporTarihi),COUNTIFS($A$6:A303,RaporTarihi),"")</f>
        <v/>
      </c>
    </row>
    <row r="304">
      <c r="A304" s="23" t="n"/>
      <c r="B304" s="22" t="n"/>
      <c r="C304" s="22" t="n"/>
      <c r="D304" s="24" t="n"/>
      <c r="E304" s="22" t="n"/>
      <c r="F304" s="22" t="n"/>
      <c r="G304" s="25">
        <f>IF(COUNTA(A304:F304)=0,"",IF(OR(A304="",B304="",C304="",D304="",E304=""),"HATA: eksik bilgi",IF(OR(NOT(ISNUMBER(A304)),NOT(ISNUMBER(D304)),D304&lt;=0),"HATA: tarih/tutar geçersiz",IF(C304&lt;&gt;TRIM(C304),"HATA: isimde baştaki/sondaki boşluk",IF(COUNTIF(TurAralik,E304)=0,"HATA: ödeme türü geçersiz",IF(COUNTIFS(kOda,B304,kGiris,"&lt;="&amp;A304,kCikis,"&gt;="&amp;A304,kDurum,"&lt;&gt;İptal")=0,"HATA: bu odada o tarihte misafir yok","OK"))))))</f>
        <v/>
      </c>
      <c r="H304" s="25">
        <f>IF(AND(ISNUMBER(A304),A304=RaporTarihi),COUNTIFS($A$6:A304,RaporTarihi),"")</f>
        <v/>
      </c>
    </row>
    <row r="305">
      <c r="A305" s="23" t="n"/>
      <c r="B305" s="22" t="n"/>
      <c r="C305" s="22" t="n"/>
      <c r="D305" s="24" t="n"/>
      <c r="E305" s="22" t="n"/>
      <c r="F305" s="22" t="n"/>
      <c r="G305" s="25">
        <f>IF(COUNTA(A305:F305)=0,"",IF(OR(A305="",B305="",C305="",D305="",E305=""),"HATA: eksik bilgi",IF(OR(NOT(ISNUMBER(A305)),NOT(ISNUMBER(D305)),D305&lt;=0),"HATA: tarih/tutar geçersiz",IF(C305&lt;&gt;TRIM(C305),"HATA: isimde baştaki/sondaki boşluk",IF(COUNTIF(TurAralik,E305)=0,"HATA: ödeme türü geçersiz",IF(COUNTIFS(kOda,B305,kGiris,"&lt;="&amp;A305,kCikis,"&gt;="&amp;A305,kDurum,"&lt;&gt;İptal")=0,"HATA: bu odada o tarihte misafir yok","OK"))))))</f>
        <v/>
      </c>
      <c r="H305" s="25">
        <f>IF(AND(ISNUMBER(A305),A305=RaporTarihi),COUNTIFS($A$6:A305,RaporTarihi),"")</f>
        <v/>
      </c>
    </row>
    <row r="306">
      <c r="A306" s="23" t="n"/>
      <c r="B306" s="22" t="n"/>
      <c r="C306" s="22" t="n"/>
      <c r="D306" s="24" t="n"/>
      <c r="E306" s="22" t="n"/>
      <c r="F306" s="22" t="n"/>
      <c r="G306" s="25">
        <f>IF(COUNTA(A306:F306)=0,"",IF(OR(A306="",B306="",C306="",D306="",E306=""),"HATA: eksik bilgi",IF(OR(NOT(ISNUMBER(A306)),NOT(ISNUMBER(D306)),D306&lt;=0),"HATA: tarih/tutar geçersiz",IF(C306&lt;&gt;TRIM(C306),"HATA: isimde baştaki/sondaki boşluk",IF(COUNTIF(TurAralik,E306)=0,"HATA: ödeme türü geçersiz",IF(COUNTIFS(kOda,B306,kGiris,"&lt;="&amp;A306,kCikis,"&gt;="&amp;A306,kDurum,"&lt;&gt;İptal")=0,"HATA: bu odada o tarihte misafir yok","OK"))))))</f>
        <v/>
      </c>
      <c r="H306" s="25">
        <f>IF(AND(ISNUMBER(A306),A306=RaporTarihi),COUNTIFS($A$6:A306,RaporTarihi),"")</f>
        <v/>
      </c>
    </row>
    <row r="307">
      <c r="A307" s="23" t="n"/>
      <c r="B307" s="22" t="n"/>
      <c r="C307" s="22" t="n"/>
      <c r="D307" s="24" t="n"/>
      <c r="E307" s="22" t="n"/>
      <c r="F307" s="22" t="n"/>
      <c r="G307" s="25">
        <f>IF(COUNTA(A307:F307)=0,"",IF(OR(A307="",B307="",C307="",D307="",E307=""),"HATA: eksik bilgi",IF(OR(NOT(ISNUMBER(A307)),NOT(ISNUMBER(D307)),D307&lt;=0),"HATA: tarih/tutar geçersiz",IF(C307&lt;&gt;TRIM(C307),"HATA: isimde baştaki/sondaki boşluk",IF(COUNTIF(TurAralik,E307)=0,"HATA: ödeme türü geçersiz",IF(COUNTIFS(kOda,B307,kGiris,"&lt;="&amp;A307,kCikis,"&gt;="&amp;A307,kDurum,"&lt;&gt;İptal")=0,"HATA: bu odada o tarihte misafir yok","OK"))))))</f>
        <v/>
      </c>
      <c r="H307" s="25">
        <f>IF(AND(ISNUMBER(A307),A307=RaporTarihi),COUNTIFS($A$6:A307,RaporTarihi),"")</f>
        <v/>
      </c>
    </row>
    <row r="308">
      <c r="A308" s="23" t="n"/>
      <c r="B308" s="22" t="n"/>
      <c r="C308" s="22" t="n"/>
      <c r="D308" s="24" t="n"/>
      <c r="E308" s="22" t="n"/>
      <c r="F308" s="22" t="n"/>
      <c r="G308" s="25">
        <f>IF(COUNTA(A308:F308)=0,"",IF(OR(A308="",B308="",C308="",D308="",E308=""),"HATA: eksik bilgi",IF(OR(NOT(ISNUMBER(A308)),NOT(ISNUMBER(D308)),D308&lt;=0),"HATA: tarih/tutar geçersiz",IF(C308&lt;&gt;TRIM(C308),"HATA: isimde baştaki/sondaki boşluk",IF(COUNTIF(TurAralik,E308)=0,"HATA: ödeme türü geçersiz",IF(COUNTIFS(kOda,B308,kGiris,"&lt;="&amp;A308,kCikis,"&gt;="&amp;A308,kDurum,"&lt;&gt;İptal")=0,"HATA: bu odada o tarihte misafir yok","OK"))))))</f>
        <v/>
      </c>
      <c r="H308" s="25">
        <f>IF(AND(ISNUMBER(A308),A308=RaporTarihi),COUNTIFS($A$6:A308,RaporTarihi),"")</f>
        <v/>
      </c>
    </row>
    <row r="309">
      <c r="A309" s="23" t="n"/>
      <c r="B309" s="22" t="n"/>
      <c r="C309" s="22" t="n"/>
      <c r="D309" s="24" t="n"/>
      <c r="E309" s="22" t="n"/>
      <c r="F309" s="22" t="n"/>
      <c r="G309" s="25">
        <f>IF(COUNTA(A309:F309)=0,"",IF(OR(A309="",B309="",C309="",D309="",E309=""),"HATA: eksik bilgi",IF(OR(NOT(ISNUMBER(A309)),NOT(ISNUMBER(D309)),D309&lt;=0),"HATA: tarih/tutar geçersiz",IF(C309&lt;&gt;TRIM(C309),"HATA: isimde baştaki/sondaki boşluk",IF(COUNTIF(TurAralik,E309)=0,"HATA: ödeme türü geçersiz",IF(COUNTIFS(kOda,B309,kGiris,"&lt;="&amp;A309,kCikis,"&gt;="&amp;A309,kDurum,"&lt;&gt;İptal")=0,"HATA: bu odada o tarihte misafir yok","OK"))))))</f>
        <v/>
      </c>
      <c r="H309" s="25">
        <f>IF(AND(ISNUMBER(A309),A309=RaporTarihi),COUNTIFS($A$6:A309,RaporTarihi),"")</f>
        <v/>
      </c>
    </row>
    <row r="310">
      <c r="A310" s="23" t="n"/>
      <c r="B310" s="22" t="n"/>
      <c r="C310" s="22" t="n"/>
      <c r="D310" s="24" t="n"/>
      <c r="E310" s="22" t="n"/>
      <c r="F310" s="22" t="n"/>
      <c r="G310" s="25">
        <f>IF(COUNTA(A310:F310)=0,"",IF(OR(A310="",B310="",C310="",D310="",E310=""),"HATA: eksik bilgi",IF(OR(NOT(ISNUMBER(A310)),NOT(ISNUMBER(D310)),D310&lt;=0),"HATA: tarih/tutar geçersiz",IF(C310&lt;&gt;TRIM(C310),"HATA: isimde baştaki/sondaki boşluk",IF(COUNTIF(TurAralik,E310)=0,"HATA: ödeme türü geçersiz",IF(COUNTIFS(kOda,B310,kGiris,"&lt;="&amp;A310,kCikis,"&gt;="&amp;A310,kDurum,"&lt;&gt;İptal")=0,"HATA: bu odada o tarihte misafir yok","OK"))))))</f>
        <v/>
      </c>
      <c r="H310" s="25">
        <f>IF(AND(ISNUMBER(A310),A310=RaporTarihi),COUNTIFS($A$6:A310,RaporTarihi),"")</f>
        <v/>
      </c>
    </row>
    <row r="311">
      <c r="A311" s="23" t="n"/>
      <c r="B311" s="22" t="n"/>
      <c r="C311" s="22" t="n"/>
      <c r="D311" s="24" t="n"/>
      <c r="E311" s="22" t="n"/>
      <c r="F311" s="22" t="n"/>
      <c r="G311" s="25">
        <f>IF(COUNTA(A311:F311)=0,"",IF(OR(A311="",B311="",C311="",D311="",E311=""),"HATA: eksik bilgi",IF(OR(NOT(ISNUMBER(A311)),NOT(ISNUMBER(D311)),D311&lt;=0),"HATA: tarih/tutar geçersiz",IF(C311&lt;&gt;TRIM(C311),"HATA: isimde baştaki/sondaki boşluk",IF(COUNTIF(TurAralik,E311)=0,"HATA: ödeme türü geçersiz",IF(COUNTIFS(kOda,B311,kGiris,"&lt;="&amp;A311,kCikis,"&gt;="&amp;A311,kDurum,"&lt;&gt;İptal")=0,"HATA: bu odada o tarihte misafir yok","OK"))))))</f>
        <v/>
      </c>
      <c r="H311" s="25">
        <f>IF(AND(ISNUMBER(A311),A311=RaporTarihi),COUNTIFS($A$6:A311,RaporTarihi),"")</f>
        <v/>
      </c>
    </row>
    <row r="312">
      <c r="A312" s="23" t="n"/>
      <c r="B312" s="22" t="n"/>
      <c r="C312" s="22" t="n"/>
      <c r="D312" s="24" t="n"/>
      <c r="E312" s="22" t="n"/>
      <c r="F312" s="22" t="n"/>
      <c r="G312" s="25">
        <f>IF(COUNTA(A312:F312)=0,"",IF(OR(A312="",B312="",C312="",D312="",E312=""),"HATA: eksik bilgi",IF(OR(NOT(ISNUMBER(A312)),NOT(ISNUMBER(D312)),D312&lt;=0),"HATA: tarih/tutar geçersiz",IF(C312&lt;&gt;TRIM(C312),"HATA: isimde baştaki/sondaki boşluk",IF(COUNTIF(TurAralik,E312)=0,"HATA: ödeme türü geçersiz",IF(COUNTIFS(kOda,B312,kGiris,"&lt;="&amp;A312,kCikis,"&gt;="&amp;A312,kDurum,"&lt;&gt;İptal")=0,"HATA: bu odada o tarihte misafir yok","OK"))))))</f>
        <v/>
      </c>
      <c r="H312" s="25">
        <f>IF(AND(ISNUMBER(A312),A312=RaporTarihi),COUNTIFS($A$6:A312,RaporTarihi),"")</f>
        <v/>
      </c>
    </row>
    <row r="313">
      <c r="A313" s="23" t="n"/>
      <c r="B313" s="22" t="n"/>
      <c r="C313" s="22" t="n"/>
      <c r="D313" s="24" t="n"/>
      <c r="E313" s="22" t="n"/>
      <c r="F313" s="22" t="n"/>
      <c r="G313" s="25">
        <f>IF(COUNTA(A313:F313)=0,"",IF(OR(A313="",B313="",C313="",D313="",E313=""),"HATA: eksik bilgi",IF(OR(NOT(ISNUMBER(A313)),NOT(ISNUMBER(D313)),D313&lt;=0),"HATA: tarih/tutar geçersiz",IF(C313&lt;&gt;TRIM(C313),"HATA: isimde baştaki/sondaki boşluk",IF(COUNTIF(TurAralik,E313)=0,"HATA: ödeme türü geçersiz",IF(COUNTIFS(kOda,B313,kGiris,"&lt;="&amp;A313,kCikis,"&gt;="&amp;A313,kDurum,"&lt;&gt;İptal")=0,"HATA: bu odada o tarihte misafir yok","OK"))))))</f>
        <v/>
      </c>
      <c r="H313" s="25">
        <f>IF(AND(ISNUMBER(A313),A313=RaporTarihi),COUNTIFS($A$6:A313,RaporTarihi),"")</f>
        <v/>
      </c>
    </row>
    <row r="314">
      <c r="A314" s="23" t="n"/>
      <c r="B314" s="22" t="n"/>
      <c r="C314" s="22" t="n"/>
      <c r="D314" s="24" t="n"/>
      <c r="E314" s="22" t="n"/>
      <c r="F314" s="22" t="n"/>
      <c r="G314" s="25">
        <f>IF(COUNTA(A314:F314)=0,"",IF(OR(A314="",B314="",C314="",D314="",E314=""),"HATA: eksik bilgi",IF(OR(NOT(ISNUMBER(A314)),NOT(ISNUMBER(D314)),D314&lt;=0),"HATA: tarih/tutar geçersiz",IF(C314&lt;&gt;TRIM(C314),"HATA: isimde baştaki/sondaki boşluk",IF(COUNTIF(TurAralik,E314)=0,"HATA: ödeme türü geçersiz",IF(COUNTIFS(kOda,B314,kGiris,"&lt;="&amp;A314,kCikis,"&gt;="&amp;A314,kDurum,"&lt;&gt;İptal")=0,"HATA: bu odada o tarihte misafir yok","OK"))))))</f>
        <v/>
      </c>
      <c r="H314" s="25">
        <f>IF(AND(ISNUMBER(A314),A314=RaporTarihi),COUNTIFS($A$6:A314,RaporTarihi),"")</f>
        <v/>
      </c>
    </row>
    <row r="315">
      <c r="A315" s="23" t="n"/>
      <c r="B315" s="22" t="n"/>
      <c r="C315" s="22" t="n"/>
      <c r="D315" s="24" t="n"/>
      <c r="E315" s="22" t="n"/>
      <c r="F315" s="22" t="n"/>
      <c r="G315" s="25">
        <f>IF(COUNTA(A315:F315)=0,"",IF(OR(A315="",B315="",C315="",D315="",E315=""),"HATA: eksik bilgi",IF(OR(NOT(ISNUMBER(A315)),NOT(ISNUMBER(D315)),D315&lt;=0),"HATA: tarih/tutar geçersiz",IF(C315&lt;&gt;TRIM(C315),"HATA: isimde baştaki/sondaki boşluk",IF(COUNTIF(TurAralik,E315)=0,"HATA: ödeme türü geçersiz",IF(COUNTIFS(kOda,B315,kGiris,"&lt;="&amp;A315,kCikis,"&gt;="&amp;A315,kDurum,"&lt;&gt;İptal")=0,"HATA: bu odada o tarihte misafir yok","OK"))))))</f>
        <v/>
      </c>
      <c r="H315" s="25">
        <f>IF(AND(ISNUMBER(A315),A315=RaporTarihi),COUNTIFS($A$6:A315,RaporTarihi),"")</f>
        <v/>
      </c>
    </row>
    <row r="316">
      <c r="A316" s="23" t="n"/>
      <c r="B316" s="22" t="n"/>
      <c r="C316" s="22" t="n"/>
      <c r="D316" s="24" t="n"/>
      <c r="E316" s="22" t="n"/>
      <c r="F316" s="22" t="n"/>
      <c r="G316" s="25">
        <f>IF(COUNTA(A316:F316)=0,"",IF(OR(A316="",B316="",C316="",D316="",E316=""),"HATA: eksik bilgi",IF(OR(NOT(ISNUMBER(A316)),NOT(ISNUMBER(D316)),D316&lt;=0),"HATA: tarih/tutar geçersiz",IF(C316&lt;&gt;TRIM(C316),"HATA: isimde baştaki/sondaki boşluk",IF(COUNTIF(TurAralik,E316)=0,"HATA: ödeme türü geçersiz",IF(COUNTIFS(kOda,B316,kGiris,"&lt;="&amp;A316,kCikis,"&gt;="&amp;A316,kDurum,"&lt;&gt;İptal")=0,"HATA: bu odada o tarihte misafir yok","OK"))))))</f>
        <v/>
      </c>
      <c r="H316" s="25">
        <f>IF(AND(ISNUMBER(A316),A316=RaporTarihi),COUNTIFS($A$6:A316,RaporTarihi),"")</f>
        <v/>
      </c>
    </row>
    <row r="317">
      <c r="A317" s="23" t="n"/>
      <c r="B317" s="22" t="n"/>
      <c r="C317" s="22" t="n"/>
      <c r="D317" s="24" t="n"/>
      <c r="E317" s="22" t="n"/>
      <c r="F317" s="22" t="n"/>
      <c r="G317" s="25">
        <f>IF(COUNTA(A317:F317)=0,"",IF(OR(A317="",B317="",C317="",D317="",E317=""),"HATA: eksik bilgi",IF(OR(NOT(ISNUMBER(A317)),NOT(ISNUMBER(D317)),D317&lt;=0),"HATA: tarih/tutar geçersiz",IF(C317&lt;&gt;TRIM(C317),"HATA: isimde baştaki/sondaki boşluk",IF(COUNTIF(TurAralik,E317)=0,"HATA: ödeme türü geçersiz",IF(COUNTIFS(kOda,B317,kGiris,"&lt;="&amp;A317,kCikis,"&gt;="&amp;A317,kDurum,"&lt;&gt;İptal")=0,"HATA: bu odada o tarihte misafir yok","OK"))))))</f>
        <v/>
      </c>
      <c r="H317" s="25">
        <f>IF(AND(ISNUMBER(A317),A317=RaporTarihi),COUNTIFS($A$6:A317,RaporTarihi),"")</f>
        <v/>
      </c>
    </row>
    <row r="318">
      <c r="A318" s="23" t="n"/>
      <c r="B318" s="22" t="n"/>
      <c r="C318" s="22" t="n"/>
      <c r="D318" s="24" t="n"/>
      <c r="E318" s="22" t="n"/>
      <c r="F318" s="22" t="n"/>
      <c r="G318" s="25">
        <f>IF(COUNTA(A318:F318)=0,"",IF(OR(A318="",B318="",C318="",D318="",E318=""),"HATA: eksik bilgi",IF(OR(NOT(ISNUMBER(A318)),NOT(ISNUMBER(D318)),D318&lt;=0),"HATA: tarih/tutar geçersiz",IF(C318&lt;&gt;TRIM(C318),"HATA: isimde baştaki/sondaki boşluk",IF(COUNTIF(TurAralik,E318)=0,"HATA: ödeme türü geçersiz",IF(COUNTIFS(kOda,B318,kGiris,"&lt;="&amp;A318,kCikis,"&gt;="&amp;A318,kDurum,"&lt;&gt;İptal")=0,"HATA: bu odada o tarihte misafir yok","OK"))))))</f>
        <v/>
      </c>
      <c r="H318" s="25">
        <f>IF(AND(ISNUMBER(A318),A318=RaporTarihi),COUNTIFS($A$6:A318,RaporTarihi),"")</f>
        <v/>
      </c>
    </row>
    <row r="319">
      <c r="A319" s="23" t="n"/>
      <c r="B319" s="22" t="n"/>
      <c r="C319" s="22" t="n"/>
      <c r="D319" s="24" t="n"/>
      <c r="E319" s="22" t="n"/>
      <c r="F319" s="22" t="n"/>
      <c r="G319" s="25">
        <f>IF(COUNTA(A319:F319)=0,"",IF(OR(A319="",B319="",C319="",D319="",E319=""),"HATA: eksik bilgi",IF(OR(NOT(ISNUMBER(A319)),NOT(ISNUMBER(D319)),D319&lt;=0),"HATA: tarih/tutar geçersiz",IF(C319&lt;&gt;TRIM(C319),"HATA: isimde baştaki/sondaki boşluk",IF(COUNTIF(TurAralik,E319)=0,"HATA: ödeme türü geçersiz",IF(COUNTIFS(kOda,B319,kGiris,"&lt;="&amp;A319,kCikis,"&gt;="&amp;A319,kDurum,"&lt;&gt;İptal")=0,"HATA: bu odada o tarihte misafir yok","OK"))))))</f>
        <v/>
      </c>
      <c r="H319" s="25">
        <f>IF(AND(ISNUMBER(A319),A319=RaporTarihi),COUNTIFS($A$6:A319,RaporTarihi),"")</f>
        <v/>
      </c>
    </row>
    <row r="320">
      <c r="A320" s="23" t="n"/>
      <c r="B320" s="22" t="n"/>
      <c r="C320" s="22" t="n"/>
      <c r="D320" s="24" t="n"/>
      <c r="E320" s="22" t="n"/>
      <c r="F320" s="22" t="n"/>
      <c r="G320" s="25">
        <f>IF(COUNTA(A320:F320)=0,"",IF(OR(A320="",B320="",C320="",D320="",E320=""),"HATA: eksik bilgi",IF(OR(NOT(ISNUMBER(A320)),NOT(ISNUMBER(D320)),D320&lt;=0),"HATA: tarih/tutar geçersiz",IF(C320&lt;&gt;TRIM(C320),"HATA: isimde baştaki/sondaki boşluk",IF(COUNTIF(TurAralik,E320)=0,"HATA: ödeme türü geçersiz",IF(COUNTIFS(kOda,B320,kGiris,"&lt;="&amp;A320,kCikis,"&gt;="&amp;A320,kDurum,"&lt;&gt;İptal")=0,"HATA: bu odada o tarihte misafir yok","OK"))))))</f>
        <v/>
      </c>
      <c r="H320" s="25">
        <f>IF(AND(ISNUMBER(A320),A320=RaporTarihi),COUNTIFS($A$6:A320,RaporTarihi),"")</f>
        <v/>
      </c>
    </row>
    <row r="321">
      <c r="A321" s="23" t="n"/>
      <c r="B321" s="22" t="n"/>
      <c r="C321" s="22" t="n"/>
      <c r="D321" s="24" t="n"/>
      <c r="E321" s="22" t="n"/>
      <c r="F321" s="22" t="n"/>
      <c r="G321" s="25">
        <f>IF(COUNTA(A321:F321)=0,"",IF(OR(A321="",B321="",C321="",D321="",E321=""),"HATA: eksik bilgi",IF(OR(NOT(ISNUMBER(A321)),NOT(ISNUMBER(D321)),D321&lt;=0),"HATA: tarih/tutar geçersiz",IF(C321&lt;&gt;TRIM(C321),"HATA: isimde baştaki/sondaki boşluk",IF(COUNTIF(TurAralik,E321)=0,"HATA: ödeme türü geçersiz",IF(COUNTIFS(kOda,B321,kGiris,"&lt;="&amp;A321,kCikis,"&gt;="&amp;A321,kDurum,"&lt;&gt;İptal")=0,"HATA: bu odada o tarihte misafir yok","OK"))))))</f>
        <v/>
      </c>
      <c r="H321" s="25">
        <f>IF(AND(ISNUMBER(A321),A321=RaporTarihi),COUNTIFS($A$6:A321,RaporTarihi),"")</f>
        <v/>
      </c>
    </row>
    <row r="322">
      <c r="A322" s="23" t="n"/>
      <c r="B322" s="22" t="n"/>
      <c r="C322" s="22" t="n"/>
      <c r="D322" s="24" t="n"/>
      <c r="E322" s="22" t="n"/>
      <c r="F322" s="22" t="n"/>
      <c r="G322" s="25">
        <f>IF(COUNTA(A322:F322)=0,"",IF(OR(A322="",B322="",C322="",D322="",E322=""),"HATA: eksik bilgi",IF(OR(NOT(ISNUMBER(A322)),NOT(ISNUMBER(D322)),D322&lt;=0),"HATA: tarih/tutar geçersiz",IF(C322&lt;&gt;TRIM(C322),"HATA: isimde baştaki/sondaki boşluk",IF(COUNTIF(TurAralik,E322)=0,"HATA: ödeme türü geçersiz",IF(COUNTIFS(kOda,B322,kGiris,"&lt;="&amp;A322,kCikis,"&gt;="&amp;A322,kDurum,"&lt;&gt;İptal")=0,"HATA: bu odada o tarihte misafir yok","OK"))))))</f>
        <v/>
      </c>
      <c r="H322" s="25">
        <f>IF(AND(ISNUMBER(A322),A322=RaporTarihi),COUNTIFS($A$6:A322,RaporTarihi),"")</f>
        <v/>
      </c>
    </row>
    <row r="323">
      <c r="A323" s="23" t="n"/>
      <c r="B323" s="22" t="n"/>
      <c r="C323" s="22" t="n"/>
      <c r="D323" s="24" t="n"/>
      <c r="E323" s="22" t="n"/>
      <c r="F323" s="22" t="n"/>
      <c r="G323" s="25">
        <f>IF(COUNTA(A323:F323)=0,"",IF(OR(A323="",B323="",C323="",D323="",E323=""),"HATA: eksik bilgi",IF(OR(NOT(ISNUMBER(A323)),NOT(ISNUMBER(D323)),D323&lt;=0),"HATA: tarih/tutar geçersiz",IF(C323&lt;&gt;TRIM(C323),"HATA: isimde baştaki/sondaki boşluk",IF(COUNTIF(TurAralik,E323)=0,"HATA: ödeme türü geçersiz",IF(COUNTIFS(kOda,B323,kGiris,"&lt;="&amp;A323,kCikis,"&gt;="&amp;A323,kDurum,"&lt;&gt;İptal")=0,"HATA: bu odada o tarihte misafir yok","OK"))))))</f>
        <v/>
      </c>
      <c r="H323" s="25">
        <f>IF(AND(ISNUMBER(A323),A323=RaporTarihi),COUNTIFS($A$6:A323,RaporTarihi),"")</f>
        <v/>
      </c>
    </row>
    <row r="324">
      <c r="A324" s="23" t="n"/>
      <c r="B324" s="22" t="n"/>
      <c r="C324" s="22" t="n"/>
      <c r="D324" s="24" t="n"/>
      <c r="E324" s="22" t="n"/>
      <c r="F324" s="22" t="n"/>
      <c r="G324" s="25">
        <f>IF(COUNTA(A324:F324)=0,"",IF(OR(A324="",B324="",C324="",D324="",E324=""),"HATA: eksik bilgi",IF(OR(NOT(ISNUMBER(A324)),NOT(ISNUMBER(D324)),D324&lt;=0),"HATA: tarih/tutar geçersiz",IF(C324&lt;&gt;TRIM(C324),"HATA: isimde baştaki/sondaki boşluk",IF(COUNTIF(TurAralik,E324)=0,"HATA: ödeme türü geçersiz",IF(COUNTIFS(kOda,B324,kGiris,"&lt;="&amp;A324,kCikis,"&gt;="&amp;A324,kDurum,"&lt;&gt;İptal")=0,"HATA: bu odada o tarihte misafir yok","OK"))))))</f>
        <v/>
      </c>
      <c r="H324" s="25">
        <f>IF(AND(ISNUMBER(A324),A324=RaporTarihi),COUNTIFS($A$6:A324,RaporTarihi),"")</f>
        <v/>
      </c>
    </row>
    <row r="325">
      <c r="A325" s="23" t="n"/>
      <c r="B325" s="22" t="n"/>
      <c r="C325" s="22" t="n"/>
      <c r="D325" s="24" t="n"/>
      <c r="E325" s="22" t="n"/>
      <c r="F325" s="22" t="n"/>
      <c r="G325" s="25">
        <f>IF(COUNTA(A325:F325)=0,"",IF(OR(A325="",B325="",C325="",D325="",E325=""),"HATA: eksik bilgi",IF(OR(NOT(ISNUMBER(A325)),NOT(ISNUMBER(D325)),D325&lt;=0),"HATA: tarih/tutar geçersiz",IF(C325&lt;&gt;TRIM(C325),"HATA: isimde baştaki/sondaki boşluk",IF(COUNTIF(TurAralik,E325)=0,"HATA: ödeme türü geçersiz",IF(COUNTIFS(kOda,B325,kGiris,"&lt;="&amp;A325,kCikis,"&gt;="&amp;A325,kDurum,"&lt;&gt;İptal")=0,"HATA: bu odada o tarihte misafir yok","OK"))))))</f>
        <v/>
      </c>
      <c r="H325" s="25">
        <f>IF(AND(ISNUMBER(A325),A325=RaporTarihi),COUNTIFS($A$6:A325,RaporTarihi),"")</f>
        <v/>
      </c>
    </row>
    <row r="326">
      <c r="A326" s="23" t="n"/>
      <c r="B326" s="22" t="n"/>
      <c r="C326" s="22" t="n"/>
      <c r="D326" s="24" t="n"/>
      <c r="E326" s="22" t="n"/>
      <c r="F326" s="22" t="n"/>
      <c r="G326" s="25">
        <f>IF(COUNTA(A326:F326)=0,"",IF(OR(A326="",B326="",C326="",D326="",E326=""),"HATA: eksik bilgi",IF(OR(NOT(ISNUMBER(A326)),NOT(ISNUMBER(D326)),D326&lt;=0),"HATA: tarih/tutar geçersiz",IF(C326&lt;&gt;TRIM(C326),"HATA: isimde baştaki/sondaki boşluk",IF(COUNTIF(TurAralik,E326)=0,"HATA: ödeme türü geçersiz",IF(COUNTIFS(kOda,B326,kGiris,"&lt;="&amp;A326,kCikis,"&gt;="&amp;A326,kDurum,"&lt;&gt;İptal")=0,"HATA: bu odada o tarihte misafir yok","OK"))))))</f>
        <v/>
      </c>
      <c r="H326" s="25">
        <f>IF(AND(ISNUMBER(A326),A326=RaporTarihi),COUNTIFS($A$6:A326,RaporTarihi),"")</f>
        <v/>
      </c>
    </row>
    <row r="327">
      <c r="A327" s="23" t="n"/>
      <c r="B327" s="22" t="n"/>
      <c r="C327" s="22" t="n"/>
      <c r="D327" s="24" t="n"/>
      <c r="E327" s="22" t="n"/>
      <c r="F327" s="22" t="n"/>
      <c r="G327" s="25">
        <f>IF(COUNTA(A327:F327)=0,"",IF(OR(A327="",B327="",C327="",D327="",E327=""),"HATA: eksik bilgi",IF(OR(NOT(ISNUMBER(A327)),NOT(ISNUMBER(D327)),D327&lt;=0),"HATA: tarih/tutar geçersiz",IF(C327&lt;&gt;TRIM(C327),"HATA: isimde baştaki/sondaki boşluk",IF(COUNTIF(TurAralik,E327)=0,"HATA: ödeme türü geçersiz",IF(COUNTIFS(kOda,B327,kGiris,"&lt;="&amp;A327,kCikis,"&gt;="&amp;A327,kDurum,"&lt;&gt;İptal")=0,"HATA: bu odada o tarihte misafir yok","OK"))))))</f>
        <v/>
      </c>
      <c r="H327" s="25">
        <f>IF(AND(ISNUMBER(A327),A327=RaporTarihi),COUNTIFS($A$6:A327,RaporTarihi),"")</f>
        <v/>
      </c>
    </row>
    <row r="328">
      <c r="A328" s="23" t="n"/>
      <c r="B328" s="22" t="n"/>
      <c r="C328" s="22" t="n"/>
      <c r="D328" s="24" t="n"/>
      <c r="E328" s="22" t="n"/>
      <c r="F328" s="22" t="n"/>
      <c r="G328" s="25">
        <f>IF(COUNTA(A328:F328)=0,"",IF(OR(A328="",B328="",C328="",D328="",E328=""),"HATA: eksik bilgi",IF(OR(NOT(ISNUMBER(A328)),NOT(ISNUMBER(D328)),D328&lt;=0),"HATA: tarih/tutar geçersiz",IF(C328&lt;&gt;TRIM(C328),"HATA: isimde baştaki/sondaki boşluk",IF(COUNTIF(TurAralik,E328)=0,"HATA: ödeme türü geçersiz",IF(COUNTIFS(kOda,B328,kGiris,"&lt;="&amp;A328,kCikis,"&gt;="&amp;A328,kDurum,"&lt;&gt;İptal")=0,"HATA: bu odada o tarihte misafir yok","OK"))))))</f>
        <v/>
      </c>
      <c r="H328" s="25">
        <f>IF(AND(ISNUMBER(A328),A328=RaporTarihi),COUNTIFS($A$6:A328,RaporTarihi),"")</f>
        <v/>
      </c>
    </row>
    <row r="329">
      <c r="A329" s="23" t="n"/>
      <c r="B329" s="22" t="n"/>
      <c r="C329" s="22" t="n"/>
      <c r="D329" s="24" t="n"/>
      <c r="E329" s="22" t="n"/>
      <c r="F329" s="22" t="n"/>
      <c r="G329" s="25">
        <f>IF(COUNTA(A329:F329)=0,"",IF(OR(A329="",B329="",C329="",D329="",E329=""),"HATA: eksik bilgi",IF(OR(NOT(ISNUMBER(A329)),NOT(ISNUMBER(D329)),D329&lt;=0),"HATA: tarih/tutar geçersiz",IF(C329&lt;&gt;TRIM(C329),"HATA: isimde baştaki/sondaki boşluk",IF(COUNTIF(TurAralik,E329)=0,"HATA: ödeme türü geçersiz",IF(COUNTIFS(kOda,B329,kGiris,"&lt;="&amp;A329,kCikis,"&gt;="&amp;A329,kDurum,"&lt;&gt;İptal")=0,"HATA: bu odada o tarihte misafir yok","OK"))))))</f>
        <v/>
      </c>
      <c r="H329" s="25">
        <f>IF(AND(ISNUMBER(A329),A329=RaporTarihi),COUNTIFS($A$6:A329,RaporTarihi),"")</f>
        <v/>
      </c>
    </row>
    <row r="330">
      <c r="A330" s="23" t="n"/>
      <c r="B330" s="22" t="n"/>
      <c r="C330" s="22" t="n"/>
      <c r="D330" s="24" t="n"/>
      <c r="E330" s="22" t="n"/>
      <c r="F330" s="22" t="n"/>
      <c r="G330" s="25">
        <f>IF(COUNTA(A330:F330)=0,"",IF(OR(A330="",B330="",C330="",D330="",E330=""),"HATA: eksik bilgi",IF(OR(NOT(ISNUMBER(A330)),NOT(ISNUMBER(D330)),D330&lt;=0),"HATA: tarih/tutar geçersiz",IF(C330&lt;&gt;TRIM(C330),"HATA: isimde baştaki/sondaki boşluk",IF(COUNTIF(TurAralik,E330)=0,"HATA: ödeme türü geçersiz",IF(COUNTIFS(kOda,B330,kGiris,"&lt;="&amp;A330,kCikis,"&gt;="&amp;A330,kDurum,"&lt;&gt;İptal")=0,"HATA: bu odada o tarihte misafir yok","OK"))))))</f>
        <v/>
      </c>
      <c r="H330" s="25">
        <f>IF(AND(ISNUMBER(A330),A330=RaporTarihi),COUNTIFS($A$6:A330,RaporTarihi),"")</f>
        <v/>
      </c>
    </row>
    <row r="331">
      <c r="A331" s="23" t="n"/>
      <c r="B331" s="22" t="n"/>
      <c r="C331" s="22" t="n"/>
      <c r="D331" s="24" t="n"/>
      <c r="E331" s="22" t="n"/>
      <c r="F331" s="22" t="n"/>
      <c r="G331" s="25">
        <f>IF(COUNTA(A331:F331)=0,"",IF(OR(A331="",B331="",C331="",D331="",E331=""),"HATA: eksik bilgi",IF(OR(NOT(ISNUMBER(A331)),NOT(ISNUMBER(D331)),D331&lt;=0),"HATA: tarih/tutar geçersiz",IF(C331&lt;&gt;TRIM(C331),"HATA: isimde baştaki/sondaki boşluk",IF(COUNTIF(TurAralik,E331)=0,"HATA: ödeme türü geçersiz",IF(COUNTIFS(kOda,B331,kGiris,"&lt;="&amp;A331,kCikis,"&gt;="&amp;A331,kDurum,"&lt;&gt;İptal")=0,"HATA: bu odada o tarihte misafir yok","OK"))))))</f>
        <v/>
      </c>
      <c r="H331" s="25">
        <f>IF(AND(ISNUMBER(A331),A331=RaporTarihi),COUNTIFS($A$6:A331,RaporTarihi),"")</f>
        <v/>
      </c>
    </row>
    <row r="332">
      <c r="A332" s="23" t="n"/>
      <c r="B332" s="22" t="n"/>
      <c r="C332" s="22" t="n"/>
      <c r="D332" s="24" t="n"/>
      <c r="E332" s="22" t="n"/>
      <c r="F332" s="22" t="n"/>
      <c r="G332" s="25">
        <f>IF(COUNTA(A332:F332)=0,"",IF(OR(A332="",B332="",C332="",D332="",E332=""),"HATA: eksik bilgi",IF(OR(NOT(ISNUMBER(A332)),NOT(ISNUMBER(D332)),D332&lt;=0),"HATA: tarih/tutar geçersiz",IF(C332&lt;&gt;TRIM(C332),"HATA: isimde baştaki/sondaki boşluk",IF(COUNTIF(TurAralik,E332)=0,"HATA: ödeme türü geçersiz",IF(COUNTIFS(kOda,B332,kGiris,"&lt;="&amp;A332,kCikis,"&gt;="&amp;A332,kDurum,"&lt;&gt;İptal")=0,"HATA: bu odada o tarihte misafir yok","OK"))))))</f>
        <v/>
      </c>
      <c r="H332" s="25">
        <f>IF(AND(ISNUMBER(A332),A332=RaporTarihi),COUNTIFS($A$6:A332,RaporTarihi),"")</f>
        <v/>
      </c>
    </row>
    <row r="333">
      <c r="A333" s="23" t="n"/>
      <c r="B333" s="22" t="n"/>
      <c r="C333" s="22" t="n"/>
      <c r="D333" s="24" t="n"/>
      <c r="E333" s="22" t="n"/>
      <c r="F333" s="22" t="n"/>
      <c r="G333" s="25">
        <f>IF(COUNTA(A333:F333)=0,"",IF(OR(A333="",B333="",C333="",D333="",E333=""),"HATA: eksik bilgi",IF(OR(NOT(ISNUMBER(A333)),NOT(ISNUMBER(D333)),D333&lt;=0),"HATA: tarih/tutar geçersiz",IF(C333&lt;&gt;TRIM(C333),"HATA: isimde baştaki/sondaki boşluk",IF(COUNTIF(TurAralik,E333)=0,"HATA: ödeme türü geçersiz",IF(COUNTIFS(kOda,B333,kGiris,"&lt;="&amp;A333,kCikis,"&gt;="&amp;A333,kDurum,"&lt;&gt;İptal")=0,"HATA: bu odada o tarihte misafir yok","OK"))))))</f>
        <v/>
      </c>
      <c r="H333" s="25">
        <f>IF(AND(ISNUMBER(A333),A333=RaporTarihi),COUNTIFS($A$6:A333,RaporTarihi),"")</f>
        <v/>
      </c>
    </row>
    <row r="334">
      <c r="A334" s="23" t="n"/>
      <c r="B334" s="22" t="n"/>
      <c r="C334" s="22" t="n"/>
      <c r="D334" s="24" t="n"/>
      <c r="E334" s="22" t="n"/>
      <c r="F334" s="22" t="n"/>
      <c r="G334" s="25">
        <f>IF(COUNTA(A334:F334)=0,"",IF(OR(A334="",B334="",C334="",D334="",E334=""),"HATA: eksik bilgi",IF(OR(NOT(ISNUMBER(A334)),NOT(ISNUMBER(D334)),D334&lt;=0),"HATA: tarih/tutar geçersiz",IF(C334&lt;&gt;TRIM(C334),"HATA: isimde baştaki/sondaki boşluk",IF(COUNTIF(TurAralik,E334)=0,"HATA: ödeme türü geçersiz",IF(COUNTIFS(kOda,B334,kGiris,"&lt;="&amp;A334,kCikis,"&gt;="&amp;A334,kDurum,"&lt;&gt;İptal")=0,"HATA: bu odada o tarihte misafir yok","OK"))))))</f>
        <v/>
      </c>
      <c r="H334" s="25">
        <f>IF(AND(ISNUMBER(A334),A334=RaporTarihi),COUNTIFS($A$6:A334,RaporTarihi),"")</f>
        <v/>
      </c>
    </row>
    <row r="335">
      <c r="A335" s="23" t="n"/>
      <c r="B335" s="22" t="n"/>
      <c r="C335" s="22" t="n"/>
      <c r="D335" s="24" t="n"/>
      <c r="E335" s="22" t="n"/>
      <c r="F335" s="22" t="n"/>
      <c r="G335" s="25">
        <f>IF(COUNTA(A335:F335)=0,"",IF(OR(A335="",B335="",C335="",D335="",E335=""),"HATA: eksik bilgi",IF(OR(NOT(ISNUMBER(A335)),NOT(ISNUMBER(D335)),D335&lt;=0),"HATA: tarih/tutar geçersiz",IF(C335&lt;&gt;TRIM(C335),"HATA: isimde baştaki/sondaki boşluk",IF(COUNTIF(TurAralik,E335)=0,"HATA: ödeme türü geçersiz",IF(COUNTIFS(kOda,B335,kGiris,"&lt;="&amp;A335,kCikis,"&gt;="&amp;A335,kDurum,"&lt;&gt;İptal")=0,"HATA: bu odada o tarihte misafir yok","OK"))))))</f>
        <v/>
      </c>
      <c r="H335" s="25">
        <f>IF(AND(ISNUMBER(A335),A335=RaporTarihi),COUNTIFS($A$6:A335,RaporTarihi),"")</f>
        <v/>
      </c>
    </row>
    <row r="336">
      <c r="A336" s="23" t="n"/>
      <c r="B336" s="22" t="n"/>
      <c r="C336" s="22" t="n"/>
      <c r="D336" s="24" t="n"/>
      <c r="E336" s="22" t="n"/>
      <c r="F336" s="22" t="n"/>
      <c r="G336" s="25">
        <f>IF(COUNTA(A336:F336)=0,"",IF(OR(A336="",B336="",C336="",D336="",E336=""),"HATA: eksik bilgi",IF(OR(NOT(ISNUMBER(A336)),NOT(ISNUMBER(D336)),D336&lt;=0),"HATA: tarih/tutar geçersiz",IF(C336&lt;&gt;TRIM(C336),"HATA: isimde baştaki/sondaki boşluk",IF(COUNTIF(TurAralik,E336)=0,"HATA: ödeme türü geçersiz",IF(COUNTIFS(kOda,B336,kGiris,"&lt;="&amp;A336,kCikis,"&gt;="&amp;A336,kDurum,"&lt;&gt;İptal")=0,"HATA: bu odada o tarihte misafir yok","OK"))))))</f>
        <v/>
      </c>
      <c r="H336" s="25">
        <f>IF(AND(ISNUMBER(A336),A336=RaporTarihi),COUNTIFS($A$6:A336,RaporTarihi),"")</f>
        <v/>
      </c>
    </row>
    <row r="337">
      <c r="A337" s="23" t="n"/>
      <c r="B337" s="22" t="n"/>
      <c r="C337" s="22" t="n"/>
      <c r="D337" s="24" t="n"/>
      <c r="E337" s="22" t="n"/>
      <c r="F337" s="22" t="n"/>
      <c r="G337" s="25">
        <f>IF(COUNTA(A337:F337)=0,"",IF(OR(A337="",B337="",C337="",D337="",E337=""),"HATA: eksik bilgi",IF(OR(NOT(ISNUMBER(A337)),NOT(ISNUMBER(D337)),D337&lt;=0),"HATA: tarih/tutar geçersiz",IF(C337&lt;&gt;TRIM(C337),"HATA: isimde baştaki/sondaki boşluk",IF(COUNTIF(TurAralik,E337)=0,"HATA: ödeme türü geçersiz",IF(COUNTIFS(kOda,B337,kGiris,"&lt;="&amp;A337,kCikis,"&gt;="&amp;A337,kDurum,"&lt;&gt;İptal")=0,"HATA: bu odada o tarihte misafir yok","OK"))))))</f>
        <v/>
      </c>
      <c r="H337" s="25">
        <f>IF(AND(ISNUMBER(A337),A337=RaporTarihi),COUNTIFS($A$6:A337,RaporTarihi),"")</f>
        <v/>
      </c>
    </row>
    <row r="338">
      <c r="A338" s="23" t="n"/>
      <c r="B338" s="22" t="n"/>
      <c r="C338" s="22" t="n"/>
      <c r="D338" s="24" t="n"/>
      <c r="E338" s="22" t="n"/>
      <c r="F338" s="22" t="n"/>
      <c r="G338" s="25">
        <f>IF(COUNTA(A338:F338)=0,"",IF(OR(A338="",B338="",C338="",D338="",E338=""),"HATA: eksik bilgi",IF(OR(NOT(ISNUMBER(A338)),NOT(ISNUMBER(D338)),D338&lt;=0),"HATA: tarih/tutar geçersiz",IF(C338&lt;&gt;TRIM(C338),"HATA: isimde baştaki/sondaki boşluk",IF(COUNTIF(TurAralik,E338)=0,"HATA: ödeme türü geçersiz",IF(COUNTIFS(kOda,B338,kGiris,"&lt;="&amp;A338,kCikis,"&gt;="&amp;A338,kDurum,"&lt;&gt;İptal")=0,"HATA: bu odada o tarihte misafir yok","OK"))))))</f>
        <v/>
      </c>
      <c r="H338" s="25">
        <f>IF(AND(ISNUMBER(A338),A338=RaporTarihi),COUNTIFS($A$6:A338,RaporTarihi),"")</f>
        <v/>
      </c>
    </row>
    <row r="339">
      <c r="A339" s="23" t="n"/>
      <c r="B339" s="22" t="n"/>
      <c r="C339" s="22" t="n"/>
      <c r="D339" s="24" t="n"/>
      <c r="E339" s="22" t="n"/>
      <c r="F339" s="22" t="n"/>
      <c r="G339" s="25">
        <f>IF(COUNTA(A339:F339)=0,"",IF(OR(A339="",B339="",C339="",D339="",E339=""),"HATA: eksik bilgi",IF(OR(NOT(ISNUMBER(A339)),NOT(ISNUMBER(D339)),D339&lt;=0),"HATA: tarih/tutar geçersiz",IF(C339&lt;&gt;TRIM(C339),"HATA: isimde baştaki/sondaki boşluk",IF(COUNTIF(TurAralik,E339)=0,"HATA: ödeme türü geçersiz",IF(COUNTIFS(kOda,B339,kGiris,"&lt;="&amp;A339,kCikis,"&gt;="&amp;A339,kDurum,"&lt;&gt;İptal")=0,"HATA: bu odada o tarihte misafir yok","OK"))))))</f>
        <v/>
      </c>
      <c r="H339" s="25">
        <f>IF(AND(ISNUMBER(A339),A339=RaporTarihi),COUNTIFS($A$6:A339,RaporTarihi),"")</f>
        <v/>
      </c>
    </row>
    <row r="340">
      <c r="A340" s="23" t="n"/>
      <c r="B340" s="22" t="n"/>
      <c r="C340" s="22" t="n"/>
      <c r="D340" s="24" t="n"/>
      <c r="E340" s="22" t="n"/>
      <c r="F340" s="22" t="n"/>
      <c r="G340" s="25">
        <f>IF(COUNTA(A340:F340)=0,"",IF(OR(A340="",B340="",C340="",D340="",E340=""),"HATA: eksik bilgi",IF(OR(NOT(ISNUMBER(A340)),NOT(ISNUMBER(D340)),D340&lt;=0),"HATA: tarih/tutar geçersiz",IF(C340&lt;&gt;TRIM(C340),"HATA: isimde baştaki/sondaki boşluk",IF(COUNTIF(TurAralik,E340)=0,"HATA: ödeme türü geçersiz",IF(COUNTIFS(kOda,B340,kGiris,"&lt;="&amp;A340,kCikis,"&gt;="&amp;A340,kDurum,"&lt;&gt;İptal")=0,"HATA: bu odada o tarihte misafir yok","OK"))))))</f>
        <v/>
      </c>
      <c r="H340" s="25">
        <f>IF(AND(ISNUMBER(A340),A340=RaporTarihi),COUNTIFS($A$6:A340,RaporTarihi),"")</f>
        <v/>
      </c>
    </row>
    <row r="341">
      <c r="A341" s="23" t="n"/>
      <c r="B341" s="22" t="n"/>
      <c r="C341" s="22" t="n"/>
      <c r="D341" s="24" t="n"/>
      <c r="E341" s="22" t="n"/>
      <c r="F341" s="22" t="n"/>
      <c r="G341" s="25">
        <f>IF(COUNTA(A341:F341)=0,"",IF(OR(A341="",B341="",C341="",D341="",E341=""),"HATA: eksik bilgi",IF(OR(NOT(ISNUMBER(A341)),NOT(ISNUMBER(D341)),D341&lt;=0),"HATA: tarih/tutar geçersiz",IF(C341&lt;&gt;TRIM(C341),"HATA: isimde baştaki/sondaki boşluk",IF(COUNTIF(TurAralik,E341)=0,"HATA: ödeme türü geçersiz",IF(COUNTIFS(kOda,B341,kGiris,"&lt;="&amp;A341,kCikis,"&gt;="&amp;A341,kDurum,"&lt;&gt;İptal")=0,"HATA: bu odada o tarihte misafir yok","OK"))))))</f>
        <v/>
      </c>
      <c r="H341" s="25">
        <f>IF(AND(ISNUMBER(A341),A341=RaporTarihi),COUNTIFS($A$6:A341,RaporTarihi),"")</f>
        <v/>
      </c>
    </row>
    <row r="342">
      <c r="A342" s="23" t="n"/>
      <c r="B342" s="22" t="n"/>
      <c r="C342" s="22" t="n"/>
      <c r="D342" s="24" t="n"/>
      <c r="E342" s="22" t="n"/>
      <c r="F342" s="22" t="n"/>
      <c r="G342" s="25">
        <f>IF(COUNTA(A342:F342)=0,"",IF(OR(A342="",B342="",C342="",D342="",E342=""),"HATA: eksik bilgi",IF(OR(NOT(ISNUMBER(A342)),NOT(ISNUMBER(D342)),D342&lt;=0),"HATA: tarih/tutar geçersiz",IF(C342&lt;&gt;TRIM(C342),"HATA: isimde baştaki/sondaki boşluk",IF(COUNTIF(TurAralik,E342)=0,"HATA: ödeme türü geçersiz",IF(COUNTIFS(kOda,B342,kGiris,"&lt;="&amp;A342,kCikis,"&gt;="&amp;A342,kDurum,"&lt;&gt;İptal")=0,"HATA: bu odada o tarihte misafir yok","OK"))))))</f>
        <v/>
      </c>
      <c r="H342" s="25">
        <f>IF(AND(ISNUMBER(A342),A342=RaporTarihi),COUNTIFS($A$6:A342,RaporTarihi),"")</f>
        <v/>
      </c>
    </row>
    <row r="343">
      <c r="A343" s="23" t="n"/>
      <c r="B343" s="22" t="n"/>
      <c r="C343" s="22" t="n"/>
      <c r="D343" s="24" t="n"/>
      <c r="E343" s="22" t="n"/>
      <c r="F343" s="22" t="n"/>
      <c r="G343" s="25">
        <f>IF(COUNTA(A343:F343)=0,"",IF(OR(A343="",B343="",C343="",D343="",E343=""),"HATA: eksik bilgi",IF(OR(NOT(ISNUMBER(A343)),NOT(ISNUMBER(D343)),D343&lt;=0),"HATA: tarih/tutar geçersiz",IF(C343&lt;&gt;TRIM(C343),"HATA: isimde baştaki/sondaki boşluk",IF(COUNTIF(TurAralik,E343)=0,"HATA: ödeme türü geçersiz",IF(COUNTIFS(kOda,B343,kGiris,"&lt;="&amp;A343,kCikis,"&gt;="&amp;A343,kDurum,"&lt;&gt;İptal")=0,"HATA: bu odada o tarihte misafir yok","OK"))))))</f>
        <v/>
      </c>
      <c r="H343" s="25">
        <f>IF(AND(ISNUMBER(A343),A343=RaporTarihi),COUNTIFS($A$6:A343,RaporTarihi),"")</f>
        <v/>
      </c>
    </row>
    <row r="344">
      <c r="A344" s="23" t="n"/>
      <c r="B344" s="22" t="n"/>
      <c r="C344" s="22" t="n"/>
      <c r="D344" s="24" t="n"/>
      <c r="E344" s="22" t="n"/>
      <c r="F344" s="22" t="n"/>
      <c r="G344" s="25">
        <f>IF(COUNTA(A344:F344)=0,"",IF(OR(A344="",B344="",C344="",D344="",E344=""),"HATA: eksik bilgi",IF(OR(NOT(ISNUMBER(A344)),NOT(ISNUMBER(D344)),D344&lt;=0),"HATA: tarih/tutar geçersiz",IF(C344&lt;&gt;TRIM(C344),"HATA: isimde baştaki/sondaki boşluk",IF(COUNTIF(TurAralik,E344)=0,"HATA: ödeme türü geçersiz",IF(COUNTIFS(kOda,B344,kGiris,"&lt;="&amp;A344,kCikis,"&gt;="&amp;A344,kDurum,"&lt;&gt;İptal")=0,"HATA: bu odada o tarihte misafir yok","OK"))))))</f>
        <v/>
      </c>
      <c r="H344" s="25">
        <f>IF(AND(ISNUMBER(A344),A344=RaporTarihi),COUNTIFS($A$6:A344,RaporTarihi),"")</f>
        <v/>
      </c>
    </row>
    <row r="345">
      <c r="A345" s="23" t="n"/>
      <c r="B345" s="22" t="n"/>
      <c r="C345" s="22" t="n"/>
      <c r="D345" s="24" t="n"/>
      <c r="E345" s="22" t="n"/>
      <c r="F345" s="22" t="n"/>
      <c r="G345" s="25">
        <f>IF(COUNTA(A345:F345)=0,"",IF(OR(A345="",B345="",C345="",D345="",E345=""),"HATA: eksik bilgi",IF(OR(NOT(ISNUMBER(A345)),NOT(ISNUMBER(D345)),D345&lt;=0),"HATA: tarih/tutar geçersiz",IF(C345&lt;&gt;TRIM(C345),"HATA: isimde baştaki/sondaki boşluk",IF(COUNTIF(TurAralik,E345)=0,"HATA: ödeme türü geçersiz",IF(COUNTIFS(kOda,B345,kGiris,"&lt;="&amp;A345,kCikis,"&gt;="&amp;A345,kDurum,"&lt;&gt;İptal")=0,"HATA: bu odada o tarihte misafir yok","OK"))))))</f>
        <v/>
      </c>
      <c r="H345" s="25">
        <f>IF(AND(ISNUMBER(A345),A345=RaporTarihi),COUNTIFS($A$6:A345,RaporTarihi),"")</f>
        <v/>
      </c>
    </row>
    <row r="346">
      <c r="A346" s="23" t="n"/>
      <c r="B346" s="22" t="n"/>
      <c r="C346" s="22" t="n"/>
      <c r="D346" s="24" t="n"/>
      <c r="E346" s="22" t="n"/>
      <c r="F346" s="22" t="n"/>
      <c r="G346" s="25">
        <f>IF(COUNTA(A346:F346)=0,"",IF(OR(A346="",B346="",C346="",D346="",E346=""),"HATA: eksik bilgi",IF(OR(NOT(ISNUMBER(A346)),NOT(ISNUMBER(D346)),D346&lt;=0),"HATA: tarih/tutar geçersiz",IF(C346&lt;&gt;TRIM(C346),"HATA: isimde baştaki/sondaki boşluk",IF(COUNTIF(TurAralik,E346)=0,"HATA: ödeme türü geçersiz",IF(COUNTIFS(kOda,B346,kGiris,"&lt;="&amp;A346,kCikis,"&gt;="&amp;A346,kDurum,"&lt;&gt;İptal")=0,"HATA: bu odada o tarihte misafir yok","OK"))))))</f>
        <v/>
      </c>
      <c r="H346" s="25">
        <f>IF(AND(ISNUMBER(A346),A346=RaporTarihi),COUNTIFS($A$6:A346,RaporTarihi),"")</f>
        <v/>
      </c>
    </row>
    <row r="347">
      <c r="A347" s="23" t="n"/>
      <c r="B347" s="22" t="n"/>
      <c r="C347" s="22" t="n"/>
      <c r="D347" s="24" t="n"/>
      <c r="E347" s="22" t="n"/>
      <c r="F347" s="22" t="n"/>
      <c r="G347" s="25">
        <f>IF(COUNTA(A347:F347)=0,"",IF(OR(A347="",B347="",C347="",D347="",E347=""),"HATA: eksik bilgi",IF(OR(NOT(ISNUMBER(A347)),NOT(ISNUMBER(D347)),D347&lt;=0),"HATA: tarih/tutar geçersiz",IF(C347&lt;&gt;TRIM(C347),"HATA: isimde baştaki/sondaki boşluk",IF(COUNTIF(TurAralik,E347)=0,"HATA: ödeme türü geçersiz",IF(COUNTIFS(kOda,B347,kGiris,"&lt;="&amp;A347,kCikis,"&gt;="&amp;A347,kDurum,"&lt;&gt;İptal")=0,"HATA: bu odada o tarihte misafir yok","OK"))))))</f>
        <v/>
      </c>
      <c r="H347" s="25">
        <f>IF(AND(ISNUMBER(A347),A347=RaporTarihi),COUNTIFS($A$6:A347,RaporTarihi),"")</f>
        <v/>
      </c>
    </row>
    <row r="348">
      <c r="A348" s="23" t="n"/>
      <c r="B348" s="22" t="n"/>
      <c r="C348" s="22" t="n"/>
      <c r="D348" s="24" t="n"/>
      <c r="E348" s="22" t="n"/>
      <c r="F348" s="22" t="n"/>
      <c r="G348" s="25">
        <f>IF(COUNTA(A348:F348)=0,"",IF(OR(A348="",B348="",C348="",D348="",E348=""),"HATA: eksik bilgi",IF(OR(NOT(ISNUMBER(A348)),NOT(ISNUMBER(D348)),D348&lt;=0),"HATA: tarih/tutar geçersiz",IF(C348&lt;&gt;TRIM(C348),"HATA: isimde baştaki/sondaki boşluk",IF(COUNTIF(TurAralik,E348)=0,"HATA: ödeme türü geçersiz",IF(COUNTIFS(kOda,B348,kGiris,"&lt;="&amp;A348,kCikis,"&gt;="&amp;A348,kDurum,"&lt;&gt;İptal")=0,"HATA: bu odada o tarihte misafir yok","OK"))))))</f>
        <v/>
      </c>
      <c r="H348" s="25">
        <f>IF(AND(ISNUMBER(A348),A348=RaporTarihi),COUNTIFS($A$6:A348,RaporTarihi),"")</f>
        <v/>
      </c>
    </row>
    <row r="349">
      <c r="A349" s="23" t="n"/>
      <c r="B349" s="22" t="n"/>
      <c r="C349" s="22" t="n"/>
      <c r="D349" s="24" t="n"/>
      <c r="E349" s="22" t="n"/>
      <c r="F349" s="22" t="n"/>
      <c r="G349" s="25">
        <f>IF(COUNTA(A349:F349)=0,"",IF(OR(A349="",B349="",C349="",D349="",E349=""),"HATA: eksik bilgi",IF(OR(NOT(ISNUMBER(A349)),NOT(ISNUMBER(D349)),D349&lt;=0),"HATA: tarih/tutar geçersiz",IF(C349&lt;&gt;TRIM(C349),"HATA: isimde baştaki/sondaki boşluk",IF(COUNTIF(TurAralik,E349)=0,"HATA: ödeme türü geçersiz",IF(COUNTIFS(kOda,B349,kGiris,"&lt;="&amp;A349,kCikis,"&gt;="&amp;A349,kDurum,"&lt;&gt;İptal")=0,"HATA: bu odada o tarihte misafir yok","OK"))))))</f>
        <v/>
      </c>
      <c r="H349" s="25">
        <f>IF(AND(ISNUMBER(A349),A349=RaporTarihi),COUNTIFS($A$6:A349,RaporTarihi),"")</f>
        <v/>
      </c>
    </row>
    <row r="350">
      <c r="A350" s="23" t="n"/>
      <c r="B350" s="22" t="n"/>
      <c r="C350" s="22" t="n"/>
      <c r="D350" s="24" t="n"/>
      <c r="E350" s="22" t="n"/>
      <c r="F350" s="22" t="n"/>
      <c r="G350" s="25">
        <f>IF(COUNTA(A350:F350)=0,"",IF(OR(A350="",B350="",C350="",D350="",E350=""),"HATA: eksik bilgi",IF(OR(NOT(ISNUMBER(A350)),NOT(ISNUMBER(D350)),D350&lt;=0),"HATA: tarih/tutar geçersiz",IF(C350&lt;&gt;TRIM(C350),"HATA: isimde baştaki/sondaki boşluk",IF(COUNTIF(TurAralik,E350)=0,"HATA: ödeme türü geçersiz",IF(COUNTIFS(kOda,B350,kGiris,"&lt;="&amp;A350,kCikis,"&gt;="&amp;A350,kDurum,"&lt;&gt;İptal")=0,"HATA: bu odada o tarihte misafir yok","OK"))))))</f>
        <v/>
      </c>
      <c r="H350" s="25">
        <f>IF(AND(ISNUMBER(A350),A350=RaporTarihi),COUNTIFS($A$6:A350,RaporTarihi),"")</f>
        <v/>
      </c>
    </row>
    <row r="351">
      <c r="A351" s="23" t="n"/>
      <c r="B351" s="22" t="n"/>
      <c r="C351" s="22" t="n"/>
      <c r="D351" s="24" t="n"/>
      <c r="E351" s="22" t="n"/>
      <c r="F351" s="22" t="n"/>
      <c r="G351" s="25">
        <f>IF(COUNTA(A351:F351)=0,"",IF(OR(A351="",B351="",C351="",D351="",E351=""),"HATA: eksik bilgi",IF(OR(NOT(ISNUMBER(A351)),NOT(ISNUMBER(D351)),D351&lt;=0),"HATA: tarih/tutar geçersiz",IF(C351&lt;&gt;TRIM(C351),"HATA: isimde baştaki/sondaki boşluk",IF(COUNTIF(TurAralik,E351)=0,"HATA: ödeme türü geçersiz",IF(COUNTIFS(kOda,B351,kGiris,"&lt;="&amp;A351,kCikis,"&gt;="&amp;A351,kDurum,"&lt;&gt;İptal")=0,"HATA: bu odada o tarihte misafir yok","OK"))))))</f>
        <v/>
      </c>
      <c r="H351" s="25">
        <f>IF(AND(ISNUMBER(A351),A351=RaporTarihi),COUNTIFS($A$6:A351,RaporTarihi),"")</f>
        <v/>
      </c>
    </row>
    <row r="352">
      <c r="A352" s="23" t="n"/>
      <c r="B352" s="22" t="n"/>
      <c r="C352" s="22" t="n"/>
      <c r="D352" s="24" t="n"/>
      <c r="E352" s="22" t="n"/>
      <c r="F352" s="22" t="n"/>
      <c r="G352" s="25">
        <f>IF(COUNTA(A352:F352)=0,"",IF(OR(A352="",B352="",C352="",D352="",E352=""),"HATA: eksik bilgi",IF(OR(NOT(ISNUMBER(A352)),NOT(ISNUMBER(D352)),D352&lt;=0),"HATA: tarih/tutar geçersiz",IF(C352&lt;&gt;TRIM(C352),"HATA: isimde baştaki/sondaki boşluk",IF(COUNTIF(TurAralik,E352)=0,"HATA: ödeme türü geçersiz",IF(COUNTIFS(kOda,B352,kGiris,"&lt;="&amp;A352,kCikis,"&gt;="&amp;A352,kDurum,"&lt;&gt;İptal")=0,"HATA: bu odada o tarihte misafir yok","OK"))))))</f>
        <v/>
      </c>
      <c r="H352" s="25">
        <f>IF(AND(ISNUMBER(A352),A352=RaporTarihi),COUNTIFS($A$6:A352,RaporTarihi),"")</f>
        <v/>
      </c>
    </row>
    <row r="353">
      <c r="A353" s="23" t="n"/>
      <c r="B353" s="22" t="n"/>
      <c r="C353" s="22" t="n"/>
      <c r="D353" s="24" t="n"/>
      <c r="E353" s="22" t="n"/>
      <c r="F353" s="22" t="n"/>
      <c r="G353" s="25">
        <f>IF(COUNTA(A353:F353)=0,"",IF(OR(A353="",B353="",C353="",D353="",E353=""),"HATA: eksik bilgi",IF(OR(NOT(ISNUMBER(A353)),NOT(ISNUMBER(D353)),D353&lt;=0),"HATA: tarih/tutar geçersiz",IF(C353&lt;&gt;TRIM(C353),"HATA: isimde baştaki/sondaki boşluk",IF(COUNTIF(TurAralik,E353)=0,"HATA: ödeme türü geçersiz",IF(COUNTIFS(kOda,B353,kGiris,"&lt;="&amp;A353,kCikis,"&gt;="&amp;A353,kDurum,"&lt;&gt;İptal")=0,"HATA: bu odada o tarihte misafir yok","OK"))))))</f>
        <v/>
      </c>
      <c r="H353" s="25">
        <f>IF(AND(ISNUMBER(A353),A353=RaporTarihi),COUNTIFS($A$6:A353,RaporTarihi),"")</f>
        <v/>
      </c>
    </row>
    <row r="354">
      <c r="A354" s="23" t="n"/>
      <c r="B354" s="22" t="n"/>
      <c r="C354" s="22" t="n"/>
      <c r="D354" s="24" t="n"/>
      <c r="E354" s="22" t="n"/>
      <c r="F354" s="22" t="n"/>
      <c r="G354" s="25">
        <f>IF(COUNTA(A354:F354)=0,"",IF(OR(A354="",B354="",C354="",D354="",E354=""),"HATA: eksik bilgi",IF(OR(NOT(ISNUMBER(A354)),NOT(ISNUMBER(D354)),D354&lt;=0),"HATA: tarih/tutar geçersiz",IF(C354&lt;&gt;TRIM(C354),"HATA: isimde baştaki/sondaki boşluk",IF(COUNTIF(TurAralik,E354)=0,"HATA: ödeme türü geçersiz",IF(COUNTIFS(kOda,B354,kGiris,"&lt;="&amp;A354,kCikis,"&gt;="&amp;A354,kDurum,"&lt;&gt;İptal")=0,"HATA: bu odada o tarihte misafir yok","OK"))))))</f>
        <v/>
      </c>
      <c r="H354" s="25">
        <f>IF(AND(ISNUMBER(A354),A354=RaporTarihi),COUNTIFS($A$6:A354,RaporTarihi),"")</f>
        <v/>
      </c>
    </row>
    <row r="355">
      <c r="A355" s="23" t="n"/>
      <c r="B355" s="22" t="n"/>
      <c r="C355" s="22" t="n"/>
      <c r="D355" s="24" t="n"/>
      <c r="E355" s="22" t="n"/>
      <c r="F355" s="22" t="n"/>
      <c r="G355" s="25">
        <f>IF(COUNTA(A355:F355)=0,"",IF(OR(A355="",B355="",C355="",D355="",E355=""),"HATA: eksik bilgi",IF(OR(NOT(ISNUMBER(A355)),NOT(ISNUMBER(D355)),D355&lt;=0),"HATA: tarih/tutar geçersiz",IF(C355&lt;&gt;TRIM(C355),"HATA: isimde baştaki/sondaki boşluk",IF(COUNTIF(TurAralik,E355)=0,"HATA: ödeme türü geçersiz",IF(COUNTIFS(kOda,B355,kGiris,"&lt;="&amp;A355,kCikis,"&gt;="&amp;A355,kDurum,"&lt;&gt;İptal")=0,"HATA: bu odada o tarihte misafir yok","OK"))))))</f>
        <v/>
      </c>
      <c r="H355" s="25">
        <f>IF(AND(ISNUMBER(A355),A355=RaporTarihi),COUNTIFS($A$6:A355,RaporTarihi),"")</f>
        <v/>
      </c>
    </row>
    <row r="356">
      <c r="A356" s="23" t="n"/>
      <c r="B356" s="22" t="n"/>
      <c r="C356" s="22" t="n"/>
      <c r="D356" s="24" t="n"/>
      <c r="E356" s="22" t="n"/>
      <c r="F356" s="22" t="n"/>
      <c r="G356" s="25">
        <f>IF(COUNTA(A356:F356)=0,"",IF(OR(A356="",B356="",C356="",D356="",E356=""),"HATA: eksik bilgi",IF(OR(NOT(ISNUMBER(A356)),NOT(ISNUMBER(D356)),D356&lt;=0),"HATA: tarih/tutar geçersiz",IF(C356&lt;&gt;TRIM(C356),"HATA: isimde baştaki/sondaki boşluk",IF(COUNTIF(TurAralik,E356)=0,"HATA: ödeme türü geçersiz",IF(COUNTIFS(kOda,B356,kGiris,"&lt;="&amp;A356,kCikis,"&gt;="&amp;A356,kDurum,"&lt;&gt;İptal")=0,"HATA: bu odada o tarihte misafir yok","OK"))))))</f>
        <v/>
      </c>
      <c r="H356" s="25">
        <f>IF(AND(ISNUMBER(A356),A356=RaporTarihi),COUNTIFS($A$6:A356,RaporTarihi),"")</f>
        <v/>
      </c>
    </row>
    <row r="357">
      <c r="A357" s="23" t="n"/>
      <c r="B357" s="22" t="n"/>
      <c r="C357" s="22" t="n"/>
      <c r="D357" s="24" t="n"/>
      <c r="E357" s="22" t="n"/>
      <c r="F357" s="22" t="n"/>
      <c r="G357" s="25">
        <f>IF(COUNTA(A357:F357)=0,"",IF(OR(A357="",B357="",C357="",D357="",E357=""),"HATA: eksik bilgi",IF(OR(NOT(ISNUMBER(A357)),NOT(ISNUMBER(D357)),D357&lt;=0),"HATA: tarih/tutar geçersiz",IF(C357&lt;&gt;TRIM(C357),"HATA: isimde baştaki/sondaki boşluk",IF(COUNTIF(TurAralik,E357)=0,"HATA: ödeme türü geçersiz",IF(COUNTIFS(kOda,B357,kGiris,"&lt;="&amp;A357,kCikis,"&gt;="&amp;A357,kDurum,"&lt;&gt;İptal")=0,"HATA: bu odada o tarihte misafir yok","OK"))))))</f>
        <v/>
      </c>
      <c r="H357" s="25">
        <f>IF(AND(ISNUMBER(A357),A357=RaporTarihi),COUNTIFS($A$6:A357,RaporTarihi),"")</f>
        <v/>
      </c>
    </row>
    <row r="358">
      <c r="A358" s="23" t="n"/>
      <c r="B358" s="22" t="n"/>
      <c r="C358" s="22" t="n"/>
      <c r="D358" s="24" t="n"/>
      <c r="E358" s="22" t="n"/>
      <c r="F358" s="22" t="n"/>
      <c r="G358" s="25">
        <f>IF(COUNTA(A358:F358)=0,"",IF(OR(A358="",B358="",C358="",D358="",E358=""),"HATA: eksik bilgi",IF(OR(NOT(ISNUMBER(A358)),NOT(ISNUMBER(D358)),D358&lt;=0),"HATA: tarih/tutar geçersiz",IF(C358&lt;&gt;TRIM(C358),"HATA: isimde baştaki/sondaki boşluk",IF(COUNTIF(TurAralik,E358)=0,"HATA: ödeme türü geçersiz",IF(COUNTIFS(kOda,B358,kGiris,"&lt;="&amp;A358,kCikis,"&gt;="&amp;A358,kDurum,"&lt;&gt;İptal")=0,"HATA: bu odada o tarihte misafir yok","OK"))))))</f>
        <v/>
      </c>
      <c r="H358" s="25">
        <f>IF(AND(ISNUMBER(A358),A358=RaporTarihi),COUNTIFS($A$6:A358,RaporTarihi),"")</f>
        <v/>
      </c>
    </row>
    <row r="359">
      <c r="A359" s="23" t="n"/>
      <c r="B359" s="22" t="n"/>
      <c r="C359" s="22" t="n"/>
      <c r="D359" s="24" t="n"/>
      <c r="E359" s="22" t="n"/>
      <c r="F359" s="22" t="n"/>
      <c r="G359" s="25">
        <f>IF(COUNTA(A359:F359)=0,"",IF(OR(A359="",B359="",C359="",D359="",E359=""),"HATA: eksik bilgi",IF(OR(NOT(ISNUMBER(A359)),NOT(ISNUMBER(D359)),D359&lt;=0),"HATA: tarih/tutar geçersiz",IF(C359&lt;&gt;TRIM(C359),"HATA: isimde baştaki/sondaki boşluk",IF(COUNTIF(TurAralik,E359)=0,"HATA: ödeme türü geçersiz",IF(COUNTIFS(kOda,B359,kGiris,"&lt;="&amp;A359,kCikis,"&gt;="&amp;A359,kDurum,"&lt;&gt;İptal")=0,"HATA: bu odada o tarihte misafir yok","OK"))))))</f>
        <v/>
      </c>
      <c r="H359" s="25">
        <f>IF(AND(ISNUMBER(A359),A359=RaporTarihi),COUNTIFS($A$6:A359,RaporTarihi),"")</f>
        <v/>
      </c>
    </row>
    <row r="360">
      <c r="A360" s="23" t="n"/>
      <c r="B360" s="22" t="n"/>
      <c r="C360" s="22" t="n"/>
      <c r="D360" s="24" t="n"/>
      <c r="E360" s="22" t="n"/>
      <c r="F360" s="22" t="n"/>
      <c r="G360" s="25">
        <f>IF(COUNTA(A360:F360)=0,"",IF(OR(A360="",B360="",C360="",D360="",E360=""),"HATA: eksik bilgi",IF(OR(NOT(ISNUMBER(A360)),NOT(ISNUMBER(D360)),D360&lt;=0),"HATA: tarih/tutar geçersiz",IF(C360&lt;&gt;TRIM(C360),"HATA: isimde baştaki/sondaki boşluk",IF(COUNTIF(TurAralik,E360)=0,"HATA: ödeme türü geçersiz",IF(COUNTIFS(kOda,B360,kGiris,"&lt;="&amp;A360,kCikis,"&gt;="&amp;A360,kDurum,"&lt;&gt;İptal")=0,"HATA: bu odada o tarihte misafir yok","OK"))))))</f>
        <v/>
      </c>
      <c r="H360" s="25">
        <f>IF(AND(ISNUMBER(A360),A360=RaporTarihi),COUNTIFS($A$6:A360,RaporTarihi),"")</f>
        <v/>
      </c>
    </row>
    <row r="361">
      <c r="A361" s="23" t="n"/>
      <c r="B361" s="22" t="n"/>
      <c r="C361" s="22" t="n"/>
      <c r="D361" s="24" t="n"/>
      <c r="E361" s="22" t="n"/>
      <c r="F361" s="22" t="n"/>
      <c r="G361" s="25">
        <f>IF(COUNTA(A361:F361)=0,"",IF(OR(A361="",B361="",C361="",D361="",E361=""),"HATA: eksik bilgi",IF(OR(NOT(ISNUMBER(A361)),NOT(ISNUMBER(D361)),D361&lt;=0),"HATA: tarih/tutar geçersiz",IF(C361&lt;&gt;TRIM(C361),"HATA: isimde baştaki/sondaki boşluk",IF(COUNTIF(TurAralik,E361)=0,"HATA: ödeme türü geçersiz",IF(COUNTIFS(kOda,B361,kGiris,"&lt;="&amp;A361,kCikis,"&gt;="&amp;A361,kDurum,"&lt;&gt;İptal")=0,"HATA: bu odada o tarihte misafir yok","OK"))))))</f>
        <v/>
      </c>
      <c r="H361" s="25">
        <f>IF(AND(ISNUMBER(A361),A361=RaporTarihi),COUNTIFS($A$6:A361,RaporTarihi),"")</f>
        <v/>
      </c>
    </row>
    <row r="362">
      <c r="A362" s="23" t="n"/>
      <c r="B362" s="22" t="n"/>
      <c r="C362" s="22" t="n"/>
      <c r="D362" s="24" t="n"/>
      <c r="E362" s="22" t="n"/>
      <c r="F362" s="22" t="n"/>
      <c r="G362" s="25">
        <f>IF(COUNTA(A362:F362)=0,"",IF(OR(A362="",B362="",C362="",D362="",E362=""),"HATA: eksik bilgi",IF(OR(NOT(ISNUMBER(A362)),NOT(ISNUMBER(D362)),D362&lt;=0),"HATA: tarih/tutar geçersiz",IF(C362&lt;&gt;TRIM(C362),"HATA: isimde baştaki/sondaki boşluk",IF(COUNTIF(TurAralik,E362)=0,"HATA: ödeme türü geçersiz",IF(COUNTIFS(kOda,B362,kGiris,"&lt;="&amp;A362,kCikis,"&gt;="&amp;A362,kDurum,"&lt;&gt;İptal")=0,"HATA: bu odada o tarihte misafir yok","OK"))))))</f>
        <v/>
      </c>
      <c r="H362" s="25">
        <f>IF(AND(ISNUMBER(A362),A362=RaporTarihi),COUNTIFS($A$6:A362,RaporTarihi),"")</f>
        <v/>
      </c>
    </row>
    <row r="363">
      <c r="A363" s="23" t="n"/>
      <c r="B363" s="22" t="n"/>
      <c r="C363" s="22" t="n"/>
      <c r="D363" s="24" t="n"/>
      <c r="E363" s="22" t="n"/>
      <c r="F363" s="22" t="n"/>
      <c r="G363" s="25">
        <f>IF(COUNTA(A363:F363)=0,"",IF(OR(A363="",B363="",C363="",D363="",E363=""),"HATA: eksik bilgi",IF(OR(NOT(ISNUMBER(A363)),NOT(ISNUMBER(D363)),D363&lt;=0),"HATA: tarih/tutar geçersiz",IF(C363&lt;&gt;TRIM(C363),"HATA: isimde baştaki/sondaki boşluk",IF(COUNTIF(TurAralik,E363)=0,"HATA: ödeme türü geçersiz",IF(COUNTIFS(kOda,B363,kGiris,"&lt;="&amp;A363,kCikis,"&gt;="&amp;A363,kDurum,"&lt;&gt;İptal")=0,"HATA: bu odada o tarihte misafir yok","OK"))))))</f>
        <v/>
      </c>
      <c r="H363" s="25">
        <f>IF(AND(ISNUMBER(A363),A363=RaporTarihi),COUNTIFS($A$6:A363,RaporTarihi),"")</f>
        <v/>
      </c>
    </row>
    <row r="364">
      <c r="A364" s="23" t="n"/>
      <c r="B364" s="22" t="n"/>
      <c r="C364" s="22" t="n"/>
      <c r="D364" s="24" t="n"/>
      <c r="E364" s="22" t="n"/>
      <c r="F364" s="22" t="n"/>
      <c r="G364" s="25">
        <f>IF(COUNTA(A364:F364)=0,"",IF(OR(A364="",B364="",C364="",D364="",E364=""),"HATA: eksik bilgi",IF(OR(NOT(ISNUMBER(A364)),NOT(ISNUMBER(D364)),D364&lt;=0),"HATA: tarih/tutar geçersiz",IF(C364&lt;&gt;TRIM(C364),"HATA: isimde baştaki/sondaki boşluk",IF(COUNTIF(TurAralik,E364)=0,"HATA: ödeme türü geçersiz",IF(COUNTIFS(kOda,B364,kGiris,"&lt;="&amp;A364,kCikis,"&gt;="&amp;A364,kDurum,"&lt;&gt;İptal")=0,"HATA: bu odada o tarihte misafir yok","OK"))))))</f>
        <v/>
      </c>
      <c r="H364" s="25">
        <f>IF(AND(ISNUMBER(A364),A364=RaporTarihi),COUNTIFS($A$6:A364,RaporTarihi),"")</f>
        <v/>
      </c>
    </row>
    <row r="365">
      <c r="A365" s="23" t="n"/>
      <c r="B365" s="22" t="n"/>
      <c r="C365" s="22" t="n"/>
      <c r="D365" s="24" t="n"/>
      <c r="E365" s="22" t="n"/>
      <c r="F365" s="22" t="n"/>
      <c r="G365" s="25">
        <f>IF(COUNTA(A365:F365)=0,"",IF(OR(A365="",B365="",C365="",D365="",E365=""),"HATA: eksik bilgi",IF(OR(NOT(ISNUMBER(A365)),NOT(ISNUMBER(D365)),D365&lt;=0),"HATA: tarih/tutar geçersiz",IF(C365&lt;&gt;TRIM(C365),"HATA: isimde baştaki/sondaki boşluk",IF(COUNTIF(TurAralik,E365)=0,"HATA: ödeme türü geçersiz",IF(COUNTIFS(kOda,B365,kGiris,"&lt;="&amp;A365,kCikis,"&gt;="&amp;A365,kDurum,"&lt;&gt;İptal")=0,"HATA: bu odada o tarihte misafir yok","OK"))))))</f>
        <v/>
      </c>
      <c r="H365" s="25">
        <f>IF(AND(ISNUMBER(A365),A365=RaporTarihi),COUNTIFS($A$6:A365,RaporTarihi),"")</f>
        <v/>
      </c>
    </row>
    <row r="366">
      <c r="A366" s="23" t="n"/>
      <c r="B366" s="22" t="n"/>
      <c r="C366" s="22" t="n"/>
      <c r="D366" s="24" t="n"/>
      <c r="E366" s="22" t="n"/>
      <c r="F366" s="22" t="n"/>
      <c r="G366" s="25">
        <f>IF(COUNTA(A366:F366)=0,"",IF(OR(A366="",B366="",C366="",D366="",E366=""),"HATA: eksik bilgi",IF(OR(NOT(ISNUMBER(A366)),NOT(ISNUMBER(D366)),D366&lt;=0),"HATA: tarih/tutar geçersiz",IF(C366&lt;&gt;TRIM(C366),"HATA: isimde baştaki/sondaki boşluk",IF(COUNTIF(TurAralik,E366)=0,"HATA: ödeme türü geçersiz",IF(COUNTIFS(kOda,B366,kGiris,"&lt;="&amp;A366,kCikis,"&gt;="&amp;A366,kDurum,"&lt;&gt;İptal")=0,"HATA: bu odada o tarihte misafir yok","OK"))))))</f>
        <v/>
      </c>
      <c r="H366" s="25">
        <f>IF(AND(ISNUMBER(A366),A366=RaporTarihi),COUNTIFS($A$6:A366,RaporTarihi),"")</f>
        <v/>
      </c>
    </row>
    <row r="367">
      <c r="A367" s="23" t="n"/>
      <c r="B367" s="22" t="n"/>
      <c r="C367" s="22" t="n"/>
      <c r="D367" s="24" t="n"/>
      <c r="E367" s="22" t="n"/>
      <c r="F367" s="22" t="n"/>
      <c r="G367" s="25">
        <f>IF(COUNTA(A367:F367)=0,"",IF(OR(A367="",B367="",C367="",D367="",E367=""),"HATA: eksik bilgi",IF(OR(NOT(ISNUMBER(A367)),NOT(ISNUMBER(D367)),D367&lt;=0),"HATA: tarih/tutar geçersiz",IF(C367&lt;&gt;TRIM(C367),"HATA: isimde baştaki/sondaki boşluk",IF(COUNTIF(TurAralik,E367)=0,"HATA: ödeme türü geçersiz",IF(COUNTIFS(kOda,B367,kGiris,"&lt;="&amp;A367,kCikis,"&gt;="&amp;A367,kDurum,"&lt;&gt;İptal")=0,"HATA: bu odada o tarihte misafir yok","OK"))))))</f>
        <v/>
      </c>
      <c r="H367" s="25">
        <f>IF(AND(ISNUMBER(A367),A367=RaporTarihi),COUNTIFS($A$6:A367,RaporTarihi),"")</f>
        <v/>
      </c>
    </row>
    <row r="368">
      <c r="A368" s="23" t="n"/>
      <c r="B368" s="22" t="n"/>
      <c r="C368" s="22" t="n"/>
      <c r="D368" s="24" t="n"/>
      <c r="E368" s="22" t="n"/>
      <c r="F368" s="22" t="n"/>
      <c r="G368" s="25">
        <f>IF(COUNTA(A368:F368)=0,"",IF(OR(A368="",B368="",C368="",D368="",E368=""),"HATA: eksik bilgi",IF(OR(NOT(ISNUMBER(A368)),NOT(ISNUMBER(D368)),D368&lt;=0),"HATA: tarih/tutar geçersiz",IF(C368&lt;&gt;TRIM(C368),"HATA: isimde baştaki/sondaki boşluk",IF(COUNTIF(TurAralik,E368)=0,"HATA: ödeme türü geçersiz",IF(COUNTIFS(kOda,B368,kGiris,"&lt;="&amp;A368,kCikis,"&gt;="&amp;A368,kDurum,"&lt;&gt;İptal")=0,"HATA: bu odada o tarihte misafir yok","OK"))))))</f>
        <v/>
      </c>
      <c r="H368" s="25">
        <f>IF(AND(ISNUMBER(A368),A368=RaporTarihi),COUNTIFS($A$6:A368,RaporTarihi),"")</f>
        <v/>
      </c>
    </row>
    <row r="369">
      <c r="A369" s="23" t="n"/>
      <c r="B369" s="22" t="n"/>
      <c r="C369" s="22" t="n"/>
      <c r="D369" s="24" t="n"/>
      <c r="E369" s="22" t="n"/>
      <c r="F369" s="22" t="n"/>
      <c r="G369" s="25">
        <f>IF(COUNTA(A369:F369)=0,"",IF(OR(A369="",B369="",C369="",D369="",E369=""),"HATA: eksik bilgi",IF(OR(NOT(ISNUMBER(A369)),NOT(ISNUMBER(D369)),D369&lt;=0),"HATA: tarih/tutar geçersiz",IF(C369&lt;&gt;TRIM(C369),"HATA: isimde baştaki/sondaki boşluk",IF(COUNTIF(TurAralik,E369)=0,"HATA: ödeme türü geçersiz",IF(COUNTIFS(kOda,B369,kGiris,"&lt;="&amp;A369,kCikis,"&gt;="&amp;A369,kDurum,"&lt;&gt;İptal")=0,"HATA: bu odada o tarihte misafir yok","OK"))))))</f>
        <v/>
      </c>
      <c r="H369" s="25">
        <f>IF(AND(ISNUMBER(A369),A369=RaporTarihi),COUNTIFS($A$6:A369,RaporTarihi),"")</f>
        <v/>
      </c>
    </row>
    <row r="370">
      <c r="A370" s="23" t="n"/>
      <c r="B370" s="22" t="n"/>
      <c r="C370" s="22" t="n"/>
      <c r="D370" s="24" t="n"/>
      <c r="E370" s="22" t="n"/>
      <c r="F370" s="22" t="n"/>
      <c r="G370" s="25">
        <f>IF(COUNTA(A370:F370)=0,"",IF(OR(A370="",B370="",C370="",D370="",E370=""),"HATA: eksik bilgi",IF(OR(NOT(ISNUMBER(A370)),NOT(ISNUMBER(D370)),D370&lt;=0),"HATA: tarih/tutar geçersiz",IF(C370&lt;&gt;TRIM(C370),"HATA: isimde baştaki/sondaki boşluk",IF(COUNTIF(TurAralik,E370)=0,"HATA: ödeme türü geçersiz",IF(COUNTIFS(kOda,B370,kGiris,"&lt;="&amp;A370,kCikis,"&gt;="&amp;A370,kDurum,"&lt;&gt;İptal")=0,"HATA: bu odada o tarihte misafir yok","OK"))))))</f>
        <v/>
      </c>
      <c r="H370" s="25">
        <f>IF(AND(ISNUMBER(A370),A370=RaporTarihi),COUNTIFS($A$6:A370,RaporTarihi),"")</f>
        <v/>
      </c>
    </row>
    <row r="371">
      <c r="A371" s="23" t="n"/>
      <c r="B371" s="22" t="n"/>
      <c r="C371" s="22" t="n"/>
      <c r="D371" s="24" t="n"/>
      <c r="E371" s="22" t="n"/>
      <c r="F371" s="22" t="n"/>
      <c r="G371" s="25">
        <f>IF(COUNTA(A371:F371)=0,"",IF(OR(A371="",B371="",C371="",D371="",E371=""),"HATA: eksik bilgi",IF(OR(NOT(ISNUMBER(A371)),NOT(ISNUMBER(D371)),D371&lt;=0),"HATA: tarih/tutar geçersiz",IF(C371&lt;&gt;TRIM(C371),"HATA: isimde baştaki/sondaki boşluk",IF(COUNTIF(TurAralik,E371)=0,"HATA: ödeme türü geçersiz",IF(COUNTIFS(kOda,B371,kGiris,"&lt;="&amp;A371,kCikis,"&gt;="&amp;A371,kDurum,"&lt;&gt;İptal")=0,"HATA: bu odada o tarihte misafir yok","OK"))))))</f>
        <v/>
      </c>
      <c r="H371" s="25">
        <f>IF(AND(ISNUMBER(A371),A371=RaporTarihi),COUNTIFS($A$6:A371,RaporTarihi),"")</f>
        <v/>
      </c>
    </row>
    <row r="372">
      <c r="A372" s="23" t="n"/>
      <c r="B372" s="22" t="n"/>
      <c r="C372" s="22" t="n"/>
      <c r="D372" s="24" t="n"/>
      <c r="E372" s="22" t="n"/>
      <c r="F372" s="22" t="n"/>
      <c r="G372" s="25">
        <f>IF(COUNTA(A372:F372)=0,"",IF(OR(A372="",B372="",C372="",D372="",E372=""),"HATA: eksik bilgi",IF(OR(NOT(ISNUMBER(A372)),NOT(ISNUMBER(D372)),D372&lt;=0),"HATA: tarih/tutar geçersiz",IF(C372&lt;&gt;TRIM(C372),"HATA: isimde baştaki/sondaki boşluk",IF(COUNTIF(TurAralik,E372)=0,"HATA: ödeme türü geçersiz",IF(COUNTIFS(kOda,B372,kGiris,"&lt;="&amp;A372,kCikis,"&gt;="&amp;A372,kDurum,"&lt;&gt;İptal")=0,"HATA: bu odada o tarihte misafir yok","OK"))))))</f>
        <v/>
      </c>
      <c r="H372" s="25">
        <f>IF(AND(ISNUMBER(A372),A372=RaporTarihi),COUNTIFS($A$6:A372,RaporTarihi),"")</f>
        <v/>
      </c>
    </row>
    <row r="373">
      <c r="A373" s="23" t="n"/>
      <c r="B373" s="22" t="n"/>
      <c r="C373" s="22" t="n"/>
      <c r="D373" s="24" t="n"/>
      <c r="E373" s="22" t="n"/>
      <c r="F373" s="22" t="n"/>
      <c r="G373" s="25">
        <f>IF(COUNTA(A373:F373)=0,"",IF(OR(A373="",B373="",C373="",D373="",E373=""),"HATA: eksik bilgi",IF(OR(NOT(ISNUMBER(A373)),NOT(ISNUMBER(D373)),D373&lt;=0),"HATA: tarih/tutar geçersiz",IF(C373&lt;&gt;TRIM(C373),"HATA: isimde baştaki/sondaki boşluk",IF(COUNTIF(TurAralik,E373)=0,"HATA: ödeme türü geçersiz",IF(COUNTIFS(kOda,B373,kGiris,"&lt;="&amp;A373,kCikis,"&gt;="&amp;A373,kDurum,"&lt;&gt;İptal")=0,"HATA: bu odada o tarihte misafir yok","OK"))))))</f>
        <v/>
      </c>
      <c r="H373" s="25">
        <f>IF(AND(ISNUMBER(A373),A373=RaporTarihi),COUNTIFS($A$6:A373,RaporTarihi),"")</f>
        <v/>
      </c>
    </row>
    <row r="374">
      <c r="A374" s="23" t="n"/>
      <c r="B374" s="22" t="n"/>
      <c r="C374" s="22" t="n"/>
      <c r="D374" s="24" t="n"/>
      <c r="E374" s="22" t="n"/>
      <c r="F374" s="22" t="n"/>
      <c r="G374" s="25">
        <f>IF(COUNTA(A374:F374)=0,"",IF(OR(A374="",B374="",C374="",D374="",E374=""),"HATA: eksik bilgi",IF(OR(NOT(ISNUMBER(A374)),NOT(ISNUMBER(D374)),D374&lt;=0),"HATA: tarih/tutar geçersiz",IF(C374&lt;&gt;TRIM(C374),"HATA: isimde baştaki/sondaki boşluk",IF(COUNTIF(TurAralik,E374)=0,"HATA: ödeme türü geçersiz",IF(COUNTIFS(kOda,B374,kGiris,"&lt;="&amp;A374,kCikis,"&gt;="&amp;A374,kDurum,"&lt;&gt;İptal")=0,"HATA: bu odada o tarihte misafir yok","OK"))))))</f>
        <v/>
      </c>
      <c r="H374" s="25">
        <f>IF(AND(ISNUMBER(A374),A374=RaporTarihi),COUNTIFS($A$6:A374,RaporTarihi),"")</f>
        <v/>
      </c>
    </row>
    <row r="375">
      <c r="A375" s="23" t="n"/>
      <c r="B375" s="22" t="n"/>
      <c r="C375" s="22" t="n"/>
      <c r="D375" s="24" t="n"/>
      <c r="E375" s="22" t="n"/>
      <c r="F375" s="22" t="n"/>
      <c r="G375" s="25">
        <f>IF(COUNTA(A375:F375)=0,"",IF(OR(A375="",B375="",C375="",D375="",E375=""),"HATA: eksik bilgi",IF(OR(NOT(ISNUMBER(A375)),NOT(ISNUMBER(D375)),D375&lt;=0),"HATA: tarih/tutar geçersiz",IF(C375&lt;&gt;TRIM(C375),"HATA: isimde baştaki/sondaki boşluk",IF(COUNTIF(TurAralik,E375)=0,"HATA: ödeme türü geçersiz",IF(COUNTIFS(kOda,B375,kGiris,"&lt;="&amp;A375,kCikis,"&gt;="&amp;A375,kDurum,"&lt;&gt;İptal")=0,"HATA: bu odada o tarihte misafir yok","OK"))))))</f>
        <v/>
      </c>
      <c r="H375" s="25">
        <f>IF(AND(ISNUMBER(A375),A375=RaporTarihi),COUNTIFS($A$6:A375,RaporTarihi),"")</f>
        <v/>
      </c>
    </row>
    <row r="376">
      <c r="A376" s="23" t="n"/>
      <c r="B376" s="22" t="n"/>
      <c r="C376" s="22" t="n"/>
      <c r="D376" s="24" t="n"/>
      <c r="E376" s="22" t="n"/>
      <c r="F376" s="22" t="n"/>
      <c r="G376" s="25">
        <f>IF(COUNTA(A376:F376)=0,"",IF(OR(A376="",B376="",C376="",D376="",E376=""),"HATA: eksik bilgi",IF(OR(NOT(ISNUMBER(A376)),NOT(ISNUMBER(D376)),D376&lt;=0),"HATA: tarih/tutar geçersiz",IF(C376&lt;&gt;TRIM(C376),"HATA: isimde baştaki/sondaki boşluk",IF(COUNTIF(TurAralik,E376)=0,"HATA: ödeme türü geçersiz",IF(COUNTIFS(kOda,B376,kGiris,"&lt;="&amp;A376,kCikis,"&gt;="&amp;A376,kDurum,"&lt;&gt;İptal")=0,"HATA: bu odada o tarihte misafir yok","OK"))))))</f>
        <v/>
      </c>
      <c r="H376" s="25">
        <f>IF(AND(ISNUMBER(A376),A376=RaporTarihi),COUNTIFS($A$6:A376,RaporTarihi),"")</f>
        <v/>
      </c>
    </row>
    <row r="377">
      <c r="A377" s="23" t="n"/>
      <c r="B377" s="22" t="n"/>
      <c r="C377" s="22" t="n"/>
      <c r="D377" s="24" t="n"/>
      <c r="E377" s="22" t="n"/>
      <c r="F377" s="22" t="n"/>
      <c r="G377" s="25">
        <f>IF(COUNTA(A377:F377)=0,"",IF(OR(A377="",B377="",C377="",D377="",E377=""),"HATA: eksik bilgi",IF(OR(NOT(ISNUMBER(A377)),NOT(ISNUMBER(D377)),D377&lt;=0),"HATA: tarih/tutar geçersiz",IF(C377&lt;&gt;TRIM(C377),"HATA: isimde baştaki/sondaki boşluk",IF(COUNTIF(TurAralik,E377)=0,"HATA: ödeme türü geçersiz",IF(COUNTIFS(kOda,B377,kGiris,"&lt;="&amp;A377,kCikis,"&gt;="&amp;A377,kDurum,"&lt;&gt;İptal")=0,"HATA: bu odada o tarihte misafir yok","OK"))))))</f>
        <v/>
      </c>
      <c r="H377" s="25">
        <f>IF(AND(ISNUMBER(A377),A377=RaporTarihi),COUNTIFS($A$6:A377,RaporTarihi),"")</f>
        <v/>
      </c>
    </row>
    <row r="378">
      <c r="A378" s="23" t="n"/>
      <c r="B378" s="22" t="n"/>
      <c r="C378" s="22" t="n"/>
      <c r="D378" s="24" t="n"/>
      <c r="E378" s="22" t="n"/>
      <c r="F378" s="22" t="n"/>
      <c r="G378" s="25">
        <f>IF(COUNTA(A378:F378)=0,"",IF(OR(A378="",B378="",C378="",D378="",E378=""),"HATA: eksik bilgi",IF(OR(NOT(ISNUMBER(A378)),NOT(ISNUMBER(D378)),D378&lt;=0),"HATA: tarih/tutar geçersiz",IF(C378&lt;&gt;TRIM(C378),"HATA: isimde baştaki/sondaki boşluk",IF(COUNTIF(TurAralik,E378)=0,"HATA: ödeme türü geçersiz",IF(COUNTIFS(kOda,B378,kGiris,"&lt;="&amp;A378,kCikis,"&gt;="&amp;A378,kDurum,"&lt;&gt;İptal")=0,"HATA: bu odada o tarihte misafir yok","OK"))))))</f>
        <v/>
      </c>
      <c r="H378" s="25">
        <f>IF(AND(ISNUMBER(A378),A378=RaporTarihi),COUNTIFS($A$6:A378,RaporTarihi),"")</f>
        <v/>
      </c>
    </row>
    <row r="379">
      <c r="A379" s="23" t="n"/>
      <c r="B379" s="22" t="n"/>
      <c r="C379" s="22" t="n"/>
      <c r="D379" s="24" t="n"/>
      <c r="E379" s="22" t="n"/>
      <c r="F379" s="22" t="n"/>
      <c r="G379" s="25">
        <f>IF(COUNTA(A379:F379)=0,"",IF(OR(A379="",B379="",C379="",D379="",E379=""),"HATA: eksik bilgi",IF(OR(NOT(ISNUMBER(A379)),NOT(ISNUMBER(D379)),D379&lt;=0),"HATA: tarih/tutar geçersiz",IF(C379&lt;&gt;TRIM(C379),"HATA: isimde baştaki/sondaki boşluk",IF(COUNTIF(TurAralik,E379)=0,"HATA: ödeme türü geçersiz",IF(COUNTIFS(kOda,B379,kGiris,"&lt;="&amp;A379,kCikis,"&gt;="&amp;A379,kDurum,"&lt;&gt;İptal")=0,"HATA: bu odada o tarihte misafir yok","OK"))))))</f>
        <v/>
      </c>
      <c r="H379" s="25">
        <f>IF(AND(ISNUMBER(A379),A379=RaporTarihi),COUNTIFS($A$6:A379,RaporTarihi),"")</f>
        <v/>
      </c>
    </row>
    <row r="380">
      <c r="A380" s="23" t="n"/>
      <c r="B380" s="22" t="n"/>
      <c r="C380" s="22" t="n"/>
      <c r="D380" s="24" t="n"/>
      <c r="E380" s="22" t="n"/>
      <c r="F380" s="22" t="n"/>
      <c r="G380" s="25">
        <f>IF(COUNTA(A380:F380)=0,"",IF(OR(A380="",B380="",C380="",D380="",E380=""),"HATA: eksik bilgi",IF(OR(NOT(ISNUMBER(A380)),NOT(ISNUMBER(D380)),D380&lt;=0),"HATA: tarih/tutar geçersiz",IF(C380&lt;&gt;TRIM(C380),"HATA: isimde baştaki/sondaki boşluk",IF(COUNTIF(TurAralik,E380)=0,"HATA: ödeme türü geçersiz",IF(COUNTIFS(kOda,B380,kGiris,"&lt;="&amp;A380,kCikis,"&gt;="&amp;A380,kDurum,"&lt;&gt;İptal")=0,"HATA: bu odada o tarihte misafir yok","OK"))))))</f>
        <v/>
      </c>
      <c r="H380" s="25">
        <f>IF(AND(ISNUMBER(A380),A380=RaporTarihi),COUNTIFS($A$6:A380,RaporTarihi),"")</f>
        <v/>
      </c>
    </row>
    <row r="381">
      <c r="A381" s="23" t="n"/>
      <c r="B381" s="22" t="n"/>
      <c r="C381" s="22" t="n"/>
      <c r="D381" s="24" t="n"/>
      <c r="E381" s="22" t="n"/>
      <c r="F381" s="22" t="n"/>
      <c r="G381" s="25">
        <f>IF(COUNTA(A381:F381)=0,"",IF(OR(A381="",B381="",C381="",D381="",E381=""),"HATA: eksik bilgi",IF(OR(NOT(ISNUMBER(A381)),NOT(ISNUMBER(D381)),D381&lt;=0),"HATA: tarih/tutar geçersiz",IF(C381&lt;&gt;TRIM(C381),"HATA: isimde baştaki/sondaki boşluk",IF(COUNTIF(TurAralik,E381)=0,"HATA: ödeme türü geçersiz",IF(COUNTIFS(kOda,B381,kGiris,"&lt;="&amp;A381,kCikis,"&gt;="&amp;A381,kDurum,"&lt;&gt;İptal")=0,"HATA: bu odada o tarihte misafir yok","OK"))))))</f>
        <v/>
      </c>
      <c r="H381" s="25">
        <f>IF(AND(ISNUMBER(A381),A381=RaporTarihi),COUNTIFS($A$6:A381,RaporTarihi),"")</f>
        <v/>
      </c>
    </row>
    <row r="382">
      <c r="A382" s="23" t="n"/>
      <c r="B382" s="22" t="n"/>
      <c r="C382" s="22" t="n"/>
      <c r="D382" s="24" t="n"/>
      <c r="E382" s="22" t="n"/>
      <c r="F382" s="22" t="n"/>
      <c r="G382" s="25">
        <f>IF(COUNTA(A382:F382)=0,"",IF(OR(A382="",B382="",C382="",D382="",E382=""),"HATA: eksik bilgi",IF(OR(NOT(ISNUMBER(A382)),NOT(ISNUMBER(D382)),D382&lt;=0),"HATA: tarih/tutar geçersiz",IF(C382&lt;&gt;TRIM(C382),"HATA: isimde baştaki/sondaki boşluk",IF(COUNTIF(TurAralik,E382)=0,"HATA: ödeme türü geçersiz",IF(COUNTIFS(kOda,B382,kGiris,"&lt;="&amp;A382,kCikis,"&gt;="&amp;A382,kDurum,"&lt;&gt;İptal")=0,"HATA: bu odada o tarihte misafir yok","OK"))))))</f>
        <v/>
      </c>
      <c r="H382" s="25">
        <f>IF(AND(ISNUMBER(A382),A382=RaporTarihi),COUNTIFS($A$6:A382,RaporTarihi),"")</f>
        <v/>
      </c>
    </row>
    <row r="383">
      <c r="A383" s="23" t="n"/>
      <c r="B383" s="22" t="n"/>
      <c r="C383" s="22" t="n"/>
      <c r="D383" s="24" t="n"/>
      <c r="E383" s="22" t="n"/>
      <c r="F383" s="22" t="n"/>
      <c r="G383" s="25">
        <f>IF(COUNTA(A383:F383)=0,"",IF(OR(A383="",B383="",C383="",D383="",E383=""),"HATA: eksik bilgi",IF(OR(NOT(ISNUMBER(A383)),NOT(ISNUMBER(D383)),D383&lt;=0),"HATA: tarih/tutar geçersiz",IF(C383&lt;&gt;TRIM(C383),"HATA: isimde baştaki/sondaki boşluk",IF(COUNTIF(TurAralik,E383)=0,"HATA: ödeme türü geçersiz",IF(COUNTIFS(kOda,B383,kGiris,"&lt;="&amp;A383,kCikis,"&gt;="&amp;A383,kDurum,"&lt;&gt;İptal")=0,"HATA: bu odada o tarihte misafir yok","OK"))))))</f>
        <v/>
      </c>
      <c r="H383" s="25">
        <f>IF(AND(ISNUMBER(A383),A383=RaporTarihi),COUNTIFS($A$6:A383,RaporTarihi),"")</f>
        <v/>
      </c>
    </row>
    <row r="384">
      <c r="A384" s="23" t="n"/>
      <c r="B384" s="22" t="n"/>
      <c r="C384" s="22" t="n"/>
      <c r="D384" s="24" t="n"/>
      <c r="E384" s="22" t="n"/>
      <c r="F384" s="22" t="n"/>
      <c r="G384" s="25">
        <f>IF(COUNTA(A384:F384)=0,"",IF(OR(A384="",B384="",C384="",D384="",E384=""),"HATA: eksik bilgi",IF(OR(NOT(ISNUMBER(A384)),NOT(ISNUMBER(D384)),D384&lt;=0),"HATA: tarih/tutar geçersiz",IF(C384&lt;&gt;TRIM(C384),"HATA: isimde baştaki/sondaki boşluk",IF(COUNTIF(TurAralik,E384)=0,"HATA: ödeme türü geçersiz",IF(COUNTIFS(kOda,B384,kGiris,"&lt;="&amp;A384,kCikis,"&gt;="&amp;A384,kDurum,"&lt;&gt;İptal")=0,"HATA: bu odada o tarihte misafir yok","OK"))))))</f>
        <v/>
      </c>
      <c r="H384" s="25">
        <f>IF(AND(ISNUMBER(A384),A384=RaporTarihi),COUNTIFS($A$6:A384,RaporTarihi),"")</f>
        <v/>
      </c>
    </row>
    <row r="385">
      <c r="A385" s="23" t="n"/>
      <c r="B385" s="22" t="n"/>
      <c r="C385" s="22" t="n"/>
      <c r="D385" s="24" t="n"/>
      <c r="E385" s="22" t="n"/>
      <c r="F385" s="22" t="n"/>
      <c r="G385" s="25">
        <f>IF(COUNTA(A385:F385)=0,"",IF(OR(A385="",B385="",C385="",D385="",E385=""),"HATA: eksik bilgi",IF(OR(NOT(ISNUMBER(A385)),NOT(ISNUMBER(D385)),D385&lt;=0),"HATA: tarih/tutar geçersiz",IF(C385&lt;&gt;TRIM(C385),"HATA: isimde baştaki/sondaki boşluk",IF(COUNTIF(TurAralik,E385)=0,"HATA: ödeme türü geçersiz",IF(COUNTIFS(kOda,B385,kGiris,"&lt;="&amp;A385,kCikis,"&gt;="&amp;A385,kDurum,"&lt;&gt;İptal")=0,"HATA: bu odada o tarihte misafir yok","OK"))))))</f>
        <v/>
      </c>
      <c r="H385" s="25">
        <f>IF(AND(ISNUMBER(A385),A385=RaporTarihi),COUNTIFS($A$6:A385,RaporTarihi),"")</f>
        <v/>
      </c>
    </row>
    <row r="386">
      <c r="A386" s="23" t="n"/>
      <c r="B386" s="22" t="n"/>
      <c r="C386" s="22" t="n"/>
      <c r="D386" s="24" t="n"/>
      <c r="E386" s="22" t="n"/>
      <c r="F386" s="22" t="n"/>
      <c r="G386" s="25">
        <f>IF(COUNTA(A386:F386)=0,"",IF(OR(A386="",B386="",C386="",D386="",E386=""),"HATA: eksik bilgi",IF(OR(NOT(ISNUMBER(A386)),NOT(ISNUMBER(D386)),D386&lt;=0),"HATA: tarih/tutar geçersiz",IF(C386&lt;&gt;TRIM(C386),"HATA: isimde baştaki/sondaki boşluk",IF(COUNTIF(TurAralik,E386)=0,"HATA: ödeme türü geçersiz",IF(COUNTIFS(kOda,B386,kGiris,"&lt;="&amp;A386,kCikis,"&gt;="&amp;A386,kDurum,"&lt;&gt;İptal")=0,"HATA: bu odada o tarihte misafir yok","OK"))))))</f>
        <v/>
      </c>
      <c r="H386" s="25">
        <f>IF(AND(ISNUMBER(A386),A386=RaporTarihi),COUNTIFS($A$6:A386,RaporTarihi),"")</f>
        <v/>
      </c>
    </row>
    <row r="387">
      <c r="A387" s="23" t="n"/>
      <c r="B387" s="22" t="n"/>
      <c r="C387" s="22" t="n"/>
      <c r="D387" s="24" t="n"/>
      <c r="E387" s="22" t="n"/>
      <c r="F387" s="22" t="n"/>
      <c r="G387" s="25">
        <f>IF(COUNTA(A387:F387)=0,"",IF(OR(A387="",B387="",C387="",D387="",E387=""),"HATA: eksik bilgi",IF(OR(NOT(ISNUMBER(A387)),NOT(ISNUMBER(D387)),D387&lt;=0),"HATA: tarih/tutar geçersiz",IF(C387&lt;&gt;TRIM(C387),"HATA: isimde baştaki/sondaki boşluk",IF(COUNTIF(TurAralik,E387)=0,"HATA: ödeme türü geçersiz",IF(COUNTIFS(kOda,B387,kGiris,"&lt;="&amp;A387,kCikis,"&gt;="&amp;A387,kDurum,"&lt;&gt;İptal")=0,"HATA: bu odada o tarihte misafir yok","OK"))))))</f>
        <v/>
      </c>
      <c r="H387" s="25">
        <f>IF(AND(ISNUMBER(A387),A387=RaporTarihi),COUNTIFS($A$6:A387,RaporTarihi),"")</f>
        <v/>
      </c>
    </row>
    <row r="388">
      <c r="A388" s="23" t="n"/>
      <c r="B388" s="22" t="n"/>
      <c r="C388" s="22" t="n"/>
      <c r="D388" s="24" t="n"/>
      <c r="E388" s="22" t="n"/>
      <c r="F388" s="22" t="n"/>
      <c r="G388" s="25">
        <f>IF(COUNTA(A388:F388)=0,"",IF(OR(A388="",B388="",C388="",D388="",E388=""),"HATA: eksik bilgi",IF(OR(NOT(ISNUMBER(A388)),NOT(ISNUMBER(D388)),D388&lt;=0),"HATA: tarih/tutar geçersiz",IF(C388&lt;&gt;TRIM(C388),"HATA: isimde baştaki/sondaki boşluk",IF(COUNTIF(TurAralik,E388)=0,"HATA: ödeme türü geçersiz",IF(COUNTIFS(kOda,B388,kGiris,"&lt;="&amp;A388,kCikis,"&gt;="&amp;A388,kDurum,"&lt;&gt;İptal")=0,"HATA: bu odada o tarihte misafir yok","OK"))))))</f>
        <v/>
      </c>
      <c r="H388" s="25">
        <f>IF(AND(ISNUMBER(A388),A388=RaporTarihi),COUNTIFS($A$6:A388,RaporTarihi),"")</f>
        <v/>
      </c>
    </row>
    <row r="389">
      <c r="A389" s="23" t="n"/>
      <c r="B389" s="22" t="n"/>
      <c r="C389" s="22" t="n"/>
      <c r="D389" s="24" t="n"/>
      <c r="E389" s="22" t="n"/>
      <c r="F389" s="22" t="n"/>
      <c r="G389" s="25">
        <f>IF(COUNTA(A389:F389)=0,"",IF(OR(A389="",B389="",C389="",D389="",E389=""),"HATA: eksik bilgi",IF(OR(NOT(ISNUMBER(A389)),NOT(ISNUMBER(D389)),D389&lt;=0),"HATA: tarih/tutar geçersiz",IF(C389&lt;&gt;TRIM(C389),"HATA: isimde baştaki/sondaki boşluk",IF(COUNTIF(TurAralik,E389)=0,"HATA: ödeme türü geçersiz",IF(COUNTIFS(kOda,B389,kGiris,"&lt;="&amp;A389,kCikis,"&gt;="&amp;A389,kDurum,"&lt;&gt;İptal")=0,"HATA: bu odada o tarihte misafir yok","OK"))))))</f>
        <v/>
      </c>
      <c r="H389" s="25">
        <f>IF(AND(ISNUMBER(A389),A389=RaporTarihi),COUNTIFS($A$6:A389,RaporTarihi),"")</f>
        <v/>
      </c>
    </row>
    <row r="390">
      <c r="A390" s="23" t="n"/>
      <c r="B390" s="22" t="n"/>
      <c r="C390" s="22" t="n"/>
      <c r="D390" s="24" t="n"/>
      <c r="E390" s="22" t="n"/>
      <c r="F390" s="22" t="n"/>
      <c r="G390" s="25">
        <f>IF(COUNTA(A390:F390)=0,"",IF(OR(A390="",B390="",C390="",D390="",E390=""),"HATA: eksik bilgi",IF(OR(NOT(ISNUMBER(A390)),NOT(ISNUMBER(D390)),D390&lt;=0),"HATA: tarih/tutar geçersiz",IF(C390&lt;&gt;TRIM(C390),"HATA: isimde baştaki/sondaki boşluk",IF(COUNTIF(TurAralik,E390)=0,"HATA: ödeme türü geçersiz",IF(COUNTIFS(kOda,B390,kGiris,"&lt;="&amp;A390,kCikis,"&gt;="&amp;A390,kDurum,"&lt;&gt;İptal")=0,"HATA: bu odada o tarihte misafir yok","OK"))))))</f>
        <v/>
      </c>
      <c r="H390" s="25">
        <f>IF(AND(ISNUMBER(A390),A390=RaporTarihi),COUNTIFS($A$6:A390,RaporTarihi),"")</f>
        <v/>
      </c>
    </row>
    <row r="391">
      <c r="A391" s="23" t="n"/>
      <c r="B391" s="22" t="n"/>
      <c r="C391" s="22" t="n"/>
      <c r="D391" s="24" t="n"/>
      <c r="E391" s="22" t="n"/>
      <c r="F391" s="22" t="n"/>
      <c r="G391" s="25">
        <f>IF(COUNTA(A391:F391)=0,"",IF(OR(A391="",B391="",C391="",D391="",E391=""),"HATA: eksik bilgi",IF(OR(NOT(ISNUMBER(A391)),NOT(ISNUMBER(D391)),D391&lt;=0),"HATA: tarih/tutar geçersiz",IF(C391&lt;&gt;TRIM(C391),"HATA: isimde baştaki/sondaki boşluk",IF(COUNTIF(TurAralik,E391)=0,"HATA: ödeme türü geçersiz",IF(COUNTIFS(kOda,B391,kGiris,"&lt;="&amp;A391,kCikis,"&gt;="&amp;A391,kDurum,"&lt;&gt;İptal")=0,"HATA: bu odada o tarihte misafir yok","OK"))))))</f>
        <v/>
      </c>
      <c r="H391" s="25">
        <f>IF(AND(ISNUMBER(A391),A391=RaporTarihi),COUNTIFS($A$6:A391,RaporTarihi),"")</f>
        <v/>
      </c>
    </row>
    <row r="392">
      <c r="A392" s="23" t="n"/>
      <c r="B392" s="22" t="n"/>
      <c r="C392" s="22" t="n"/>
      <c r="D392" s="24" t="n"/>
      <c r="E392" s="22" t="n"/>
      <c r="F392" s="22" t="n"/>
      <c r="G392" s="25">
        <f>IF(COUNTA(A392:F392)=0,"",IF(OR(A392="",B392="",C392="",D392="",E392=""),"HATA: eksik bilgi",IF(OR(NOT(ISNUMBER(A392)),NOT(ISNUMBER(D392)),D392&lt;=0),"HATA: tarih/tutar geçersiz",IF(C392&lt;&gt;TRIM(C392),"HATA: isimde baştaki/sondaki boşluk",IF(COUNTIF(TurAralik,E392)=0,"HATA: ödeme türü geçersiz",IF(COUNTIFS(kOda,B392,kGiris,"&lt;="&amp;A392,kCikis,"&gt;="&amp;A392,kDurum,"&lt;&gt;İptal")=0,"HATA: bu odada o tarihte misafir yok","OK"))))))</f>
        <v/>
      </c>
      <c r="H392" s="25">
        <f>IF(AND(ISNUMBER(A392),A392=RaporTarihi),COUNTIFS($A$6:A392,RaporTarihi),"")</f>
        <v/>
      </c>
    </row>
    <row r="393">
      <c r="A393" s="23" t="n"/>
      <c r="B393" s="22" t="n"/>
      <c r="C393" s="22" t="n"/>
      <c r="D393" s="24" t="n"/>
      <c r="E393" s="22" t="n"/>
      <c r="F393" s="22" t="n"/>
      <c r="G393" s="25">
        <f>IF(COUNTA(A393:F393)=0,"",IF(OR(A393="",B393="",C393="",D393="",E393=""),"HATA: eksik bilgi",IF(OR(NOT(ISNUMBER(A393)),NOT(ISNUMBER(D393)),D393&lt;=0),"HATA: tarih/tutar geçersiz",IF(C393&lt;&gt;TRIM(C393),"HATA: isimde baştaki/sondaki boşluk",IF(COUNTIF(TurAralik,E393)=0,"HATA: ödeme türü geçersiz",IF(COUNTIFS(kOda,B393,kGiris,"&lt;="&amp;A393,kCikis,"&gt;="&amp;A393,kDurum,"&lt;&gt;İptal")=0,"HATA: bu odada o tarihte misafir yok","OK"))))))</f>
        <v/>
      </c>
      <c r="H393" s="25">
        <f>IF(AND(ISNUMBER(A393),A393=RaporTarihi),COUNTIFS($A$6:A393,RaporTarihi),"")</f>
        <v/>
      </c>
    </row>
    <row r="394">
      <c r="A394" s="23" t="n"/>
      <c r="B394" s="22" t="n"/>
      <c r="C394" s="22" t="n"/>
      <c r="D394" s="24" t="n"/>
      <c r="E394" s="22" t="n"/>
      <c r="F394" s="22" t="n"/>
      <c r="G394" s="25">
        <f>IF(COUNTA(A394:F394)=0,"",IF(OR(A394="",B394="",C394="",D394="",E394=""),"HATA: eksik bilgi",IF(OR(NOT(ISNUMBER(A394)),NOT(ISNUMBER(D394)),D394&lt;=0),"HATA: tarih/tutar geçersiz",IF(C394&lt;&gt;TRIM(C394),"HATA: isimde baştaki/sondaki boşluk",IF(COUNTIF(TurAralik,E394)=0,"HATA: ödeme türü geçersiz",IF(COUNTIFS(kOda,B394,kGiris,"&lt;="&amp;A394,kCikis,"&gt;="&amp;A394,kDurum,"&lt;&gt;İptal")=0,"HATA: bu odada o tarihte misafir yok","OK"))))))</f>
        <v/>
      </c>
      <c r="H394" s="25">
        <f>IF(AND(ISNUMBER(A394),A394=RaporTarihi),COUNTIFS($A$6:A394,RaporTarihi),"")</f>
        <v/>
      </c>
    </row>
    <row r="395">
      <c r="A395" s="23" t="n"/>
      <c r="B395" s="22" t="n"/>
      <c r="C395" s="22" t="n"/>
      <c r="D395" s="24" t="n"/>
      <c r="E395" s="22" t="n"/>
      <c r="F395" s="22" t="n"/>
      <c r="G395" s="25">
        <f>IF(COUNTA(A395:F395)=0,"",IF(OR(A395="",B395="",C395="",D395="",E395=""),"HATA: eksik bilgi",IF(OR(NOT(ISNUMBER(A395)),NOT(ISNUMBER(D395)),D395&lt;=0),"HATA: tarih/tutar geçersiz",IF(C395&lt;&gt;TRIM(C395),"HATA: isimde baştaki/sondaki boşluk",IF(COUNTIF(TurAralik,E395)=0,"HATA: ödeme türü geçersiz",IF(COUNTIFS(kOda,B395,kGiris,"&lt;="&amp;A395,kCikis,"&gt;="&amp;A395,kDurum,"&lt;&gt;İptal")=0,"HATA: bu odada o tarihte misafir yok","OK"))))))</f>
        <v/>
      </c>
      <c r="H395" s="25">
        <f>IF(AND(ISNUMBER(A395),A395=RaporTarihi),COUNTIFS($A$6:A395,RaporTarihi),"")</f>
        <v/>
      </c>
    </row>
    <row r="396">
      <c r="A396" s="23" t="n"/>
      <c r="B396" s="22" t="n"/>
      <c r="C396" s="22" t="n"/>
      <c r="D396" s="24" t="n"/>
      <c r="E396" s="22" t="n"/>
      <c r="F396" s="22" t="n"/>
      <c r="G396" s="25">
        <f>IF(COUNTA(A396:F396)=0,"",IF(OR(A396="",B396="",C396="",D396="",E396=""),"HATA: eksik bilgi",IF(OR(NOT(ISNUMBER(A396)),NOT(ISNUMBER(D396)),D396&lt;=0),"HATA: tarih/tutar geçersiz",IF(C396&lt;&gt;TRIM(C396),"HATA: isimde baştaki/sondaki boşluk",IF(COUNTIF(TurAralik,E396)=0,"HATA: ödeme türü geçersiz",IF(COUNTIFS(kOda,B396,kGiris,"&lt;="&amp;A396,kCikis,"&gt;="&amp;A396,kDurum,"&lt;&gt;İptal")=0,"HATA: bu odada o tarihte misafir yok","OK"))))))</f>
        <v/>
      </c>
      <c r="H396" s="25">
        <f>IF(AND(ISNUMBER(A396),A396=RaporTarihi),COUNTIFS($A$6:A396,RaporTarihi),"")</f>
        <v/>
      </c>
    </row>
    <row r="397">
      <c r="A397" s="23" t="n"/>
      <c r="B397" s="22" t="n"/>
      <c r="C397" s="22" t="n"/>
      <c r="D397" s="24" t="n"/>
      <c r="E397" s="22" t="n"/>
      <c r="F397" s="22" t="n"/>
      <c r="G397" s="25">
        <f>IF(COUNTA(A397:F397)=0,"",IF(OR(A397="",B397="",C397="",D397="",E397=""),"HATA: eksik bilgi",IF(OR(NOT(ISNUMBER(A397)),NOT(ISNUMBER(D397)),D397&lt;=0),"HATA: tarih/tutar geçersiz",IF(C397&lt;&gt;TRIM(C397),"HATA: isimde baştaki/sondaki boşluk",IF(COUNTIF(TurAralik,E397)=0,"HATA: ödeme türü geçersiz",IF(COUNTIFS(kOda,B397,kGiris,"&lt;="&amp;A397,kCikis,"&gt;="&amp;A397,kDurum,"&lt;&gt;İptal")=0,"HATA: bu odada o tarihte misafir yok","OK"))))))</f>
        <v/>
      </c>
      <c r="H397" s="25">
        <f>IF(AND(ISNUMBER(A397),A397=RaporTarihi),COUNTIFS($A$6:A397,RaporTarihi),"")</f>
        <v/>
      </c>
    </row>
    <row r="398">
      <c r="A398" s="23" t="n"/>
      <c r="B398" s="22" t="n"/>
      <c r="C398" s="22" t="n"/>
      <c r="D398" s="24" t="n"/>
      <c r="E398" s="22" t="n"/>
      <c r="F398" s="22" t="n"/>
      <c r="G398" s="25">
        <f>IF(COUNTA(A398:F398)=0,"",IF(OR(A398="",B398="",C398="",D398="",E398=""),"HATA: eksik bilgi",IF(OR(NOT(ISNUMBER(A398)),NOT(ISNUMBER(D398)),D398&lt;=0),"HATA: tarih/tutar geçersiz",IF(C398&lt;&gt;TRIM(C398),"HATA: isimde baştaki/sondaki boşluk",IF(COUNTIF(TurAralik,E398)=0,"HATA: ödeme türü geçersiz",IF(COUNTIFS(kOda,B398,kGiris,"&lt;="&amp;A398,kCikis,"&gt;="&amp;A398,kDurum,"&lt;&gt;İptal")=0,"HATA: bu odada o tarihte misafir yok","OK"))))))</f>
        <v/>
      </c>
      <c r="H398" s="25">
        <f>IF(AND(ISNUMBER(A398),A398=RaporTarihi),COUNTIFS($A$6:A398,RaporTarihi),"")</f>
        <v/>
      </c>
    </row>
    <row r="399">
      <c r="A399" s="23" t="n"/>
      <c r="B399" s="22" t="n"/>
      <c r="C399" s="22" t="n"/>
      <c r="D399" s="24" t="n"/>
      <c r="E399" s="22" t="n"/>
      <c r="F399" s="22" t="n"/>
      <c r="G399" s="25">
        <f>IF(COUNTA(A399:F399)=0,"",IF(OR(A399="",B399="",C399="",D399="",E399=""),"HATA: eksik bilgi",IF(OR(NOT(ISNUMBER(A399)),NOT(ISNUMBER(D399)),D399&lt;=0),"HATA: tarih/tutar geçersiz",IF(C399&lt;&gt;TRIM(C399),"HATA: isimde baştaki/sondaki boşluk",IF(COUNTIF(TurAralik,E399)=0,"HATA: ödeme türü geçersiz",IF(COUNTIFS(kOda,B399,kGiris,"&lt;="&amp;A399,kCikis,"&gt;="&amp;A399,kDurum,"&lt;&gt;İptal")=0,"HATA: bu odada o tarihte misafir yok","OK"))))))</f>
        <v/>
      </c>
      <c r="H399" s="25">
        <f>IF(AND(ISNUMBER(A399),A399=RaporTarihi),COUNTIFS($A$6:A399,RaporTarihi),"")</f>
        <v/>
      </c>
    </row>
    <row r="400">
      <c r="A400" s="23" t="n"/>
      <c r="B400" s="22" t="n"/>
      <c r="C400" s="22" t="n"/>
      <c r="D400" s="24" t="n"/>
      <c r="E400" s="22" t="n"/>
      <c r="F400" s="22" t="n"/>
      <c r="G400" s="25">
        <f>IF(COUNTA(A400:F400)=0,"",IF(OR(A400="",B400="",C400="",D400="",E400=""),"HATA: eksik bilgi",IF(OR(NOT(ISNUMBER(A400)),NOT(ISNUMBER(D400)),D400&lt;=0),"HATA: tarih/tutar geçersiz",IF(C400&lt;&gt;TRIM(C400),"HATA: isimde baştaki/sondaki boşluk",IF(COUNTIF(TurAralik,E400)=0,"HATA: ödeme türü geçersiz",IF(COUNTIFS(kOda,B400,kGiris,"&lt;="&amp;A400,kCikis,"&gt;="&amp;A400,kDurum,"&lt;&gt;İptal")=0,"HATA: bu odada o tarihte misafir yok","OK"))))))</f>
        <v/>
      </c>
      <c r="H400" s="25">
        <f>IF(AND(ISNUMBER(A400),A400=RaporTarihi),COUNTIFS($A$6:A400,RaporTarihi),"")</f>
        <v/>
      </c>
    </row>
    <row r="401">
      <c r="A401" s="23" t="n"/>
      <c r="B401" s="22" t="n"/>
      <c r="C401" s="22" t="n"/>
      <c r="D401" s="24" t="n"/>
      <c r="E401" s="22" t="n"/>
      <c r="F401" s="22" t="n"/>
      <c r="G401" s="25">
        <f>IF(COUNTA(A401:F401)=0,"",IF(OR(A401="",B401="",C401="",D401="",E401=""),"HATA: eksik bilgi",IF(OR(NOT(ISNUMBER(A401)),NOT(ISNUMBER(D401)),D401&lt;=0),"HATA: tarih/tutar geçersiz",IF(C401&lt;&gt;TRIM(C401),"HATA: isimde baştaki/sondaki boşluk",IF(COUNTIF(TurAralik,E401)=0,"HATA: ödeme türü geçersiz",IF(COUNTIFS(kOda,B401,kGiris,"&lt;="&amp;A401,kCikis,"&gt;="&amp;A401,kDurum,"&lt;&gt;İptal")=0,"HATA: bu odada o tarihte misafir yok","OK"))))))</f>
        <v/>
      </c>
      <c r="H401" s="25">
        <f>IF(AND(ISNUMBER(A401),A401=RaporTarihi),COUNTIFS($A$6:A401,RaporTarihi),"")</f>
        <v/>
      </c>
    </row>
    <row r="402">
      <c r="A402" s="23" t="n"/>
      <c r="B402" s="22" t="n"/>
      <c r="C402" s="22" t="n"/>
      <c r="D402" s="24" t="n"/>
      <c r="E402" s="22" t="n"/>
      <c r="F402" s="22" t="n"/>
      <c r="G402" s="25">
        <f>IF(COUNTA(A402:F402)=0,"",IF(OR(A402="",B402="",C402="",D402="",E402=""),"HATA: eksik bilgi",IF(OR(NOT(ISNUMBER(A402)),NOT(ISNUMBER(D402)),D402&lt;=0),"HATA: tarih/tutar geçersiz",IF(C402&lt;&gt;TRIM(C402),"HATA: isimde baştaki/sondaki boşluk",IF(COUNTIF(TurAralik,E402)=0,"HATA: ödeme türü geçersiz",IF(COUNTIFS(kOda,B402,kGiris,"&lt;="&amp;A402,kCikis,"&gt;="&amp;A402,kDurum,"&lt;&gt;İptal")=0,"HATA: bu odada o tarihte misafir yok","OK"))))))</f>
        <v/>
      </c>
      <c r="H402" s="25">
        <f>IF(AND(ISNUMBER(A402),A402=RaporTarihi),COUNTIFS($A$6:A402,RaporTarihi),"")</f>
        <v/>
      </c>
    </row>
    <row r="403">
      <c r="A403" s="23" t="n"/>
      <c r="B403" s="22" t="n"/>
      <c r="C403" s="22" t="n"/>
      <c r="D403" s="24" t="n"/>
      <c r="E403" s="22" t="n"/>
      <c r="F403" s="22" t="n"/>
      <c r="G403" s="25">
        <f>IF(COUNTA(A403:F403)=0,"",IF(OR(A403="",B403="",C403="",D403="",E403=""),"HATA: eksik bilgi",IF(OR(NOT(ISNUMBER(A403)),NOT(ISNUMBER(D403)),D403&lt;=0),"HATA: tarih/tutar geçersiz",IF(C403&lt;&gt;TRIM(C403),"HATA: isimde baştaki/sondaki boşluk",IF(COUNTIF(TurAralik,E403)=0,"HATA: ödeme türü geçersiz",IF(COUNTIFS(kOda,B403,kGiris,"&lt;="&amp;A403,kCikis,"&gt;="&amp;A403,kDurum,"&lt;&gt;İptal")=0,"HATA: bu odada o tarihte misafir yok","OK"))))))</f>
        <v/>
      </c>
      <c r="H403" s="25">
        <f>IF(AND(ISNUMBER(A403),A403=RaporTarihi),COUNTIFS($A$6:A403,RaporTarihi),"")</f>
        <v/>
      </c>
    </row>
    <row r="404">
      <c r="A404" s="23" t="n"/>
      <c r="B404" s="22" t="n"/>
      <c r="C404" s="22" t="n"/>
      <c r="D404" s="24" t="n"/>
      <c r="E404" s="22" t="n"/>
      <c r="F404" s="22" t="n"/>
      <c r="G404" s="25">
        <f>IF(COUNTA(A404:F404)=0,"",IF(OR(A404="",B404="",C404="",D404="",E404=""),"HATA: eksik bilgi",IF(OR(NOT(ISNUMBER(A404)),NOT(ISNUMBER(D404)),D404&lt;=0),"HATA: tarih/tutar geçersiz",IF(C404&lt;&gt;TRIM(C404),"HATA: isimde baştaki/sondaki boşluk",IF(COUNTIF(TurAralik,E404)=0,"HATA: ödeme türü geçersiz",IF(COUNTIFS(kOda,B404,kGiris,"&lt;="&amp;A404,kCikis,"&gt;="&amp;A404,kDurum,"&lt;&gt;İptal")=0,"HATA: bu odada o tarihte misafir yok","OK"))))))</f>
        <v/>
      </c>
      <c r="H404" s="25">
        <f>IF(AND(ISNUMBER(A404),A404=RaporTarihi),COUNTIFS($A$6:A404,RaporTarihi),"")</f>
        <v/>
      </c>
    </row>
    <row r="405">
      <c r="A405" s="23" t="n"/>
      <c r="B405" s="22" t="n"/>
      <c r="C405" s="22" t="n"/>
      <c r="D405" s="24" t="n"/>
      <c r="E405" s="22" t="n"/>
      <c r="F405" s="22" t="n"/>
      <c r="G405" s="25">
        <f>IF(COUNTA(A405:F405)=0,"",IF(OR(A405="",B405="",C405="",D405="",E405=""),"HATA: eksik bilgi",IF(OR(NOT(ISNUMBER(A405)),NOT(ISNUMBER(D405)),D405&lt;=0),"HATA: tarih/tutar geçersiz",IF(C405&lt;&gt;TRIM(C405),"HATA: isimde baştaki/sondaki boşluk",IF(COUNTIF(TurAralik,E405)=0,"HATA: ödeme türü geçersiz",IF(COUNTIFS(kOda,B405,kGiris,"&lt;="&amp;A405,kCikis,"&gt;="&amp;A405,kDurum,"&lt;&gt;İptal")=0,"HATA: bu odada o tarihte misafir yok","OK"))))))</f>
        <v/>
      </c>
      <c r="H405" s="25">
        <f>IF(AND(ISNUMBER(A405),A405=RaporTarihi),COUNTIFS($A$6:A405,RaporTarihi),"")</f>
        <v/>
      </c>
    </row>
    <row r="406">
      <c r="A406" s="23" t="n"/>
      <c r="B406" s="22" t="n"/>
      <c r="C406" s="22" t="n"/>
      <c r="D406" s="24" t="n"/>
      <c r="E406" s="22" t="n"/>
      <c r="F406" s="22" t="n"/>
      <c r="G406" s="25">
        <f>IF(COUNTA(A406:F406)=0,"",IF(OR(A406="",B406="",C406="",D406="",E406=""),"HATA: eksik bilgi",IF(OR(NOT(ISNUMBER(A406)),NOT(ISNUMBER(D406)),D406&lt;=0),"HATA: tarih/tutar geçersiz",IF(C406&lt;&gt;TRIM(C406),"HATA: isimde baştaki/sondaki boşluk",IF(COUNTIF(TurAralik,E406)=0,"HATA: ödeme türü geçersiz",IF(COUNTIFS(kOda,B406,kGiris,"&lt;="&amp;A406,kCikis,"&gt;="&amp;A406,kDurum,"&lt;&gt;İptal")=0,"HATA: bu odada o tarihte misafir yok","OK"))))))</f>
        <v/>
      </c>
      <c r="H406" s="25">
        <f>IF(AND(ISNUMBER(A406),A406=RaporTarihi),COUNTIFS($A$6:A406,RaporTarihi),"")</f>
        <v/>
      </c>
    </row>
    <row r="407">
      <c r="A407" s="23" t="n"/>
      <c r="B407" s="22" t="n"/>
      <c r="C407" s="22" t="n"/>
      <c r="D407" s="24" t="n"/>
      <c r="E407" s="22" t="n"/>
      <c r="F407" s="22" t="n"/>
      <c r="G407" s="25">
        <f>IF(COUNTA(A407:F407)=0,"",IF(OR(A407="",B407="",C407="",D407="",E407=""),"HATA: eksik bilgi",IF(OR(NOT(ISNUMBER(A407)),NOT(ISNUMBER(D407)),D407&lt;=0),"HATA: tarih/tutar geçersiz",IF(C407&lt;&gt;TRIM(C407),"HATA: isimde baştaki/sondaki boşluk",IF(COUNTIF(TurAralik,E407)=0,"HATA: ödeme türü geçersiz",IF(COUNTIFS(kOda,B407,kGiris,"&lt;="&amp;A407,kCikis,"&gt;="&amp;A407,kDurum,"&lt;&gt;İptal")=0,"HATA: bu odada o tarihte misafir yok","OK"))))))</f>
        <v/>
      </c>
      <c r="H407" s="25">
        <f>IF(AND(ISNUMBER(A407),A407=RaporTarihi),COUNTIFS($A$6:A407,RaporTarihi),"")</f>
        <v/>
      </c>
    </row>
    <row r="408">
      <c r="A408" s="23" t="n"/>
      <c r="B408" s="22" t="n"/>
      <c r="C408" s="22" t="n"/>
      <c r="D408" s="24" t="n"/>
      <c r="E408" s="22" t="n"/>
      <c r="F408" s="22" t="n"/>
      <c r="G408" s="25">
        <f>IF(COUNTA(A408:F408)=0,"",IF(OR(A408="",B408="",C408="",D408="",E408=""),"HATA: eksik bilgi",IF(OR(NOT(ISNUMBER(A408)),NOT(ISNUMBER(D408)),D408&lt;=0),"HATA: tarih/tutar geçersiz",IF(C408&lt;&gt;TRIM(C408),"HATA: isimde baştaki/sondaki boşluk",IF(COUNTIF(TurAralik,E408)=0,"HATA: ödeme türü geçersiz",IF(COUNTIFS(kOda,B408,kGiris,"&lt;="&amp;A408,kCikis,"&gt;="&amp;A408,kDurum,"&lt;&gt;İptal")=0,"HATA: bu odada o tarihte misafir yok","OK"))))))</f>
        <v/>
      </c>
      <c r="H408" s="25">
        <f>IF(AND(ISNUMBER(A408),A408=RaporTarihi),COUNTIFS($A$6:A408,RaporTarihi),"")</f>
        <v/>
      </c>
    </row>
    <row r="409">
      <c r="A409" s="23" t="n"/>
      <c r="B409" s="22" t="n"/>
      <c r="C409" s="22" t="n"/>
      <c r="D409" s="24" t="n"/>
      <c r="E409" s="22" t="n"/>
      <c r="F409" s="22" t="n"/>
      <c r="G409" s="25">
        <f>IF(COUNTA(A409:F409)=0,"",IF(OR(A409="",B409="",C409="",D409="",E409=""),"HATA: eksik bilgi",IF(OR(NOT(ISNUMBER(A409)),NOT(ISNUMBER(D409)),D409&lt;=0),"HATA: tarih/tutar geçersiz",IF(C409&lt;&gt;TRIM(C409),"HATA: isimde baştaki/sondaki boşluk",IF(COUNTIF(TurAralik,E409)=0,"HATA: ödeme türü geçersiz",IF(COUNTIFS(kOda,B409,kGiris,"&lt;="&amp;A409,kCikis,"&gt;="&amp;A409,kDurum,"&lt;&gt;İptal")=0,"HATA: bu odada o tarihte misafir yok","OK"))))))</f>
        <v/>
      </c>
      <c r="H409" s="25">
        <f>IF(AND(ISNUMBER(A409),A409=RaporTarihi),COUNTIFS($A$6:A409,RaporTarihi),"")</f>
        <v/>
      </c>
    </row>
    <row r="410">
      <c r="A410" s="23" t="n"/>
      <c r="B410" s="22" t="n"/>
      <c r="C410" s="22" t="n"/>
      <c r="D410" s="24" t="n"/>
      <c r="E410" s="22" t="n"/>
      <c r="F410" s="22" t="n"/>
      <c r="G410" s="25">
        <f>IF(COUNTA(A410:F410)=0,"",IF(OR(A410="",B410="",C410="",D410="",E410=""),"HATA: eksik bilgi",IF(OR(NOT(ISNUMBER(A410)),NOT(ISNUMBER(D410)),D410&lt;=0),"HATA: tarih/tutar geçersiz",IF(C410&lt;&gt;TRIM(C410),"HATA: isimde baştaki/sondaki boşluk",IF(COUNTIF(TurAralik,E410)=0,"HATA: ödeme türü geçersiz",IF(COUNTIFS(kOda,B410,kGiris,"&lt;="&amp;A410,kCikis,"&gt;="&amp;A410,kDurum,"&lt;&gt;İptal")=0,"HATA: bu odada o tarihte misafir yok","OK"))))))</f>
        <v/>
      </c>
      <c r="H410" s="25">
        <f>IF(AND(ISNUMBER(A410),A410=RaporTarihi),COUNTIFS($A$6:A410,RaporTarihi),"")</f>
        <v/>
      </c>
    </row>
    <row r="411">
      <c r="A411" s="23" t="n"/>
      <c r="B411" s="22" t="n"/>
      <c r="C411" s="22" t="n"/>
      <c r="D411" s="24" t="n"/>
      <c r="E411" s="22" t="n"/>
      <c r="F411" s="22" t="n"/>
      <c r="G411" s="25">
        <f>IF(COUNTA(A411:F411)=0,"",IF(OR(A411="",B411="",C411="",D411="",E411=""),"HATA: eksik bilgi",IF(OR(NOT(ISNUMBER(A411)),NOT(ISNUMBER(D411)),D411&lt;=0),"HATA: tarih/tutar geçersiz",IF(C411&lt;&gt;TRIM(C411),"HATA: isimde baştaki/sondaki boşluk",IF(COUNTIF(TurAralik,E411)=0,"HATA: ödeme türü geçersiz",IF(COUNTIFS(kOda,B411,kGiris,"&lt;="&amp;A411,kCikis,"&gt;="&amp;A411,kDurum,"&lt;&gt;İptal")=0,"HATA: bu odada o tarihte misafir yok","OK"))))))</f>
        <v/>
      </c>
      <c r="H411" s="25">
        <f>IF(AND(ISNUMBER(A411),A411=RaporTarihi),COUNTIFS($A$6:A411,RaporTarihi),"")</f>
        <v/>
      </c>
    </row>
    <row r="412">
      <c r="A412" s="23" t="n"/>
      <c r="B412" s="22" t="n"/>
      <c r="C412" s="22" t="n"/>
      <c r="D412" s="24" t="n"/>
      <c r="E412" s="22" t="n"/>
      <c r="F412" s="22" t="n"/>
      <c r="G412" s="25">
        <f>IF(COUNTA(A412:F412)=0,"",IF(OR(A412="",B412="",C412="",D412="",E412=""),"HATA: eksik bilgi",IF(OR(NOT(ISNUMBER(A412)),NOT(ISNUMBER(D412)),D412&lt;=0),"HATA: tarih/tutar geçersiz",IF(C412&lt;&gt;TRIM(C412),"HATA: isimde baştaki/sondaki boşluk",IF(COUNTIF(TurAralik,E412)=0,"HATA: ödeme türü geçersiz",IF(COUNTIFS(kOda,B412,kGiris,"&lt;="&amp;A412,kCikis,"&gt;="&amp;A412,kDurum,"&lt;&gt;İptal")=0,"HATA: bu odada o tarihte misafir yok","OK"))))))</f>
        <v/>
      </c>
      <c r="H412" s="25">
        <f>IF(AND(ISNUMBER(A412),A412=RaporTarihi),COUNTIFS($A$6:A412,RaporTarihi),"")</f>
        <v/>
      </c>
    </row>
    <row r="413">
      <c r="A413" s="23" t="n"/>
      <c r="B413" s="22" t="n"/>
      <c r="C413" s="22" t="n"/>
      <c r="D413" s="24" t="n"/>
      <c r="E413" s="22" t="n"/>
      <c r="F413" s="22" t="n"/>
      <c r="G413" s="25">
        <f>IF(COUNTA(A413:F413)=0,"",IF(OR(A413="",B413="",C413="",D413="",E413=""),"HATA: eksik bilgi",IF(OR(NOT(ISNUMBER(A413)),NOT(ISNUMBER(D413)),D413&lt;=0),"HATA: tarih/tutar geçersiz",IF(C413&lt;&gt;TRIM(C413),"HATA: isimde baştaki/sondaki boşluk",IF(COUNTIF(TurAralik,E413)=0,"HATA: ödeme türü geçersiz",IF(COUNTIFS(kOda,B413,kGiris,"&lt;="&amp;A413,kCikis,"&gt;="&amp;A413,kDurum,"&lt;&gt;İptal")=0,"HATA: bu odada o tarihte misafir yok","OK"))))))</f>
        <v/>
      </c>
      <c r="H413" s="25">
        <f>IF(AND(ISNUMBER(A413),A413=RaporTarihi),COUNTIFS($A$6:A413,RaporTarihi),"")</f>
        <v/>
      </c>
    </row>
    <row r="414">
      <c r="A414" s="23" t="n"/>
      <c r="B414" s="22" t="n"/>
      <c r="C414" s="22" t="n"/>
      <c r="D414" s="24" t="n"/>
      <c r="E414" s="22" t="n"/>
      <c r="F414" s="22" t="n"/>
      <c r="G414" s="25">
        <f>IF(COUNTA(A414:F414)=0,"",IF(OR(A414="",B414="",C414="",D414="",E414=""),"HATA: eksik bilgi",IF(OR(NOT(ISNUMBER(A414)),NOT(ISNUMBER(D414)),D414&lt;=0),"HATA: tarih/tutar geçersiz",IF(C414&lt;&gt;TRIM(C414),"HATA: isimde baştaki/sondaki boşluk",IF(COUNTIF(TurAralik,E414)=0,"HATA: ödeme türü geçersiz",IF(COUNTIFS(kOda,B414,kGiris,"&lt;="&amp;A414,kCikis,"&gt;="&amp;A414,kDurum,"&lt;&gt;İptal")=0,"HATA: bu odada o tarihte misafir yok","OK"))))))</f>
        <v/>
      </c>
      <c r="H414" s="25">
        <f>IF(AND(ISNUMBER(A414),A414=RaporTarihi),COUNTIFS($A$6:A414,RaporTarihi),"")</f>
        <v/>
      </c>
    </row>
    <row r="415">
      <c r="A415" s="23" t="n"/>
      <c r="B415" s="22" t="n"/>
      <c r="C415" s="22" t="n"/>
      <c r="D415" s="24" t="n"/>
      <c r="E415" s="22" t="n"/>
      <c r="F415" s="22" t="n"/>
      <c r="G415" s="25">
        <f>IF(COUNTA(A415:F415)=0,"",IF(OR(A415="",B415="",C415="",D415="",E415=""),"HATA: eksik bilgi",IF(OR(NOT(ISNUMBER(A415)),NOT(ISNUMBER(D415)),D415&lt;=0),"HATA: tarih/tutar geçersiz",IF(C415&lt;&gt;TRIM(C415),"HATA: isimde baştaki/sondaki boşluk",IF(COUNTIF(TurAralik,E415)=0,"HATA: ödeme türü geçersiz",IF(COUNTIFS(kOda,B415,kGiris,"&lt;="&amp;A415,kCikis,"&gt;="&amp;A415,kDurum,"&lt;&gt;İptal")=0,"HATA: bu odada o tarihte misafir yok","OK"))))))</f>
        <v/>
      </c>
      <c r="H415" s="25">
        <f>IF(AND(ISNUMBER(A415),A415=RaporTarihi),COUNTIFS($A$6:A415,RaporTarihi),"")</f>
        <v/>
      </c>
    </row>
    <row r="416">
      <c r="A416" s="23" t="n"/>
      <c r="B416" s="22" t="n"/>
      <c r="C416" s="22" t="n"/>
      <c r="D416" s="24" t="n"/>
      <c r="E416" s="22" t="n"/>
      <c r="F416" s="22" t="n"/>
      <c r="G416" s="25">
        <f>IF(COUNTA(A416:F416)=0,"",IF(OR(A416="",B416="",C416="",D416="",E416=""),"HATA: eksik bilgi",IF(OR(NOT(ISNUMBER(A416)),NOT(ISNUMBER(D416)),D416&lt;=0),"HATA: tarih/tutar geçersiz",IF(C416&lt;&gt;TRIM(C416),"HATA: isimde baştaki/sondaki boşluk",IF(COUNTIF(TurAralik,E416)=0,"HATA: ödeme türü geçersiz",IF(COUNTIFS(kOda,B416,kGiris,"&lt;="&amp;A416,kCikis,"&gt;="&amp;A416,kDurum,"&lt;&gt;İptal")=0,"HATA: bu odada o tarihte misafir yok","OK"))))))</f>
        <v/>
      </c>
      <c r="H416" s="25">
        <f>IF(AND(ISNUMBER(A416),A416=RaporTarihi),COUNTIFS($A$6:A416,RaporTarihi),"")</f>
        <v/>
      </c>
    </row>
    <row r="417">
      <c r="A417" s="23" t="n"/>
      <c r="B417" s="22" t="n"/>
      <c r="C417" s="22" t="n"/>
      <c r="D417" s="24" t="n"/>
      <c r="E417" s="22" t="n"/>
      <c r="F417" s="22" t="n"/>
      <c r="G417" s="25">
        <f>IF(COUNTA(A417:F417)=0,"",IF(OR(A417="",B417="",C417="",D417="",E417=""),"HATA: eksik bilgi",IF(OR(NOT(ISNUMBER(A417)),NOT(ISNUMBER(D417)),D417&lt;=0),"HATA: tarih/tutar geçersiz",IF(C417&lt;&gt;TRIM(C417),"HATA: isimde baştaki/sondaki boşluk",IF(COUNTIF(TurAralik,E417)=0,"HATA: ödeme türü geçersiz",IF(COUNTIFS(kOda,B417,kGiris,"&lt;="&amp;A417,kCikis,"&gt;="&amp;A417,kDurum,"&lt;&gt;İptal")=0,"HATA: bu odada o tarihte misafir yok","OK"))))))</f>
        <v/>
      </c>
      <c r="H417" s="25">
        <f>IF(AND(ISNUMBER(A417),A417=RaporTarihi),COUNTIFS($A$6:A417,RaporTarihi),"")</f>
        <v/>
      </c>
    </row>
    <row r="418">
      <c r="A418" s="23" t="n"/>
      <c r="B418" s="22" t="n"/>
      <c r="C418" s="22" t="n"/>
      <c r="D418" s="24" t="n"/>
      <c r="E418" s="22" t="n"/>
      <c r="F418" s="22" t="n"/>
      <c r="G418" s="25">
        <f>IF(COUNTA(A418:F418)=0,"",IF(OR(A418="",B418="",C418="",D418="",E418=""),"HATA: eksik bilgi",IF(OR(NOT(ISNUMBER(A418)),NOT(ISNUMBER(D418)),D418&lt;=0),"HATA: tarih/tutar geçersiz",IF(C418&lt;&gt;TRIM(C418),"HATA: isimde baştaki/sondaki boşluk",IF(COUNTIF(TurAralik,E418)=0,"HATA: ödeme türü geçersiz",IF(COUNTIFS(kOda,B418,kGiris,"&lt;="&amp;A418,kCikis,"&gt;="&amp;A418,kDurum,"&lt;&gt;İptal")=0,"HATA: bu odada o tarihte misafir yok","OK"))))))</f>
        <v/>
      </c>
      <c r="H418" s="25">
        <f>IF(AND(ISNUMBER(A418),A418=RaporTarihi),COUNTIFS($A$6:A418,RaporTarihi),"")</f>
        <v/>
      </c>
    </row>
    <row r="419">
      <c r="A419" s="23" t="n"/>
      <c r="B419" s="22" t="n"/>
      <c r="C419" s="22" t="n"/>
      <c r="D419" s="24" t="n"/>
      <c r="E419" s="22" t="n"/>
      <c r="F419" s="22" t="n"/>
      <c r="G419" s="25">
        <f>IF(COUNTA(A419:F419)=0,"",IF(OR(A419="",B419="",C419="",D419="",E419=""),"HATA: eksik bilgi",IF(OR(NOT(ISNUMBER(A419)),NOT(ISNUMBER(D419)),D419&lt;=0),"HATA: tarih/tutar geçersiz",IF(C419&lt;&gt;TRIM(C419),"HATA: isimde baştaki/sondaki boşluk",IF(COUNTIF(TurAralik,E419)=0,"HATA: ödeme türü geçersiz",IF(COUNTIFS(kOda,B419,kGiris,"&lt;="&amp;A419,kCikis,"&gt;="&amp;A419,kDurum,"&lt;&gt;İptal")=0,"HATA: bu odada o tarihte misafir yok","OK"))))))</f>
        <v/>
      </c>
      <c r="H419" s="25">
        <f>IF(AND(ISNUMBER(A419),A419=RaporTarihi),COUNTIFS($A$6:A419,RaporTarihi),"")</f>
        <v/>
      </c>
    </row>
    <row r="420">
      <c r="A420" s="23" t="n"/>
      <c r="B420" s="22" t="n"/>
      <c r="C420" s="22" t="n"/>
      <c r="D420" s="24" t="n"/>
      <c r="E420" s="22" t="n"/>
      <c r="F420" s="22" t="n"/>
      <c r="G420" s="25">
        <f>IF(COUNTA(A420:F420)=0,"",IF(OR(A420="",B420="",C420="",D420="",E420=""),"HATA: eksik bilgi",IF(OR(NOT(ISNUMBER(A420)),NOT(ISNUMBER(D420)),D420&lt;=0),"HATA: tarih/tutar geçersiz",IF(C420&lt;&gt;TRIM(C420),"HATA: isimde baştaki/sondaki boşluk",IF(COUNTIF(TurAralik,E420)=0,"HATA: ödeme türü geçersiz",IF(COUNTIFS(kOda,B420,kGiris,"&lt;="&amp;A420,kCikis,"&gt;="&amp;A420,kDurum,"&lt;&gt;İptal")=0,"HATA: bu odada o tarihte misafir yok","OK"))))))</f>
        <v/>
      </c>
      <c r="H420" s="25">
        <f>IF(AND(ISNUMBER(A420),A420=RaporTarihi),COUNTIFS($A$6:A420,RaporTarihi),"")</f>
        <v/>
      </c>
    </row>
    <row r="421">
      <c r="A421" s="23" t="n"/>
      <c r="B421" s="22" t="n"/>
      <c r="C421" s="22" t="n"/>
      <c r="D421" s="24" t="n"/>
      <c r="E421" s="22" t="n"/>
      <c r="F421" s="22" t="n"/>
      <c r="G421" s="25">
        <f>IF(COUNTA(A421:F421)=0,"",IF(OR(A421="",B421="",C421="",D421="",E421=""),"HATA: eksik bilgi",IF(OR(NOT(ISNUMBER(A421)),NOT(ISNUMBER(D421)),D421&lt;=0),"HATA: tarih/tutar geçersiz",IF(C421&lt;&gt;TRIM(C421),"HATA: isimde baştaki/sondaki boşluk",IF(COUNTIF(TurAralik,E421)=0,"HATA: ödeme türü geçersiz",IF(COUNTIFS(kOda,B421,kGiris,"&lt;="&amp;A421,kCikis,"&gt;="&amp;A421,kDurum,"&lt;&gt;İptal")=0,"HATA: bu odada o tarihte misafir yok","OK"))))))</f>
        <v/>
      </c>
      <c r="H421" s="25">
        <f>IF(AND(ISNUMBER(A421),A421=RaporTarihi),COUNTIFS($A$6:A421,RaporTarihi),"")</f>
        <v/>
      </c>
    </row>
    <row r="422">
      <c r="A422" s="23" t="n"/>
      <c r="B422" s="22" t="n"/>
      <c r="C422" s="22" t="n"/>
      <c r="D422" s="24" t="n"/>
      <c r="E422" s="22" t="n"/>
      <c r="F422" s="22" t="n"/>
      <c r="G422" s="25">
        <f>IF(COUNTA(A422:F422)=0,"",IF(OR(A422="",B422="",C422="",D422="",E422=""),"HATA: eksik bilgi",IF(OR(NOT(ISNUMBER(A422)),NOT(ISNUMBER(D422)),D422&lt;=0),"HATA: tarih/tutar geçersiz",IF(C422&lt;&gt;TRIM(C422),"HATA: isimde baştaki/sondaki boşluk",IF(COUNTIF(TurAralik,E422)=0,"HATA: ödeme türü geçersiz",IF(COUNTIFS(kOda,B422,kGiris,"&lt;="&amp;A422,kCikis,"&gt;="&amp;A422,kDurum,"&lt;&gt;İptal")=0,"HATA: bu odada o tarihte misafir yok","OK"))))))</f>
        <v/>
      </c>
      <c r="H422" s="25">
        <f>IF(AND(ISNUMBER(A422),A422=RaporTarihi),COUNTIFS($A$6:A422,RaporTarihi),"")</f>
        <v/>
      </c>
    </row>
    <row r="423">
      <c r="A423" s="23" t="n"/>
      <c r="B423" s="22" t="n"/>
      <c r="C423" s="22" t="n"/>
      <c r="D423" s="24" t="n"/>
      <c r="E423" s="22" t="n"/>
      <c r="F423" s="22" t="n"/>
      <c r="G423" s="25">
        <f>IF(COUNTA(A423:F423)=0,"",IF(OR(A423="",B423="",C423="",D423="",E423=""),"HATA: eksik bilgi",IF(OR(NOT(ISNUMBER(A423)),NOT(ISNUMBER(D423)),D423&lt;=0),"HATA: tarih/tutar geçersiz",IF(C423&lt;&gt;TRIM(C423),"HATA: isimde baştaki/sondaki boşluk",IF(COUNTIF(TurAralik,E423)=0,"HATA: ödeme türü geçersiz",IF(COUNTIFS(kOda,B423,kGiris,"&lt;="&amp;A423,kCikis,"&gt;="&amp;A423,kDurum,"&lt;&gt;İptal")=0,"HATA: bu odada o tarihte misafir yok","OK"))))))</f>
        <v/>
      </c>
      <c r="H423" s="25">
        <f>IF(AND(ISNUMBER(A423),A423=RaporTarihi),COUNTIFS($A$6:A423,RaporTarihi),"")</f>
        <v/>
      </c>
    </row>
    <row r="424">
      <c r="A424" s="23" t="n"/>
      <c r="B424" s="22" t="n"/>
      <c r="C424" s="22" t="n"/>
      <c r="D424" s="24" t="n"/>
      <c r="E424" s="22" t="n"/>
      <c r="F424" s="22" t="n"/>
      <c r="G424" s="25">
        <f>IF(COUNTA(A424:F424)=0,"",IF(OR(A424="",B424="",C424="",D424="",E424=""),"HATA: eksik bilgi",IF(OR(NOT(ISNUMBER(A424)),NOT(ISNUMBER(D424)),D424&lt;=0),"HATA: tarih/tutar geçersiz",IF(C424&lt;&gt;TRIM(C424),"HATA: isimde baştaki/sondaki boşluk",IF(COUNTIF(TurAralik,E424)=0,"HATA: ödeme türü geçersiz",IF(COUNTIFS(kOda,B424,kGiris,"&lt;="&amp;A424,kCikis,"&gt;="&amp;A424,kDurum,"&lt;&gt;İptal")=0,"HATA: bu odada o tarihte misafir yok","OK"))))))</f>
        <v/>
      </c>
      <c r="H424" s="25">
        <f>IF(AND(ISNUMBER(A424),A424=RaporTarihi),COUNTIFS($A$6:A424,RaporTarihi),"")</f>
        <v/>
      </c>
    </row>
    <row r="425">
      <c r="A425" s="23" t="n"/>
      <c r="B425" s="22" t="n"/>
      <c r="C425" s="22" t="n"/>
      <c r="D425" s="24" t="n"/>
      <c r="E425" s="22" t="n"/>
      <c r="F425" s="22" t="n"/>
      <c r="G425" s="25">
        <f>IF(COUNTA(A425:F425)=0,"",IF(OR(A425="",B425="",C425="",D425="",E425=""),"HATA: eksik bilgi",IF(OR(NOT(ISNUMBER(A425)),NOT(ISNUMBER(D425)),D425&lt;=0),"HATA: tarih/tutar geçersiz",IF(C425&lt;&gt;TRIM(C425),"HATA: isimde baştaki/sondaki boşluk",IF(COUNTIF(TurAralik,E425)=0,"HATA: ödeme türü geçersiz",IF(COUNTIFS(kOda,B425,kGiris,"&lt;="&amp;A425,kCikis,"&gt;="&amp;A425,kDurum,"&lt;&gt;İptal")=0,"HATA: bu odada o tarihte misafir yok","OK"))))))</f>
        <v/>
      </c>
      <c r="H425" s="25">
        <f>IF(AND(ISNUMBER(A425),A425=RaporTarihi),COUNTIFS($A$6:A425,RaporTarihi),"")</f>
        <v/>
      </c>
    </row>
    <row r="426">
      <c r="A426" s="23" t="n"/>
      <c r="B426" s="22" t="n"/>
      <c r="C426" s="22" t="n"/>
      <c r="D426" s="24" t="n"/>
      <c r="E426" s="22" t="n"/>
      <c r="F426" s="22" t="n"/>
      <c r="G426" s="25">
        <f>IF(COUNTA(A426:F426)=0,"",IF(OR(A426="",B426="",C426="",D426="",E426=""),"HATA: eksik bilgi",IF(OR(NOT(ISNUMBER(A426)),NOT(ISNUMBER(D426)),D426&lt;=0),"HATA: tarih/tutar geçersiz",IF(C426&lt;&gt;TRIM(C426),"HATA: isimde baştaki/sondaki boşluk",IF(COUNTIF(TurAralik,E426)=0,"HATA: ödeme türü geçersiz",IF(COUNTIFS(kOda,B426,kGiris,"&lt;="&amp;A426,kCikis,"&gt;="&amp;A426,kDurum,"&lt;&gt;İptal")=0,"HATA: bu odada o tarihte misafir yok","OK"))))))</f>
        <v/>
      </c>
      <c r="H426" s="25">
        <f>IF(AND(ISNUMBER(A426),A426=RaporTarihi),COUNTIFS($A$6:A426,RaporTarihi),"")</f>
        <v/>
      </c>
    </row>
    <row r="427">
      <c r="A427" s="23" t="n"/>
      <c r="B427" s="22" t="n"/>
      <c r="C427" s="22" t="n"/>
      <c r="D427" s="24" t="n"/>
      <c r="E427" s="22" t="n"/>
      <c r="F427" s="22" t="n"/>
      <c r="G427" s="25">
        <f>IF(COUNTA(A427:F427)=0,"",IF(OR(A427="",B427="",C427="",D427="",E427=""),"HATA: eksik bilgi",IF(OR(NOT(ISNUMBER(A427)),NOT(ISNUMBER(D427)),D427&lt;=0),"HATA: tarih/tutar geçersiz",IF(C427&lt;&gt;TRIM(C427),"HATA: isimde baştaki/sondaki boşluk",IF(COUNTIF(TurAralik,E427)=0,"HATA: ödeme türü geçersiz",IF(COUNTIFS(kOda,B427,kGiris,"&lt;="&amp;A427,kCikis,"&gt;="&amp;A427,kDurum,"&lt;&gt;İptal")=0,"HATA: bu odada o tarihte misafir yok","OK"))))))</f>
        <v/>
      </c>
      <c r="H427" s="25">
        <f>IF(AND(ISNUMBER(A427),A427=RaporTarihi),COUNTIFS($A$6:A427,RaporTarihi),"")</f>
        <v/>
      </c>
    </row>
    <row r="428">
      <c r="A428" s="23" t="n"/>
      <c r="B428" s="22" t="n"/>
      <c r="C428" s="22" t="n"/>
      <c r="D428" s="24" t="n"/>
      <c r="E428" s="22" t="n"/>
      <c r="F428" s="22" t="n"/>
      <c r="G428" s="25">
        <f>IF(COUNTA(A428:F428)=0,"",IF(OR(A428="",B428="",C428="",D428="",E428=""),"HATA: eksik bilgi",IF(OR(NOT(ISNUMBER(A428)),NOT(ISNUMBER(D428)),D428&lt;=0),"HATA: tarih/tutar geçersiz",IF(C428&lt;&gt;TRIM(C428),"HATA: isimde baştaki/sondaki boşluk",IF(COUNTIF(TurAralik,E428)=0,"HATA: ödeme türü geçersiz",IF(COUNTIFS(kOda,B428,kGiris,"&lt;="&amp;A428,kCikis,"&gt;="&amp;A428,kDurum,"&lt;&gt;İptal")=0,"HATA: bu odada o tarihte misafir yok","OK"))))))</f>
        <v/>
      </c>
      <c r="H428" s="25">
        <f>IF(AND(ISNUMBER(A428),A428=RaporTarihi),COUNTIFS($A$6:A428,RaporTarihi),"")</f>
        <v/>
      </c>
    </row>
    <row r="429">
      <c r="A429" s="23" t="n"/>
      <c r="B429" s="22" t="n"/>
      <c r="C429" s="22" t="n"/>
      <c r="D429" s="24" t="n"/>
      <c r="E429" s="22" t="n"/>
      <c r="F429" s="22" t="n"/>
      <c r="G429" s="25">
        <f>IF(COUNTA(A429:F429)=0,"",IF(OR(A429="",B429="",C429="",D429="",E429=""),"HATA: eksik bilgi",IF(OR(NOT(ISNUMBER(A429)),NOT(ISNUMBER(D429)),D429&lt;=0),"HATA: tarih/tutar geçersiz",IF(C429&lt;&gt;TRIM(C429),"HATA: isimde baştaki/sondaki boşluk",IF(COUNTIF(TurAralik,E429)=0,"HATA: ödeme türü geçersiz",IF(COUNTIFS(kOda,B429,kGiris,"&lt;="&amp;A429,kCikis,"&gt;="&amp;A429,kDurum,"&lt;&gt;İptal")=0,"HATA: bu odada o tarihte misafir yok","OK"))))))</f>
        <v/>
      </c>
      <c r="H429" s="25">
        <f>IF(AND(ISNUMBER(A429),A429=RaporTarihi),COUNTIFS($A$6:A429,RaporTarihi),"")</f>
        <v/>
      </c>
    </row>
    <row r="430">
      <c r="A430" s="23" t="n"/>
      <c r="B430" s="22" t="n"/>
      <c r="C430" s="22" t="n"/>
      <c r="D430" s="24" t="n"/>
      <c r="E430" s="22" t="n"/>
      <c r="F430" s="22" t="n"/>
      <c r="G430" s="25">
        <f>IF(COUNTA(A430:F430)=0,"",IF(OR(A430="",B430="",C430="",D430="",E430=""),"HATA: eksik bilgi",IF(OR(NOT(ISNUMBER(A430)),NOT(ISNUMBER(D430)),D430&lt;=0),"HATA: tarih/tutar geçersiz",IF(C430&lt;&gt;TRIM(C430),"HATA: isimde baştaki/sondaki boşluk",IF(COUNTIF(TurAralik,E430)=0,"HATA: ödeme türü geçersiz",IF(COUNTIFS(kOda,B430,kGiris,"&lt;="&amp;A430,kCikis,"&gt;="&amp;A430,kDurum,"&lt;&gt;İptal")=0,"HATA: bu odada o tarihte misafir yok","OK"))))))</f>
        <v/>
      </c>
      <c r="H430" s="25">
        <f>IF(AND(ISNUMBER(A430),A430=RaporTarihi),COUNTIFS($A$6:A430,RaporTarihi),"")</f>
        <v/>
      </c>
    </row>
    <row r="431">
      <c r="A431" s="23" t="n"/>
      <c r="B431" s="22" t="n"/>
      <c r="C431" s="22" t="n"/>
      <c r="D431" s="24" t="n"/>
      <c r="E431" s="22" t="n"/>
      <c r="F431" s="22" t="n"/>
      <c r="G431" s="25">
        <f>IF(COUNTA(A431:F431)=0,"",IF(OR(A431="",B431="",C431="",D431="",E431=""),"HATA: eksik bilgi",IF(OR(NOT(ISNUMBER(A431)),NOT(ISNUMBER(D431)),D431&lt;=0),"HATA: tarih/tutar geçersiz",IF(C431&lt;&gt;TRIM(C431),"HATA: isimde baştaki/sondaki boşluk",IF(COUNTIF(TurAralik,E431)=0,"HATA: ödeme türü geçersiz",IF(COUNTIFS(kOda,B431,kGiris,"&lt;="&amp;A431,kCikis,"&gt;="&amp;A431,kDurum,"&lt;&gt;İptal")=0,"HATA: bu odada o tarihte misafir yok","OK"))))))</f>
        <v/>
      </c>
      <c r="H431" s="25">
        <f>IF(AND(ISNUMBER(A431),A431=RaporTarihi),COUNTIFS($A$6:A431,RaporTarihi),"")</f>
        <v/>
      </c>
    </row>
    <row r="432">
      <c r="A432" s="23" t="n"/>
      <c r="B432" s="22" t="n"/>
      <c r="C432" s="22" t="n"/>
      <c r="D432" s="24" t="n"/>
      <c r="E432" s="22" t="n"/>
      <c r="F432" s="22" t="n"/>
      <c r="G432" s="25">
        <f>IF(COUNTA(A432:F432)=0,"",IF(OR(A432="",B432="",C432="",D432="",E432=""),"HATA: eksik bilgi",IF(OR(NOT(ISNUMBER(A432)),NOT(ISNUMBER(D432)),D432&lt;=0),"HATA: tarih/tutar geçersiz",IF(C432&lt;&gt;TRIM(C432),"HATA: isimde baştaki/sondaki boşluk",IF(COUNTIF(TurAralik,E432)=0,"HATA: ödeme türü geçersiz",IF(COUNTIFS(kOda,B432,kGiris,"&lt;="&amp;A432,kCikis,"&gt;="&amp;A432,kDurum,"&lt;&gt;İptal")=0,"HATA: bu odada o tarihte misafir yok","OK"))))))</f>
        <v/>
      </c>
      <c r="H432" s="25">
        <f>IF(AND(ISNUMBER(A432),A432=RaporTarihi),COUNTIFS($A$6:A432,RaporTarihi),"")</f>
        <v/>
      </c>
    </row>
    <row r="433">
      <c r="A433" s="23" t="n"/>
      <c r="B433" s="22" t="n"/>
      <c r="C433" s="22" t="n"/>
      <c r="D433" s="24" t="n"/>
      <c r="E433" s="22" t="n"/>
      <c r="F433" s="22" t="n"/>
      <c r="G433" s="25">
        <f>IF(COUNTA(A433:F433)=0,"",IF(OR(A433="",B433="",C433="",D433="",E433=""),"HATA: eksik bilgi",IF(OR(NOT(ISNUMBER(A433)),NOT(ISNUMBER(D433)),D433&lt;=0),"HATA: tarih/tutar geçersiz",IF(C433&lt;&gt;TRIM(C433),"HATA: isimde baştaki/sondaki boşluk",IF(COUNTIF(TurAralik,E433)=0,"HATA: ödeme türü geçersiz",IF(COUNTIFS(kOda,B433,kGiris,"&lt;="&amp;A433,kCikis,"&gt;="&amp;A433,kDurum,"&lt;&gt;İptal")=0,"HATA: bu odada o tarihte misafir yok","OK"))))))</f>
        <v/>
      </c>
      <c r="H433" s="25">
        <f>IF(AND(ISNUMBER(A433),A433=RaporTarihi),COUNTIFS($A$6:A433,RaporTarihi),"")</f>
        <v/>
      </c>
    </row>
    <row r="434">
      <c r="A434" s="23" t="n"/>
      <c r="B434" s="22" t="n"/>
      <c r="C434" s="22" t="n"/>
      <c r="D434" s="24" t="n"/>
      <c r="E434" s="22" t="n"/>
      <c r="F434" s="22" t="n"/>
      <c r="G434" s="25">
        <f>IF(COUNTA(A434:F434)=0,"",IF(OR(A434="",B434="",C434="",D434="",E434=""),"HATA: eksik bilgi",IF(OR(NOT(ISNUMBER(A434)),NOT(ISNUMBER(D434)),D434&lt;=0),"HATA: tarih/tutar geçersiz",IF(C434&lt;&gt;TRIM(C434),"HATA: isimde baştaki/sondaki boşluk",IF(COUNTIF(TurAralik,E434)=0,"HATA: ödeme türü geçersiz",IF(COUNTIFS(kOda,B434,kGiris,"&lt;="&amp;A434,kCikis,"&gt;="&amp;A434,kDurum,"&lt;&gt;İptal")=0,"HATA: bu odada o tarihte misafir yok","OK"))))))</f>
        <v/>
      </c>
      <c r="H434" s="25">
        <f>IF(AND(ISNUMBER(A434),A434=RaporTarihi),COUNTIFS($A$6:A434,RaporTarihi),"")</f>
        <v/>
      </c>
    </row>
    <row r="435">
      <c r="A435" s="23" t="n"/>
      <c r="B435" s="22" t="n"/>
      <c r="C435" s="22" t="n"/>
      <c r="D435" s="24" t="n"/>
      <c r="E435" s="22" t="n"/>
      <c r="F435" s="22" t="n"/>
      <c r="G435" s="25">
        <f>IF(COUNTA(A435:F435)=0,"",IF(OR(A435="",B435="",C435="",D435="",E435=""),"HATA: eksik bilgi",IF(OR(NOT(ISNUMBER(A435)),NOT(ISNUMBER(D435)),D435&lt;=0),"HATA: tarih/tutar geçersiz",IF(C435&lt;&gt;TRIM(C435),"HATA: isimde baştaki/sondaki boşluk",IF(COUNTIF(TurAralik,E435)=0,"HATA: ödeme türü geçersiz",IF(COUNTIFS(kOda,B435,kGiris,"&lt;="&amp;A435,kCikis,"&gt;="&amp;A435,kDurum,"&lt;&gt;İptal")=0,"HATA: bu odada o tarihte misafir yok","OK"))))))</f>
        <v/>
      </c>
      <c r="H435" s="25">
        <f>IF(AND(ISNUMBER(A435),A435=RaporTarihi),COUNTIFS($A$6:A435,RaporTarihi),"")</f>
        <v/>
      </c>
    </row>
    <row r="436">
      <c r="A436" s="23" t="n"/>
      <c r="B436" s="22" t="n"/>
      <c r="C436" s="22" t="n"/>
      <c r="D436" s="24" t="n"/>
      <c r="E436" s="22" t="n"/>
      <c r="F436" s="22" t="n"/>
      <c r="G436" s="25">
        <f>IF(COUNTA(A436:F436)=0,"",IF(OR(A436="",B436="",C436="",D436="",E436=""),"HATA: eksik bilgi",IF(OR(NOT(ISNUMBER(A436)),NOT(ISNUMBER(D436)),D436&lt;=0),"HATA: tarih/tutar geçersiz",IF(C436&lt;&gt;TRIM(C436),"HATA: isimde baştaki/sondaki boşluk",IF(COUNTIF(TurAralik,E436)=0,"HATA: ödeme türü geçersiz",IF(COUNTIFS(kOda,B436,kGiris,"&lt;="&amp;A436,kCikis,"&gt;="&amp;A436,kDurum,"&lt;&gt;İptal")=0,"HATA: bu odada o tarihte misafir yok","OK"))))))</f>
        <v/>
      </c>
      <c r="H436" s="25">
        <f>IF(AND(ISNUMBER(A436),A436=RaporTarihi),COUNTIFS($A$6:A436,RaporTarihi),"")</f>
        <v/>
      </c>
    </row>
    <row r="437">
      <c r="A437" s="23" t="n"/>
      <c r="B437" s="22" t="n"/>
      <c r="C437" s="22" t="n"/>
      <c r="D437" s="24" t="n"/>
      <c r="E437" s="22" t="n"/>
      <c r="F437" s="22" t="n"/>
      <c r="G437" s="25">
        <f>IF(COUNTA(A437:F437)=0,"",IF(OR(A437="",B437="",C437="",D437="",E437=""),"HATA: eksik bilgi",IF(OR(NOT(ISNUMBER(A437)),NOT(ISNUMBER(D437)),D437&lt;=0),"HATA: tarih/tutar geçersiz",IF(C437&lt;&gt;TRIM(C437),"HATA: isimde baştaki/sondaki boşluk",IF(COUNTIF(TurAralik,E437)=0,"HATA: ödeme türü geçersiz",IF(COUNTIFS(kOda,B437,kGiris,"&lt;="&amp;A437,kCikis,"&gt;="&amp;A437,kDurum,"&lt;&gt;İptal")=0,"HATA: bu odada o tarihte misafir yok","OK"))))))</f>
        <v/>
      </c>
      <c r="H437" s="25">
        <f>IF(AND(ISNUMBER(A437),A437=RaporTarihi),COUNTIFS($A$6:A437,RaporTarihi),"")</f>
        <v/>
      </c>
    </row>
    <row r="438">
      <c r="A438" s="23" t="n"/>
      <c r="B438" s="22" t="n"/>
      <c r="C438" s="22" t="n"/>
      <c r="D438" s="24" t="n"/>
      <c r="E438" s="22" t="n"/>
      <c r="F438" s="22" t="n"/>
      <c r="G438" s="25">
        <f>IF(COUNTA(A438:F438)=0,"",IF(OR(A438="",B438="",C438="",D438="",E438=""),"HATA: eksik bilgi",IF(OR(NOT(ISNUMBER(A438)),NOT(ISNUMBER(D438)),D438&lt;=0),"HATA: tarih/tutar geçersiz",IF(C438&lt;&gt;TRIM(C438),"HATA: isimde baştaki/sondaki boşluk",IF(COUNTIF(TurAralik,E438)=0,"HATA: ödeme türü geçersiz",IF(COUNTIFS(kOda,B438,kGiris,"&lt;="&amp;A438,kCikis,"&gt;="&amp;A438,kDurum,"&lt;&gt;İptal")=0,"HATA: bu odada o tarihte misafir yok","OK"))))))</f>
        <v/>
      </c>
      <c r="H438" s="25">
        <f>IF(AND(ISNUMBER(A438),A438=RaporTarihi),COUNTIFS($A$6:A438,RaporTarihi),"")</f>
        <v/>
      </c>
    </row>
    <row r="439">
      <c r="A439" s="23" t="n"/>
      <c r="B439" s="22" t="n"/>
      <c r="C439" s="22" t="n"/>
      <c r="D439" s="24" t="n"/>
      <c r="E439" s="22" t="n"/>
      <c r="F439" s="22" t="n"/>
      <c r="G439" s="25">
        <f>IF(COUNTA(A439:F439)=0,"",IF(OR(A439="",B439="",C439="",D439="",E439=""),"HATA: eksik bilgi",IF(OR(NOT(ISNUMBER(A439)),NOT(ISNUMBER(D439)),D439&lt;=0),"HATA: tarih/tutar geçersiz",IF(C439&lt;&gt;TRIM(C439),"HATA: isimde baştaki/sondaki boşluk",IF(COUNTIF(TurAralik,E439)=0,"HATA: ödeme türü geçersiz",IF(COUNTIFS(kOda,B439,kGiris,"&lt;="&amp;A439,kCikis,"&gt;="&amp;A439,kDurum,"&lt;&gt;İptal")=0,"HATA: bu odada o tarihte misafir yok","OK"))))))</f>
        <v/>
      </c>
      <c r="H439" s="25">
        <f>IF(AND(ISNUMBER(A439),A439=RaporTarihi),COUNTIFS($A$6:A439,RaporTarihi),"")</f>
        <v/>
      </c>
    </row>
    <row r="440">
      <c r="A440" s="23" t="n"/>
      <c r="B440" s="22" t="n"/>
      <c r="C440" s="22" t="n"/>
      <c r="D440" s="24" t="n"/>
      <c r="E440" s="22" t="n"/>
      <c r="F440" s="22" t="n"/>
      <c r="G440" s="25">
        <f>IF(COUNTA(A440:F440)=0,"",IF(OR(A440="",B440="",C440="",D440="",E440=""),"HATA: eksik bilgi",IF(OR(NOT(ISNUMBER(A440)),NOT(ISNUMBER(D440)),D440&lt;=0),"HATA: tarih/tutar geçersiz",IF(C440&lt;&gt;TRIM(C440),"HATA: isimde baştaki/sondaki boşluk",IF(COUNTIF(TurAralik,E440)=0,"HATA: ödeme türü geçersiz",IF(COUNTIFS(kOda,B440,kGiris,"&lt;="&amp;A440,kCikis,"&gt;="&amp;A440,kDurum,"&lt;&gt;İptal")=0,"HATA: bu odada o tarihte misafir yok","OK"))))))</f>
        <v/>
      </c>
      <c r="H440" s="25">
        <f>IF(AND(ISNUMBER(A440),A440=RaporTarihi),COUNTIFS($A$6:A440,RaporTarihi),"")</f>
        <v/>
      </c>
    </row>
    <row r="441">
      <c r="A441" s="23" t="n"/>
      <c r="B441" s="22" t="n"/>
      <c r="C441" s="22" t="n"/>
      <c r="D441" s="24" t="n"/>
      <c r="E441" s="22" t="n"/>
      <c r="F441" s="22" t="n"/>
      <c r="G441" s="25">
        <f>IF(COUNTA(A441:F441)=0,"",IF(OR(A441="",B441="",C441="",D441="",E441=""),"HATA: eksik bilgi",IF(OR(NOT(ISNUMBER(A441)),NOT(ISNUMBER(D441)),D441&lt;=0),"HATA: tarih/tutar geçersiz",IF(C441&lt;&gt;TRIM(C441),"HATA: isimde baştaki/sondaki boşluk",IF(COUNTIF(TurAralik,E441)=0,"HATA: ödeme türü geçersiz",IF(COUNTIFS(kOda,B441,kGiris,"&lt;="&amp;A441,kCikis,"&gt;="&amp;A441,kDurum,"&lt;&gt;İptal")=0,"HATA: bu odada o tarihte misafir yok","OK"))))))</f>
        <v/>
      </c>
      <c r="H441" s="25">
        <f>IF(AND(ISNUMBER(A441),A441=RaporTarihi),COUNTIFS($A$6:A441,RaporTarihi),"")</f>
        <v/>
      </c>
    </row>
    <row r="442">
      <c r="A442" s="23" t="n"/>
      <c r="B442" s="22" t="n"/>
      <c r="C442" s="22" t="n"/>
      <c r="D442" s="24" t="n"/>
      <c r="E442" s="22" t="n"/>
      <c r="F442" s="22" t="n"/>
      <c r="G442" s="25">
        <f>IF(COUNTA(A442:F442)=0,"",IF(OR(A442="",B442="",C442="",D442="",E442=""),"HATA: eksik bilgi",IF(OR(NOT(ISNUMBER(A442)),NOT(ISNUMBER(D442)),D442&lt;=0),"HATA: tarih/tutar geçersiz",IF(C442&lt;&gt;TRIM(C442),"HATA: isimde baştaki/sondaki boşluk",IF(COUNTIF(TurAralik,E442)=0,"HATA: ödeme türü geçersiz",IF(COUNTIFS(kOda,B442,kGiris,"&lt;="&amp;A442,kCikis,"&gt;="&amp;A442,kDurum,"&lt;&gt;İptal")=0,"HATA: bu odada o tarihte misafir yok","OK"))))))</f>
        <v/>
      </c>
      <c r="H442" s="25">
        <f>IF(AND(ISNUMBER(A442),A442=RaporTarihi),COUNTIFS($A$6:A442,RaporTarihi),"")</f>
        <v/>
      </c>
    </row>
    <row r="443">
      <c r="A443" s="23" t="n"/>
      <c r="B443" s="22" t="n"/>
      <c r="C443" s="22" t="n"/>
      <c r="D443" s="24" t="n"/>
      <c r="E443" s="22" t="n"/>
      <c r="F443" s="22" t="n"/>
      <c r="G443" s="25">
        <f>IF(COUNTA(A443:F443)=0,"",IF(OR(A443="",B443="",C443="",D443="",E443=""),"HATA: eksik bilgi",IF(OR(NOT(ISNUMBER(A443)),NOT(ISNUMBER(D443)),D443&lt;=0),"HATA: tarih/tutar geçersiz",IF(C443&lt;&gt;TRIM(C443),"HATA: isimde baştaki/sondaki boşluk",IF(COUNTIF(TurAralik,E443)=0,"HATA: ödeme türü geçersiz",IF(COUNTIFS(kOda,B443,kGiris,"&lt;="&amp;A443,kCikis,"&gt;="&amp;A443,kDurum,"&lt;&gt;İptal")=0,"HATA: bu odada o tarihte misafir yok","OK"))))))</f>
        <v/>
      </c>
      <c r="H443" s="25">
        <f>IF(AND(ISNUMBER(A443),A443=RaporTarihi),COUNTIFS($A$6:A443,RaporTarihi),"")</f>
        <v/>
      </c>
    </row>
    <row r="444">
      <c r="A444" s="23" t="n"/>
      <c r="B444" s="22" t="n"/>
      <c r="C444" s="22" t="n"/>
      <c r="D444" s="24" t="n"/>
      <c r="E444" s="22" t="n"/>
      <c r="F444" s="22" t="n"/>
      <c r="G444" s="25">
        <f>IF(COUNTA(A444:F444)=0,"",IF(OR(A444="",B444="",C444="",D444="",E444=""),"HATA: eksik bilgi",IF(OR(NOT(ISNUMBER(A444)),NOT(ISNUMBER(D444)),D444&lt;=0),"HATA: tarih/tutar geçersiz",IF(C444&lt;&gt;TRIM(C444),"HATA: isimde baştaki/sondaki boşluk",IF(COUNTIF(TurAralik,E444)=0,"HATA: ödeme türü geçersiz",IF(COUNTIFS(kOda,B444,kGiris,"&lt;="&amp;A444,kCikis,"&gt;="&amp;A444,kDurum,"&lt;&gt;İptal")=0,"HATA: bu odada o tarihte misafir yok","OK"))))))</f>
        <v/>
      </c>
      <c r="H444" s="25">
        <f>IF(AND(ISNUMBER(A444),A444=RaporTarihi),COUNTIFS($A$6:A444,RaporTarihi),"")</f>
        <v/>
      </c>
    </row>
    <row r="445">
      <c r="A445" s="23" t="n"/>
      <c r="B445" s="22" t="n"/>
      <c r="C445" s="22" t="n"/>
      <c r="D445" s="24" t="n"/>
      <c r="E445" s="22" t="n"/>
      <c r="F445" s="22" t="n"/>
      <c r="G445" s="25">
        <f>IF(COUNTA(A445:F445)=0,"",IF(OR(A445="",B445="",C445="",D445="",E445=""),"HATA: eksik bilgi",IF(OR(NOT(ISNUMBER(A445)),NOT(ISNUMBER(D445)),D445&lt;=0),"HATA: tarih/tutar geçersiz",IF(C445&lt;&gt;TRIM(C445),"HATA: isimde baştaki/sondaki boşluk",IF(COUNTIF(TurAralik,E445)=0,"HATA: ödeme türü geçersiz",IF(COUNTIFS(kOda,B445,kGiris,"&lt;="&amp;A445,kCikis,"&gt;="&amp;A445,kDurum,"&lt;&gt;İptal")=0,"HATA: bu odada o tarihte misafir yok","OK"))))))</f>
        <v/>
      </c>
      <c r="H445" s="25">
        <f>IF(AND(ISNUMBER(A445),A445=RaporTarihi),COUNTIFS($A$6:A445,RaporTarihi),"")</f>
        <v/>
      </c>
    </row>
    <row r="446">
      <c r="A446" s="23" t="n"/>
      <c r="B446" s="22" t="n"/>
      <c r="C446" s="22" t="n"/>
      <c r="D446" s="24" t="n"/>
      <c r="E446" s="22" t="n"/>
      <c r="F446" s="22" t="n"/>
      <c r="G446" s="25">
        <f>IF(COUNTA(A446:F446)=0,"",IF(OR(A446="",B446="",C446="",D446="",E446=""),"HATA: eksik bilgi",IF(OR(NOT(ISNUMBER(A446)),NOT(ISNUMBER(D446)),D446&lt;=0),"HATA: tarih/tutar geçersiz",IF(C446&lt;&gt;TRIM(C446),"HATA: isimde baştaki/sondaki boşluk",IF(COUNTIF(TurAralik,E446)=0,"HATA: ödeme türü geçersiz",IF(COUNTIFS(kOda,B446,kGiris,"&lt;="&amp;A446,kCikis,"&gt;="&amp;A446,kDurum,"&lt;&gt;İptal")=0,"HATA: bu odada o tarihte misafir yok","OK"))))))</f>
        <v/>
      </c>
      <c r="H446" s="25">
        <f>IF(AND(ISNUMBER(A446),A446=RaporTarihi),COUNTIFS($A$6:A446,RaporTarihi),"")</f>
        <v/>
      </c>
    </row>
    <row r="447">
      <c r="A447" s="23" t="n"/>
      <c r="B447" s="22" t="n"/>
      <c r="C447" s="22" t="n"/>
      <c r="D447" s="24" t="n"/>
      <c r="E447" s="22" t="n"/>
      <c r="F447" s="22" t="n"/>
      <c r="G447" s="25">
        <f>IF(COUNTA(A447:F447)=0,"",IF(OR(A447="",B447="",C447="",D447="",E447=""),"HATA: eksik bilgi",IF(OR(NOT(ISNUMBER(A447)),NOT(ISNUMBER(D447)),D447&lt;=0),"HATA: tarih/tutar geçersiz",IF(C447&lt;&gt;TRIM(C447),"HATA: isimde baştaki/sondaki boşluk",IF(COUNTIF(TurAralik,E447)=0,"HATA: ödeme türü geçersiz",IF(COUNTIFS(kOda,B447,kGiris,"&lt;="&amp;A447,kCikis,"&gt;="&amp;A447,kDurum,"&lt;&gt;İptal")=0,"HATA: bu odada o tarihte misafir yok","OK"))))))</f>
        <v/>
      </c>
      <c r="H447" s="25">
        <f>IF(AND(ISNUMBER(A447),A447=RaporTarihi),COUNTIFS($A$6:A447,RaporTarihi),"")</f>
        <v/>
      </c>
    </row>
    <row r="448">
      <c r="A448" s="23" t="n"/>
      <c r="B448" s="22" t="n"/>
      <c r="C448" s="22" t="n"/>
      <c r="D448" s="24" t="n"/>
      <c r="E448" s="22" t="n"/>
      <c r="F448" s="22" t="n"/>
      <c r="G448" s="25">
        <f>IF(COUNTA(A448:F448)=0,"",IF(OR(A448="",B448="",C448="",D448="",E448=""),"HATA: eksik bilgi",IF(OR(NOT(ISNUMBER(A448)),NOT(ISNUMBER(D448)),D448&lt;=0),"HATA: tarih/tutar geçersiz",IF(C448&lt;&gt;TRIM(C448),"HATA: isimde baştaki/sondaki boşluk",IF(COUNTIF(TurAralik,E448)=0,"HATA: ödeme türü geçersiz",IF(COUNTIFS(kOda,B448,kGiris,"&lt;="&amp;A448,kCikis,"&gt;="&amp;A448,kDurum,"&lt;&gt;İptal")=0,"HATA: bu odada o tarihte misafir yok","OK"))))))</f>
        <v/>
      </c>
      <c r="H448" s="25">
        <f>IF(AND(ISNUMBER(A448),A448=RaporTarihi),COUNTIFS($A$6:A448,RaporTarihi),"")</f>
        <v/>
      </c>
    </row>
    <row r="449">
      <c r="A449" s="23" t="n"/>
      <c r="B449" s="22" t="n"/>
      <c r="C449" s="22" t="n"/>
      <c r="D449" s="24" t="n"/>
      <c r="E449" s="22" t="n"/>
      <c r="F449" s="22" t="n"/>
      <c r="G449" s="25">
        <f>IF(COUNTA(A449:F449)=0,"",IF(OR(A449="",B449="",C449="",D449="",E449=""),"HATA: eksik bilgi",IF(OR(NOT(ISNUMBER(A449)),NOT(ISNUMBER(D449)),D449&lt;=0),"HATA: tarih/tutar geçersiz",IF(C449&lt;&gt;TRIM(C449),"HATA: isimde baştaki/sondaki boşluk",IF(COUNTIF(TurAralik,E449)=0,"HATA: ödeme türü geçersiz",IF(COUNTIFS(kOda,B449,kGiris,"&lt;="&amp;A449,kCikis,"&gt;="&amp;A449,kDurum,"&lt;&gt;İptal")=0,"HATA: bu odada o tarihte misafir yok","OK"))))))</f>
        <v/>
      </c>
      <c r="H449" s="25">
        <f>IF(AND(ISNUMBER(A449),A449=RaporTarihi),COUNTIFS($A$6:A449,RaporTarihi),"")</f>
        <v/>
      </c>
    </row>
    <row r="450">
      <c r="A450" s="23" t="n"/>
      <c r="B450" s="22" t="n"/>
      <c r="C450" s="22" t="n"/>
      <c r="D450" s="24" t="n"/>
      <c r="E450" s="22" t="n"/>
      <c r="F450" s="22" t="n"/>
      <c r="G450" s="25">
        <f>IF(COUNTA(A450:F450)=0,"",IF(OR(A450="",B450="",C450="",D450="",E450=""),"HATA: eksik bilgi",IF(OR(NOT(ISNUMBER(A450)),NOT(ISNUMBER(D450)),D450&lt;=0),"HATA: tarih/tutar geçersiz",IF(C450&lt;&gt;TRIM(C450),"HATA: isimde baştaki/sondaki boşluk",IF(COUNTIF(TurAralik,E450)=0,"HATA: ödeme türü geçersiz",IF(COUNTIFS(kOda,B450,kGiris,"&lt;="&amp;A450,kCikis,"&gt;="&amp;A450,kDurum,"&lt;&gt;İptal")=0,"HATA: bu odada o tarihte misafir yok","OK"))))))</f>
        <v/>
      </c>
      <c r="H450" s="25">
        <f>IF(AND(ISNUMBER(A450),A450=RaporTarihi),COUNTIFS($A$6:A450,RaporTarihi),"")</f>
        <v/>
      </c>
    </row>
    <row r="451">
      <c r="A451" s="23" t="n"/>
      <c r="B451" s="22" t="n"/>
      <c r="C451" s="22" t="n"/>
      <c r="D451" s="24" t="n"/>
      <c r="E451" s="22" t="n"/>
      <c r="F451" s="22" t="n"/>
      <c r="G451" s="25">
        <f>IF(COUNTA(A451:F451)=0,"",IF(OR(A451="",B451="",C451="",D451="",E451=""),"HATA: eksik bilgi",IF(OR(NOT(ISNUMBER(A451)),NOT(ISNUMBER(D451)),D451&lt;=0),"HATA: tarih/tutar geçersiz",IF(C451&lt;&gt;TRIM(C451),"HATA: isimde baştaki/sondaki boşluk",IF(COUNTIF(TurAralik,E451)=0,"HATA: ödeme türü geçersiz",IF(COUNTIFS(kOda,B451,kGiris,"&lt;="&amp;A451,kCikis,"&gt;="&amp;A451,kDurum,"&lt;&gt;İptal")=0,"HATA: bu odada o tarihte misafir yok","OK"))))))</f>
        <v/>
      </c>
      <c r="H451" s="25">
        <f>IF(AND(ISNUMBER(A451),A451=RaporTarihi),COUNTIFS($A$6:A451,RaporTarihi),"")</f>
        <v/>
      </c>
    </row>
    <row r="452">
      <c r="A452" s="23" t="n"/>
      <c r="B452" s="22" t="n"/>
      <c r="C452" s="22" t="n"/>
      <c r="D452" s="24" t="n"/>
      <c r="E452" s="22" t="n"/>
      <c r="F452" s="22" t="n"/>
      <c r="G452" s="25">
        <f>IF(COUNTA(A452:F452)=0,"",IF(OR(A452="",B452="",C452="",D452="",E452=""),"HATA: eksik bilgi",IF(OR(NOT(ISNUMBER(A452)),NOT(ISNUMBER(D452)),D452&lt;=0),"HATA: tarih/tutar geçersiz",IF(C452&lt;&gt;TRIM(C452),"HATA: isimde baştaki/sondaki boşluk",IF(COUNTIF(TurAralik,E452)=0,"HATA: ödeme türü geçersiz",IF(COUNTIFS(kOda,B452,kGiris,"&lt;="&amp;A452,kCikis,"&gt;="&amp;A452,kDurum,"&lt;&gt;İptal")=0,"HATA: bu odada o tarihte misafir yok","OK"))))))</f>
        <v/>
      </c>
      <c r="H452" s="25">
        <f>IF(AND(ISNUMBER(A452),A452=RaporTarihi),COUNTIFS($A$6:A452,RaporTarihi),"")</f>
        <v/>
      </c>
    </row>
    <row r="453">
      <c r="A453" s="23" t="n"/>
      <c r="B453" s="22" t="n"/>
      <c r="C453" s="22" t="n"/>
      <c r="D453" s="24" t="n"/>
      <c r="E453" s="22" t="n"/>
      <c r="F453" s="22" t="n"/>
      <c r="G453" s="25">
        <f>IF(COUNTA(A453:F453)=0,"",IF(OR(A453="",B453="",C453="",D453="",E453=""),"HATA: eksik bilgi",IF(OR(NOT(ISNUMBER(A453)),NOT(ISNUMBER(D453)),D453&lt;=0),"HATA: tarih/tutar geçersiz",IF(C453&lt;&gt;TRIM(C453),"HATA: isimde baştaki/sondaki boşluk",IF(COUNTIF(TurAralik,E453)=0,"HATA: ödeme türü geçersiz",IF(COUNTIFS(kOda,B453,kGiris,"&lt;="&amp;A453,kCikis,"&gt;="&amp;A453,kDurum,"&lt;&gt;İptal")=0,"HATA: bu odada o tarihte misafir yok","OK"))))))</f>
        <v/>
      </c>
      <c r="H453" s="25">
        <f>IF(AND(ISNUMBER(A453),A453=RaporTarihi),COUNTIFS($A$6:A453,RaporTarihi),"")</f>
        <v/>
      </c>
    </row>
    <row r="454">
      <c r="A454" s="23" t="n"/>
      <c r="B454" s="22" t="n"/>
      <c r="C454" s="22" t="n"/>
      <c r="D454" s="24" t="n"/>
      <c r="E454" s="22" t="n"/>
      <c r="F454" s="22" t="n"/>
      <c r="G454" s="25">
        <f>IF(COUNTA(A454:F454)=0,"",IF(OR(A454="",B454="",C454="",D454="",E454=""),"HATA: eksik bilgi",IF(OR(NOT(ISNUMBER(A454)),NOT(ISNUMBER(D454)),D454&lt;=0),"HATA: tarih/tutar geçersiz",IF(C454&lt;&gt;TRIM(C454),"HATA: isimde baştaki/sondaki boşluk",IF(COUNTIF(TurAralik,E454)=0,"HATA: ödeme türü geçersiz",IF(COUNTIFS(kOda,B454,kGiris,"&lt;="&amp;A454,kCikis,"&gt;="&amp;A454,kDurum,"&lt;&gt;İptal")=0,"HATA: bu odada o tarihte misafir yok","OK"))))))</f>
        <v/>
      </c>
      <c r="H454" s="25">
        <f>IF(AND(ISNUMBER(A454),A454=RaporTarihi),COUNTIFS($A$6:A454,RaporTarihi),"")</f>
        <v/>
      </c>
    </row>
    <row r="455">
      <c r="A455" s="23" t="n"/>
      <c r="B455" s="22" t="n"/>
      <c r="C455" s="22" t="n"/>
      <c r="D455" s="24" t="n"/>
      <c r="E455" s="22" t="n"/>
      <c r="F455" s="22" t="n"/>
      <c r="G455" s="25">
        <f>IF(COUNTA(A455:F455)=0,"",IF(OR(A455="",B455="",C455="",D455="",E455=""),"HATA: eksik bilgi",IF(OR(NOT(ISNUMBER(A455)),NOT(ISNUMBER(D455)),D455&lt;=0),"HATA: tarih/tutar geçersiz",IF(C455&lt;&gt;TRIM(C455),"HATA: isimde baştaki/sondaki boşluk",IF(COUNTIF(TurAralik,E455)=0,"HATA: ödeme türü geçersiz",IF(COUNTIFS(kOda,B455,kGiris,"&lt;="&amp;A455,kCikis,"&gt;="&amp;A455,kDurum,"&lt;&gt;İptal")=0,"HATA: bu odada o tarihte misafir yok","OK"))))))</f>
        <v/>
      </c>
      <c r="H455" s="25">
        <f>IF(AND(ISNUMBER(A455),A455=RaporTarihi),COUNTIFS($A$6:A455,RaporTarihi),"")</f>
        <v/>
      </c>
    </row>
    <row r="456">
      <c r="A456" s="23" t="n"/>
      <c r="B456" s="22" t="n"/>
      <c r="C456" s="22" t="n"/>
      <c r="D456" s="24" t="n"/>
      <c r="E456" s="22" t="n"/>
      <c r="F456" s="22" t="n"/>
      <c r="G456" s="25">
        <f>IF(COUNTA(A456:F456)=0,"",IF(OR(A456="",B456="",C456="",D456="",E456=""),"HATA: eksik bilgi",IF(OR(NOT(ISNUMBER(A456)),NOT(ISNUMBER(D456)),D456&lt;=0),"HATA: tarih/tutar geçersiz",IF(C456&lt;&gt;TRIM(C456),"HATA: isimde baştaki/sondaki boşluk",IF(COUNTIF(TurAralik,E456)=0,"HATA: ödeme türü geçersiz",IF(COUNTIFS(kOda,B456,kGiris,"&lt;="&amp;A456,kCikis,"&gt;="&amp;A456,kDurum,"&lt;&gt;İptal")=0,"HATA: bu odada o tarihte misafir yok","OK"))))))</f>
        <v/>
      </c>
      <c r="H456" s="25">
        <f>IF(AND(ISNUMBER(A456),A456=RaporTarihi),COUNTIFS($A$6:A456,RaporTarihi),"")</f>
        <v/>
      </c>
    </row>
    <row r="457">
      <c r="A457" s="23" t="n"/>
      <c r="B457" s="22" t="n"/>
      <c r="C457" s="22" t="n"/>
      <c r="D457" s="24" t="n"/>
      <c r="E457" s="22" t="n"/>
      <c r="F457" s="22" t="n"/>
      <c r="G457" s="25">
        <f>IF(COUNTA(A457:F457)=0,"",IF(OR(A457="",B457="",C457="",D457="",E457=""),"HATA: eksik bilgi",IF(OR(NOT(ISNUMBER(A457)),NOT(ISNUMBER(D457)),D457&lt;=0),"HATA: tarih/tutar geçersiz",IF(C457&lt;&gt;TRIM(C457),"HATA: isimde baştaki/sondaki boşluk",IF(COUNTIF(TurAralik,E457)=0,"HATA: ödeme türü geçersiz",IF(COUNTIFS(kOda,B457,kGiris,"&lt;="&amp;A457,kCikis,"&gt;="&amp;A457,kDurum,"&lt;&gt;İptal")=0,"HATA: bu odada o tarihte misafir yok","OK"))))))</f>
        <v/>
      </c>
      <c r="H457" s="25">
        <f>IF(AND(ISNUMBER(A457),A457=RaporTarihi),COUNTIFS($A$6:A457,RaporTarihi),"")</f>
        <v/>
      </c>
    </row>
    <row r="458">
      <c r="A458" s="23" t="n"/>
      <c r="B458" s="22" t="n"/>
      <c r="C458" s="22" t="n"/>
      <c r="D458" s="24" t="n"/>
      <c r="E458" s="22" t="n"/>
      <c r="F458" s="22" t="n"/>
      <c r="G458" s="25">
        <f>IF(COUNTA(A458:F458)=0,"",IF(OR(A458="",B458="",C458="",D458="",E458=""),"HATA: eksik bilgi",IF(OR(NOT(ISNUMBER(A458)),NOT(ISNUMBER(D458)),D458&lt;=0),"HATA: tarih/tutar geçersiz",IF(C458&lt;&gt;TRIM(C458),"HATA: isimde baştaki/sondaki boşluk",IF(COUNTIF(TurAralik,E458)=0,"HATA: ödeme türü geçersiz",IF(COUNTIFS(kOda,B458,kGiris,"&lt;="&amp;A458,kCikis,"&gt;="&amp;A458,kDurum,"&lt;&gt;İptal")=0,"HATA: bu odada o tarihte misafir yok","OK"))))))</f>
        <v/>
      </c>
      <c r="H458" s="25">
        <f>IF(AND(ISNUMBER(A458),A458=RaporTarihi),COUNTIFS($A$6:A458,RaporTarihi),"")</f>
        <v/>
      </c>
    </row>
    <row r="459">
      <c r="A459" s="23" t="n"/>
      <c r="B459" s="22" t="n"/>
      <c r="C459" s="22" t="n"/>
      <c r="D459" s="24" t="n"/>
      <c r="E459" s="22" t="n"/>
      <c r="F459" s="22" t="n"/>
      <c r="G459" s="25">
        <f>IF(COUNTA(A459:F459)=0,"",IF(OR(A459="",B459="",C459="",D459="",E459=""),"HATA: eksik bilgi",IF(OR(NOT(ISNUMBER(A459)),NOT(ISNUMBER(D459)),D459&lt;=0),"HATA: tarih/tutar geçersiz",IF(C459&lt;&gt;TRIM(C459),"HATA: isimde baştaki/sondaki boşluk",IF(COUNTIF(TurAralik,E459)=0,"HATA: ödeme türü geçersiz",IF(COUNTIFS(kOda,B459,kGiris,"&lt;="&amp;A459,kCikis,"&gt;="&amp;A459,kDurum,"&lt;&gt;İptal")=0,"HATA: bu odada o tarihte misafir yok","OK"))))))</f>
        <v/>
      </c>
      <c r="H459" s="25">
        <f>IF(AND(ISNUMBER(A459),A459=RaporTarihi),COUNTIFS($A$6:A459,RaporTarihi),"")</f>
        <v/>
      </c>
    </row>
    <row r="460">
      <c r="A460" s="23" t="n"/>
      <c r="B460" s="22" t="n"/>
      <c r="C460" s="22" t="n"/>
      <c r="D460" s="24" t="n"/>
      <c r="E460" s="22" t="n"/>
      <c r="F460" s="22" t="n"/>
      <c r="G460" s="25">
        <f>IF(COUNTA(A460:F460)=0,"",IF(OR(A460="",B460="",C460="",D460="",E460=""),"HATA: eksik bilgi",IF(OR(NOT(ISNUMBER(A460)),NOT(ISNUMBER(D460)),D460&lt;=0),"HATA: tarih/tutar geçersiz",IF(C460&lt;&gt;TRIM(C460),"HATA: isimde baştaki/sondaki boşluk",IF(COUNTIF(TurAralik,E460)=0,"HATA: ödeme türü geçersiz",IF(COUNTIFS(kOda,B460,kGiris,"&lt;="&amp;A460,kCikis,"&gt;="&amp;A460,kDurum,"&lt;&gt;İptal")=0,"HATA: bu odada o tarihte misafir yok","OK"))))))</f>
        <v/>
      </c>
      <c r="H460" s="25">
        <f>IF(AND(ISNUMBER(A460),A460=RaporTarihi),COUNTIFS($A$6:A460,RaporTarihi),"")</f>
        <v/>
      </c>
    </row>
    <row r="461">
      <c r="A461" s="23" t="n"/>
      <c r="B461" s="22" t="n"/>
      <c r="C461" s="22" t="n"/>
      <c r="D461" s="24" t="n"/>
      <c r="E461" s="22" t="n"/>
      <c r="F461" s="22" t="n"/>
      <c r="G461" s="25">
        <f>IF(COUNTA(A461:F461)=0,"",IF(OR(A461="",B461="",C461="",D461="",E461=""),"HATA: eksik bilgi",IF(OR(NOT(ISNUMBER(A461)),NOT(ISNUMBER(D461)),D461&lt;=0),"HATA: tarih/tutar geçersiz",IF(C461&lt;&gt;TRIM(C461),"HATA: isimde baştaki/sondaki boşluk",IF(COUNTIF(TurAralik,E461)=0,"HATA: ödeme türü geçersiz",IF(COUNTIFS(kOda,B461,kGiris,"&lt;="&amp;A461,kCikis,"&gt;="&amp;A461,kDurum,"&lt;&gt;İptal")=0,"HATA: bu odada o tarihte misafir yok","OK"))))))</f>
        <v/>
      </c>
      <c r="H461" s="25">
        <f>IF(AND(ISNUMBER(A461),A461=RaporTarihi),COUNTIFS($A$6:A461,RaporTarihi),"")</f>
        <v/>
      </c>
    </row>
    <row r="462">
      <c r="A462" s="23" t="n"/>
      <c r="B462" s="22" t="n"/>
      <c r="C462" s="22" t="n"/>
      <c r="D462" s="24" t="n"/>
      <c r="E462" s="22" t="n"/>
      <c r="F462" s="22" t="n"/>
      <c r="G462" s="25">
        <f>IF(COUNTA(A462:F462)=0,"",IF(OR(A462="",B462="",C462="",D462="",E462=""),"HATA: eksik bilgi",IF(OR(NOT(ISNUMBER(A462)),NOT(ISNUMBER(D462)),D462&lt;=0),"HATA: tarih/tutar geçersiz",IF(C462&lt;&gt;TRIM(C462),"HATA: isimde baştaki/sondaki boşluk",IF(COUNTIF(TurAralik,E462)=0,"HATA: ödeme türü geçersiz",IF(COUNTIFS(kOda,B462,kGiris,"&lt;="&amp;A462,kCikis,"&gt;="&amp;A462,kDurum,"&lt;&gt;İptal")=0,"HATA: bu odada o tarihte misafir yok","OK"))))))</f>
        <v/>
      </c>
      <c r="H462" s="25">
        <f>IF(AND(ISNUMBER(A462),A462=RaporTarihi),COUNTIFS($A$6:A462,RaporTarihi),"")</f>
        <v/>
      </c>
    </row>
    <row r="463">
      <c r="A463" s="23" t="n"/>
      <c r="B463" s="22" t="n"/>
      <c r="C463" s="22" t="n"/>
      <c r="D463" s="24" t="n"/>
      <c r="E463" s="22" t="n"/>
      <c r="F463" s="22" t="n"/>
      <c r="G463" s="25">
        <f>IF(COUNTA(A463:F463)=0,"",IF(OR(A463="",B463="",C463="",D463="",E463=""),"HATA: eksik bilgi",IF(OR(NOT(ISNUMBER(A463)),NOT(ISNUMBER(D463)),D463&lt;=0),"HATA: tarih/tutar geçersiz",IF(C463&lt;&gt;TRIM(C463),"HATA: isimde baştaki/sondaki boşluk",IF(COUNTIF(TurAralik,E463)=0,"HATA: ödeme türü geçersiz",IF(COUNTIFS(kOda,B463,kGiris,"&lt;="&amp;A463,kCikis,"&gt;="&amp;A463,kDurum,"&lt;&gt;İptal")=0,"HATA: bu odada o tarihte misafir yok","OK"))))))</f>
        <v/>
      </c>
      <c r="H463" s="25">
        <f>IF(AND(ISNUMBER(A463),A463=RaporTarihi),COUNTIFS($A$6:A463,RaporTarihi),"")</f>
        <v/>
      </c>
    </row>
    <row r="464">
      <c r="A464" s="23" t="n"/>
      <c r="B464" s="22" t="n"/>
      <c r="C464" s="22" t="n"/>
      <c r="D464" s="24" t="n"/>
      <c r="E464" s="22" t="n"/>
      <c r="F464" s="22" t="n"/>
      <c r="G464" s="25">
        <f>IF(COUNTA(A464:F464)=0,"",IF(OR(A464="",B464="",C464="",D464="",E464=""),"HATA: eksik bilgi",IF(OR(NOT(ISNUMBER(A464)),NOT(ISNUMBER(D464)),D464&lt;=0),"HATA: tarih/tutar geçersiz",IF(C464&lt;&gt;TRIM(C464),"HATA: isimde baştaki/sondaki boşluk",IF(COUNTIF(TurAralik,E464)=0,"HATA: ödeme türü geçersiz",IF(COUNTIFS(kOda,B464,kGiris,"&lt;="&amp;A464,kCikis,"&gt;="&amp;A464,kDurum,"&lt;&gt;İptal")=0,"HATA: bu odada o tarihte misafir yok","OK"))))))</f>
        <v/>
      </c>
      <c r="H464" s="25">
        <f>IF(AND(ISNUMBER(A464),A464=RaporTarihi),COUNTIFS($A$6:A464,RaporTarihi),"")</f>
        <v/>
      </c>
    </row>
    <row r="465">
      <c r="A465" s="23" t="n"/>
      <c r="B465" s="22" t="n"/>
      <c r="C465" s="22" t="n"/>
      <c r="D465" s="24" t="n"/>
      <c r="E465" s="22" t="n"/>
      <c r="F465" s="22" t="n"/>
      <c r="G465" s="25">
        <f>IF(COUNTA(A465:F465)=0,"",IF(OR(A465="",B465="",C465="",D465="",E465=""),"HATA: eksik bilgi",IF(OR(NOT(ISNUMBER(A465)),NOT(ISNUMBER(D465)),D465&lt;=0),"HATA: tarih/tutar geçersiz",IF(C465&lt;&gt;TRIM(C465),"HATA: isimde baştaki/sondaki boşluk",IF(COUNTIF(TurAralik,E465)=0,"HATA: ödeme türü geçersiz",IF(COUNTIFS(kOda,B465,kGiris,"&lt;="&amp;A465,kCikis,"&gt;="&amp;A465,kDurum,"&lt;&gt;İptal")=0,"HATA: bu odada o tarihte misafir yok","OK"))))))</f>
        <v/>
      </c>
      <c r="H465" s="25">
        <f>IF(AND(ISNUMBER(A465),A465=RaporTarihi),COUNTIFS($A$6:A465,RaporTarihi),"")</f>
        <v/>
      </c>
    </row>
    <row r="466">
      <c r="A466" s="23" t="n"/>
      <c r="B466" s="22" t="n"/>
      <c r="C466" s="22" t="n"/>
      <c r="D466" s="24" t="n"/>
      <c r="E466" s="22" t="n"/>
      <c r="F466" s="22" t="n"/>
      <c r="G466" s="25">
        <f>IF(COUNTA(A466:F466)=0,"",IF(OR(A466="",B466="",C466="",D466="",E466=""),"HATA: eksik bilgi",IF(OR(NOT(ISNUMBER(A466)),NOT(ISNUMBER(D466)),D466&lt;=0),"HATA: tarih/tutar geçersiz",IF(C466&lt;&gt;TRIM(C466),"HATA: isimde baştaki/sondaki boşluk",IF(COUNTIF(TurAralik,E466)=0,"HATA: ödeme türü geçersiz",IF(COUNTIFS(kOda,B466,kGiris,"&lt;="&amp;A466,kCikis,"&gt;="&amp;A466,kDurum,"&lt;&gt;İptal")=0,"HATA: bu odada o tarihte misafir yok","OK"))))))</f>
        <v/>
      </c>
      <c r="H466" s="25">
        <f>IF(AND(ISNUMBER(A466),A466=RaporTarihi),COUNTIFS($A$6:A466,RaporTarihi),"")</f>
        <v/>
      </c>
    </row>
    <row r="467">
      <c r="A467" s="23" t="n"/>
      <c r="B467" s="22" t="n"/>
      <c r="C467" s="22" t="n"/>
      <c r="D467" s="24" t="n"/>
      <c r="E467" s="22" t="n"/>
      <c r="F467" s="22" t="n"/>
      <c r="G467" s="25">
        <f>IF(COUNTA(A467:F467)=0,"",IF(OR(A467="",B467="",C467="",D467="",E467=""),"HATA: eksik bilgi",IF(OR(NOT(ISNUMBER(A467)),NOT(ISNUMBER(D467)),D467&lt;=0),"HATA: tarih/tutar geçersiz",IF(C467&lt;&gt;TRIM(C467),"HATA: isimde baştaki/sondaki boşluk",IF(COUNTIF(TurAralik,E467)=0,"HATA: ödeme türü geçersiz",IF(COUNTIFS(kOda,B467,kGiris,"&lt;="&amp;A467,kCikis,"&gt;="&amp;A467,kDurum,"&lt;&gt;İptal")=0,"HATA: bu odada o tarihte misafir yok","OK"))))))</f>
        <v/>
      </c>
      <c r="H467" s="25">
        <f>IF(AND(ISNUMBER(A467),A467=RaporTarihi),COUNTIFS($A$6:A467,RaporTarihi),"")</f>
        <v/>
      </c>
    </row>
    <row r="468">
      <c r="A468" s="23" t="n"/>
      <c r="B468" s="22" t="n"/>
      <c r="C468" s="22" t="n"/>
      <c r="D468" s="24" t="n"/>
      <c r="E468" s="22" t="n"/>
      <c r="F468" s="22" t="n"/>
      <c r="G468" s="25">
        <f>IF(COUNTA(A468:F468)=0,"",IF(OR(A468="",B468="",C468="",D468="",E468=""),"HATA: eksik bilgi",IF(OR(NOT(ISNUMBER(A468)),NOT(ISNUMBER(D468)),D468&lt;=0),"HATA: tarih/tutar geçersiz",IF(C468&lt;&gt;TRIM(C468),"HATA: isimde baştaki/sondaki boşluk",IF(COUNTIF(TurAralik,E468)=0,"HATA: ödeme türü geçersiz",IF(COUNTIFS(kOda,B468,kGiris,"&lt;="&amp;A468,kCikis,"&gt;="&amp;A468,kDurum,"&lt;&gt;İptal")=0,"HATA: bu odada o tarihte misafir yok","OK"))))))</f>
        <v/>
      </c>
      <c r="H468" s="25">
        <f>IF(AND(ISNUMBER(A468),A468=RaporTarihi),COUNTIFS($A$6:A468,RaporTarihi),"")</f>
        <v/>
      </c>
    </row>
    <row r="469">
      <c r="A469" s="23" t="n"/>
      <c r="B469" s="22" t="n"/>
      <c r="C469" s="22" t="n"/>
      <c r="D469" s="24" t="n"/>
      <c r="E469" s="22" t="n"/>
      <c r="F469" s="22" t="n"/>
      <c r="G469" s="25">
        <f>IF(COUNTA(A469:F469)=0,"",IF(OR(A469="",B469="",C469="",D469="",E469=""),"HATA: eksik bilgi",IF(OR(NOT(ISNUMBER(A469)),NOT(ISNUMBER(D469)),D469&lt;=0),"HATA: tarih/tutar geçersiz",IF(C469&lt;&gt;TRIM(C469),"HATA: isimde baştaki/sondaki boşluk",IF(COUNTIF(TurAralik,E469)=0,"HATA: ödeme türü geçersiz",IF(COUNTIFS(kOda,B469,kGiris,"&lt;="&amp;A469,kCikis,"&gt;="&amp;A469,kDurum,"&lt;&gt;İptal")=0,"HATA: bu odada o tarihte misafir yok","OK"))))))</f>
        <v/>
      </c>
      <c r="H469" s="25">
        <f>IF(AND(ISNUMBER(A469),A469=RaporTarihi),COUNTIFS($A$6:A469,RaporTarihi),"")</f>
        <v/>
      </c>
    </row>
    <row r="470">
      <c r="A470" s="23" t="n"/>
      <c r="B470" s="22" t="n"/>
      <c r="C470" s="22" t="n"/>
      <c r="D470" s="24" t="n"/>
      <c r="E470" s="22" t="n"/>
      <c r="F470" s="22" t="n"/>
      <c r="G470" s="25">
        <f>IF(COUNTA(A470:F470)=0,"",IF(OR(A470="",B470="",C470="",D470="",E470=""),"HATA: eksik bilgi",IF(OR(NOT(ISNUMBER(A470)),NOT(ISNUMBER(D470)),D470&lt;=0),"HATA: tarih/tutar geçersiz",IF(C470&lt;&gt;TRIM(C470),"HATA: isimde baştaki/sondaki boşluk",IF(COUNTIF(TurAralik,E470)=0,"HATA: ödeme türü geçersiz",IF(COUNTIFS(kOda,B470,kGiris,"&lt;="&amp;A470,kCikis,"&gt;="&amp;A470,kDurum,"&lt;&gt;İptal")=0,"HATA: bu odada o tarihte misafir yok","OK"))))))</f>
        <v/>
      </c>
      <c r="H470" s="25">
        <f>IF(AND(ISNUMBER(A470),A470=RaporTarihi),COUNTIFS($A$6:A470,RaporTarihi),"")</f>
        <v/>
      </c>
    </row>
    <row r="471">
      <c r="A471" s="23" t="n"/>
      <c r="B471" s="22" t="n"/>
      <c r="C471" s="22" t="n"/>
      <c r="D471" s="24" t="n"/>
      <c r="E471" s="22" t="n"/>
      <c r="F471" s="22" t="n"/>
      <c r="G471" s="25">
        <f>IF(COUNTA(A471:F471)=0,"",IF(OR(A471="",B471="",C471="",D471="",E471=""),"HATA: eksik bilgi",IF(OR(NOT(ISNUMBER(A471)),NOT(ISNUMBER(D471)),D471&lt;=0),"HATA: tarih/tutar geçersiz",IF(C471&lt;&gt;TRIM(C471),"HATA: isimde baştaki/sondaki boşluk",IF(COUNTIF(TurAralik,E471)=0,"HATA: ödeme türü geçersiz",IF(COUNTIFS(kOda,B471,kGiris,"&lt;="&amp;A471,kCikis,"&gt;="&amp;A471,kDurum,"&lt;&gt;İptal")=0,"HATA: bu odada o tarihte misafir yok","OK"))))))</f>
        <v/>
      </c>
      <c r="H471" s="25">
        <f>IF(AND(ISNUMBER(A471),A471=RaporTarihi),COUNTIFS($A$6:A471,RaporTarihi),"")</f>
        <v/>
      </c>
    </row>
    <row r="472">
      <c r="A472" s="23" t="n"/>
      <c r="B472" s="22" t="n"/>
      <c r="C472" s="22" t="n"/>
      <c r="D472" s="24" t="n"/>
      <c r="E472" s="22" t="n"/>
      <c r="F472" s="22" t="n"/>
      <c r="G472" s="25">
        <f>IF(COUNTA(A472:F472)=0,"",IF(OR(A472="",B472="",C472="",D472="",E472=""),"HATA: eksik bilgi",IF(OR(NOT(ISNUMBER(A472)),NOT(ISNUMBER(D472)),D472&lt;=0),"HATA: tarih/tutar geçersiz",IF(C472&lt;&gt;TRIM(C472),"HATA: isimde baştaki/sondaki boşluk",IF(COUNTIF(TurAralik,E472)=0,"HATA: ödeme türü geçersiz",IF(COUNTIFS(kOda,B472,kGiris,"&lt;="&amp;A472,kCikis,"&gt;="&amp;A472,kDurum,"&lt;&gt;İptal")=0,"HATA: bu odada o tarihte misafir yok","OK"))))))</f>
        <v/>
      </c>
      <c r="H472" s="25">
        <f>IF(AND(ISNUMBER(A472),A472=RaporTarihi),COUNTIFS($A$6:A472,RaporTarihi),"")</f>
        <v/>
      </c>
    </row>
    <row r="473">
      <c r="A473" s="23" t="n"/>
      <c r="B473" s="22" t="n"/>
      <c r="C473" s="22" t="n"/>
      <c r="D473" s="24" t="n"/>
      <c r="E473" s="22" t="n"/>
      <c r="F473" s="22" t="n"/>
      <c r="G473" s="25">
        <f>IF(COUNTA(A473:F473)=0,"",IF(OR(A473="",B473="",C473="",D473="",E473=""),"HATA: eksik bilgi",IF(OR(NOT(ISNUMBER(A473)),NOT(ISNUMBER(D473)),D473&lt;=0),"HATA: tarih/tutar geçersiz",IF(C473&lt;&gt;TRIM(C473),"HATA: isimde baştaki/sondaki boşluk",IF(COUNTIF(TurAralik,E473)=0,"HATA: ödeme türü geçersiz",IF(COUNTIFS(kOda,B473,kGiris,"&lt;="&amp;A473,kCikis,"&gt;="&amp;A473,kDurum,"&lt;&gt;İptal")=0,"HATA: bu odada o tarihte misafir yok","OK"))))))</f>
        <v/>
      </c>
      <c r="H473" s="25">
        <f>IF(AND(ISNUMBER(A473),A473=RaporTarihi),COUNTIFS($A$6:A473,RaporTarihi),"")</f>
        <v/>
      </c>
    </row>
    <row r="474">
      <c r="A474" s="23" t="n"/>
      <c r="B474" s="22" t="n"/>
      <c r="C474" s="22" t="n"/>
      <c r="D474" s="24" t="n"/>
      <c r="E474" s="22" t="n"/>
      <c r="F474" s="22" t="n"/>
      <c r="G474" s="25">
        <f>IF(COUNTA(A474:F474)=0,"",IF(OR(A474="",B474="",C474="",D474="",E474=""),"HATA: eksik bilgi",IF(OR(NOT(ISNUMBER(A474)),NOT(ISNUMBER(D474)),D474&lt;=0),"HATA: tarih/tutar geçersiz",IF(C474&lt;&gt;TRIM(C474),"HATA: isimde baştaki/sondaki boşluk",IF(COUNTIF(TurAralik,E474)=0,"HATA: ödeme türü geçersiz",IF(COUNTIFS(kOda,B474,kGiris,"&lt;="&amp;A474,kCikis,"&gt;="&amp;A474,kDurum,"&lt;&gt;İptal")=0,"HATA: bu odada o tarihte misafir yok","OK"))))))</f>
        <v/>
      </c>
      <c r="H474" s="25">
        <f>IF(AND(ISNUMBER(A474),A474=RaporTarihi),COUNTIFS($A$6:A474,RaporTarihi),"")</f>
        <v/>
      </c>
    </row>
    <row r="475">
      <c r="A475" s="23" t="n"/>
      <c r="B475" s="22" t="n"/>
      <c r="C475" s="22" t="n"/>
      <c r="D475" s="24" t="n"/>
      <c r="E475" s="22" t="n"/>
      <c r="F475" s="22" t="n"/>
      <c r="G475" s="25">
        <f>IF(COUNTA(A475:F475)=0,"",IF(OR(A475="",B475="",C475="",D475="",E475=""),"HATA: eksik bilgi",IF(OR(NOT(ISNUMBER(A475)),NOT(ISNUMBER(D475)),D475&lt;=0),"HATA: tarih/tutar geçersiz",IF(C475&lt;&gt;TRIM(C475),"HATA: isimde baştaki/sondaki boşluk",IF(COUNTIF(TurAralik,E475)=0,"HATA: ödeme türü geçersiz",IF(COUNTIFS(kOda,B475,kGiris,"&lt;="&amp;A475,kCikis,"&gt;="&amp;A475,kDurum,"&lt;&gt;İptal")=0,"HATA: bu odada o tarihte misafir yok","OK"))))))</f>
        <v/>
      </c>
      <c r="H475" s="25">
        <f>IF(AND(ISNUMBER(A475),A475=RaporTarihi),COUNTIFS($A$6:A475,RaporTarihi),"")</f>
        <v/>
      </c>
    </row>
    <row r="476">
      <c r="A476" s="23" t="n"/>
      <c r="B476" s="22" t="n"/>
      <c r="C476" s="22" t="n"/>
      <c r="D476" s="24" t="n"/>
      <c r="E476" s="22" t="n"/>
      <c r="F476" s="22" t="n"/>
      <c r="G476" s="25">
        <f>IF(COUNTA(A476:F476)=0,"",IF(OR(A476="",B476="",C476="",D476="",E476=""),"HATA: eksik bilgi",IF(OR(NOT(ISNUMBER(A476)),NOT(ISNUMBER(D476)),D476&lt;=0),"HATA: tarih/tutar geçersiz",IF(C476&lt;&gt;TRIM(C476),"HATA: isimde baştaki/sondaki boşluk",IF(COUNTIF(TurAralik,E476)=0,"HATA: ödeme türü geçersiz",IF(COUNTIFS(kOda,B476,kGiris,"&lt;="&amp;A476,kCikis,"&gt;="&amp;A476,kDurum,"&lt;&gt;İptal")=0,"HATA: bu odada o tarihte misafir yok","OK"))))))</f>
        <v/>
      </c>
      <c r="H476" s="25">
        <f>IF(AND(ISNUMBER(A476),A476=RaporTarihi),COUNTIFS($A$6:A476,RaporTarihi),"")</f>
        <v/>
      </c>
    </row>
    <row r="477">
      <c r="A477" s="23" t="n"/>
      <c r="B477" s="22" t="n"/>
      <c r="C477" s="22" t="n"/>
      <c r="D477" s="24" t="n"/>
      <c r="E477" s="22" t="n"/>
      <c r="F477" s="22" t="n"/>
      <c r="G477" s="25">
        <f>IF(COUNTA(A477:F477)=0,"",IF(OR(A477="",B477="",C477="",D477="",E477=""),"HATA: eksik bilgi",IF(OR(NOT(ISNUMBER(A477)),NOT(ISNUMBER(D477)),D477&lt;=0),"HATA: tarih/tutar geçersiz",IF(C477&lt;&gt;TRIM(C477),"HATA: isimde baştaki/sondaki boşluk",IF(COUNTIF(TurAralik,E477)=0,"HATA: ödeme türü geçersiz",IF(COUNTIFS(kOda,B477,kGiris,"&lt;="&amp;A477,kCikis,"&gt;="&amp;A477,kDurum,"&lt;&gt;İptal")=0,"HATA: bu odada o tarihte misafir yok","OK"))))))</f>
        <v/>
      </c>
      <c r="H477" s="25">
        <f>IF(AND(ISNUMBER(A477),A477=RaporTarihi),COUNTIFS($A$6:A477,RaporTarihi),"")</f>
        <v/>
      </c>
    </row>
    <row r="478">
      <c r="A478" s="23" t="n"/>
      <c r="B478" s="22" t="n"/>
      <c r="C478" s="22" t="n"/>
      <c r="D478" s="24" t="n"/>
      <c r="E478" s="22" t="n"/>
      <c r="F478" s="22" t="n"/>
      <c r="G478" s="25">
        <f>IF(COUNTA(A478:F478)=0,"",IF(OR(A478="",B478="",C478="",D478="",E478=""),"HATA: eksik bilgi",IF(OR(NOT(ISNUMBER(A478)),NOT(ISNUMBER(D478)),D478&lt;=0),"HATA: tarih/tutar geçersiz",IF(C478&lt;&gt;TRIM(C478),"HATA: isimde baştaki/sondaki boşluk",IF(COUNTIF(TurAralik,E478)=0,"HATA: ödeme türü geçersiz",IF(COUNTIFS(kOda,B478,kGiris,"&lt;="&amp;A478,kCikis,"&gt;="&amp;A478,kDurum,"&lt;&gt;İptal")=0,"HATA: bu odada o tarihte misafir yok","OK"))))))</f>
        <v/>
      </c>
      <c r="H478" s="25">
        <f>IF(AND(ISNUMBER(A478),A478=RaporTarihi),COUNTIFS($A$6:A478,RaporTarihi),"")</f>
        <v/>
      </c>
    </row>
    <row r="479">
      <c r="A479" s="23" t="n"/>
      <c r="B479" s="22" t="n"/>
      <c r="C479" s="22" t="n"/>
      <c r="D479" s="24" t="n"/>
      <c r="E479" s="22" t="n"/>
      <c r="F479" s="22" t="n"/>
      <c r="G479" s="25">
        <f>IF(COUNTA(A479:F479)=0,"",IF(OR(A479="",B479="",C479="",D479="",E479=""),"HATA: eksik bilgi",IF(OR(NOT(ISNUMBER(A479)),NOT(ISNUMBER(D479)),D479&lt;=0),"HATA: tarih/tutar geçersiz",IF(C479&lt;&gt;TRIM(C479),"HATA: isimde baştaki/sondaki boşluk",IF(COUNTIF(TurAralik,E479)=0,"HATA: ödeme türü geçersiz",IF(COUNTIFS(kOda,B479,kGiris,"&lt;="&amp;A479,kCikis,"&gt;="&amp;A479,kDurum,"&lt;&gt;İptal")=0,"HATA: bu odada o tarihte misafir yok","OK"))))))</f>
        <v/>
      </c>
      <c r="H479" s="25">
        <f>IF(AND(ISNUMBER(A479),A479=RaporTarihi),COUNTIFS($A$6:A479,RaporTarihi),"")</f>
        <v/>
      </c>
    </row>
    <row r="480">
      <c r="A480" s="23" t="n"/>
      <c r="B480" s="22" t="n"/>
      <c r="C480" s="22" t="n"/>
      <c r="D480" s="24" t="n"/>
      <c r="E480" s="22" t="n"/>
      <c r="F480" s="22" t="n"/>
      <c r="G480" s="25">
        <f>IF(COUNTA(A480:F480)=0,"",IF(OR(A480="",B480="",C480="",D480="",E480=""),"HATA: eksik bilgi",IF(OR(NOT(ISNUMBER(A480)),NOT(ISNUMBER(D480)),D480&lt;=0),"HATA: tarih/tutar geçersiz",IF(C480&lt;&gt;TRIM(C480),"HATA: isimde baştaki/sondaki boşluk",IF(COUNTIF(TurAralik,E480)=0,"HATA: ödeme türü geçersiz",IF(COUNTIFS(kOda,B480,kGiris,"&lt;="&amp;A480,kCikis,"&gt;="&amp;A480,kDurum,"&lt;&gt;İptal")=0,"HATA: bu odada o tarihte misafir yok","OK"))))))</f>
        <v/>
      </c>
      <c r="H480" s="25">
        <f>IF(AND(ISNUMBER(A480),A480=RaporTarihi),COUNTIFS($A$6:A480,RaporTarihi),"")</f>
        <v/>
      </c>
    </row>
    <row r="481">
      <c r="A481" s="23" t="n"/>
      <c r="B481" s="22" t="n"/>
      <c r="C481" s="22" t="n"/>
      <c r="D481" s="24" t="n"/>
      <c r="E481" s="22" t="n"/>
      <c r="F481" s="22" t="n"/>
      <c r="G481" s="25">
        <f>IF(COUNTA(A481:F481)=0,"",IF(OR(A481="",B481="",C481="",D481="",E481=""),"HATA: eksik bilgi",IF(OR(NOT(ISNUMBER(A481)),NOT(ISNUMBER(D481)),D481&lt;=0),"HATA: tarih/tutar geçersiz",IF(C481&lt;&gt;TRIM(C481),"HATA: isimde baştaki/sondaki boşluk",IF(COUNTIF(TurAralik,E481)=0,"HATA: ödeme türü geçersiz",IF(COUNTIFS(kOda,B481,kGiris,"&lt;="&amp;A481,kCikis,"&gt;="&amp;A481,kDurum,"&lt;&gt;İptal")=0,"HATA: bu odada o tarihte misafir yok","OK"))))))</f>
        <v/>
      </c>
      <c r="H481" s="25">
        <f>IF(AND(ISNUMBER(A481),A481=RaporTarihi),COUNTIFS($A$6:A481,RaporTarihi),"")</f>
        <v/>
      </c>
    </row>
    <row r="482">
      <c r="A482" s="23" t="n"/>
      <c r="B482" s="22" t="n"/>
      <c r="C482" s="22" t="n"/>
      <c r="D482" s="24" t="n"/>
      <c r="E482" s="22" t="n"/>
      <c r="F482" s="22" t="n"/>
      <c r="G482" s="25">
        <f>IF(COUNTA(A482:F482)=0,"",IF(OR(A482="",B482="",C482="",D482="",E482=""),"HATA: eksik bilgi",IF(OR(NOT(ISNUMBER(A482)),NOT(ISNUMBER(D482)),D482&lt;=0),"HATA: tarih/tutar geçersiz",IF(C482&lt;&gt;TRIM(C482),"HATA: isimde baştaki/sondaki boşluk",IF(COUNTIF(TurAralik,E482)=0,"HATA: ödeme türü geçersiz",IF(COUNTIFS(kOda,B482,kGiris,"&lt;="&amp;A482,kCikis,"&gt;="&amp;A482,kDurum,"&lt;&gt;İptal")=0,"HATA: bu odada o tarihte misafir yok","OK"))))))</f>
        <v/>
      </c>
      <c r="H482" s="25">
        <f>IF(AND(ISNUMBER(A482),A482=RaporTarihi),COUNTIFS($A$6:A482,RaporTarihi),"")</f>
        <v/>
      </c>
    </row>
    <row r="483">
      <c r="A483" s="23" t="n"/>
      <c r="B483" s="22" t="n"/>
      <c r="C483" s="22" t="n"/>
      <c r="D483" s="24" t="n"/>
      <c r="E483" s="22" t="n"/>
      <c r="F483" s="22" t="n"/>
      <c r="G483" s="25">
        <f>IF(COUNTA(A483:F483)=0,"",IF(OR(A483="",B483="",C483="",D483="",E483=""),"HATA: eksik bilgi",IF(OR(NOT(ISNUMBER(A483)),NOT(ISNUMBER(D483)),D483&lt;=0),"HATA: tarih/tutar geçersiz",IF(C483&lt;&gt;TRIM(C483),"HATA: isimde baştaki/sondaki boşluk",IF(COUNTIF(TurAralik,E483)=0,"HATA: ödeme türü geçersiz",IF(COUNTIFS(kOda,B483,kGiris,"&lt;="&amp;A483,kCikis,"&gt;="&amp;A483,kDurum,"&lt;&gt;İptal")=0,"HATA: bu odada o tarihte misafir yok","OK"))))))</f>
        <v/>
      </c>
      <c r="H483" s="25">
        <f>IF(AND(ISNUMBER(A483),A483=RaporTarihi),COUNTIFS($A$6:A483,RaporTarihi),"")</f>
        <v/>
      </c>
    </row>
    <row r="484">
      <c r="A484" s="23" t="n"/>
      <c r="B484" s="22" t="n"/>
      <c r="C484" s="22" t="n"/>
      <c r="D484" s="24" t="n"/>
      <c r="E484" s="22" t="n"/>
      <c r="F484" s="22" t="n"/>
      <c r="G484" s="25">
        <f>IF(COUNTA(A484:F484)=0,"",IF(OR(A484="",B484="",C484="",D484="",E484=""),"HATA: eksik bilgi",IF(OR(NOT(ISNUMBER(A484)),NOT(ISNUMBER(D484)),D484&lt;=0),"HATA: tarih/tutar geçersiz",IF(C484&lt;&gt;TRIM(C484),"HATA: isimde baştaki/sondaki boşluk",IF(COUNTIF(TurAralik,E484)=0,"HATA: ödeme türü geçersiz",IF(COUNTIFS(kOda,B484,kGiris,"&lt;="&amp;A484,kCikis,"&gt;="&amp;A484,kDurum,"&lt;&gt;İptal")=0,"HATA: bu odada o tarihte misafir yok","OK"))))))</f>
        <v/>
      </c>
      <c r="H484" s="25">
        <f>IF(AND(ISNUMBER(A484),A484=RaporTarihi),COUNTIFS($A$6:A484,RaporTarihi),"")</f>
        <v/>
      </c>
    </row>
    <row r="485">
      <c r="A485" s="23" t="n"/>
      <c r="B485" s="22" t="n"/>
      <c r="C485" s="22" t="n"/>
      <c r="D485" s="24" t="n"/>
      <c r="E485" s="22" t="n"/>
      <c r="F485" s="22" t="n"/>
      <c r="G485" s="25">
        <f>IF(COUNTA(A485:F485)=0,"",IF(OR(A485="",B485="",C485="",D485="",E485=""),"HATA: eksik bilgi",IF(OR(NOT(ISNUMBER(A485)),NOT(ISNUMBER(D485)),D485&lt;=0),"HATA: tarih/tutar geçersiz",IF(C485&lt;&gt;TRIM(C485),"HATA: isimde baştaki/sondaki boşluk",IF(COUNTIF(TurAralik,E485)=0,"HATA: ödeme türü geçersiz",IF(COUNTIFS(kOda,B485,kGiris,"&lt;="&amp;A485,kCikis,"&gt;="&amp;A485,kDurum,"&lt;&gt;İptal")=0,"HATA: bu odada o tarihte misafir yok","OK"))))))</f>
        <v/>
      </c>
      <c r="H485" s="25">
        <f>IF(AND(ISNUMBER(A485),A485=RaporTarihi),COUNTIFS($A$6:A485,RaporTarihi),"")</f>
        <v/>
      </c>
    </row>
    <row r="486">
      <c r="A486" s="23" t="n"/>
      <c r="B486" s="22" t="n"/>
      <c r="C486" s="22" t="n"/>
      <c r="D486" s="24" t="n"/>
      <c r="E486" s="22" t="n"/>
      <c r="F486" s="22" t="n"/>
      <c r="G486" s="25">
        <f>IF(COUNTA(A486:F486)=0,"",IF(OR(A486="",B486="",C486="",D486="",E486=""),"HATA: eksik bilgi",IF(OR(NOT(ISNUMBER(A486)),NOT(ISNUMBER(D486)),D486&lt;=0),"HATA: tarih/tutar geçersiz",IF(C486&lt;&gt;TRIM(C486),"HATA: isimde baştaki/sondaki boşluk",IF(COUNTIF(TurAralik,E486)=0,"HATA: ödeme türü geçersiz",IF(COUNTIFS(kOda,B486,kGiris,"&lt;="&amp;A486,kCikis,"&gt;="&amp;A486,kDurum,"&lt;&gt;İptal")=0,"HATA: bu odada o tarihte misafir yok","OK"))))))</f>
        <v/>
      </c>
      <c r="H486" s="25">
        <f>IF(AND(ISNUMBER(A486),A486=RaporTarihi),COUNTIFS($A$6:A486,RaporTarihi),"")</f>
        <v/>
      </c>
    </row>
    <row r="487">
      <c r="A487" s="23" t="n"/>
      <c r="B487" s="22" t="n"/>
      <c r="C487" s="22" t="n"/>
      <c r="D487" s="24" t="n"/>
      <c r="E487" s="22" t="n"/>
      <c r="F487" s="22" t="n"/>
      <c r="G487" s="25">
        <f>IF(COUNTA(A487:F487)=0,"",IF(OR(A487="",B487="",C487="",D487="",E487=""),"HATA: eksik bilgi",IF(OR(NOT(ISNUMBER(A487)),NOT(ISNUMBER(D487)),D487&lt;=0),"HATA: tarih/tutar geçersiz",IF(C487&lt;&gt;TRIM(C487),"HATA: isimde baştaki/sondaki boşluk",IF(COUNTIF(TurAralik,E487)=0,"HATA: ödeme türü geçersiz",IF(COUNTIFS(kOda,B487,kGiris,"&lt;="&amp;A487,kCikis,"&gt;="&amp;A487,kDurum,"&lt;&gt;İptal")=0,"HATA: bu odada o tarihte misafir yok","OK"))))))</f>
        <v/>
      </c>
      <c r="H487" s="25">
        <f>IF(AND(ISNUMBER(A487),A487=RaporTarihi),COUNTIFS($A$6:A487,RaporTarihi),"")</f>
        <v/>
      </c>
    </row>
    <row r="488">
      <c r="A488" s="23" t="n"/>
      <c r="B488" s="22" t="n"/>
      <c r="C488" s="22" t="n"/>
      <c r="D488" s="24" t="n"/>
      <c r="E488" s="22" t="n"/>
      <c r="F488" s="22" t="n"/>
      <c r="G488" s="25">
        <f>IF(COUNTA(A488:F488)=0,"",IF(OR(A488="",B488="",C488="",D488="",E488=""),"HATA: eksik bilgi",IF(OR(NOT(ISNUMBER(A488)),NOT(ISNUMBER(D488)),D488&lt;=0),"HATA: tarih/tutar geçersiz",IF(C488&lt;&gt;TRIM(C488),"HATA: isimde baştaki/sondaki boşluk",IF(COUNTIF(TurAralik,E488)=0,"HATA: ödeme türü geçersiz",IF(COUNTIFS(kOda,B488,kGiris,"&lt;="&amp;A488,kCikis,"&gt;="&amp;A488,kDurum,"&lt;&gt;İptal")=0,"HATA: bu odada o tarihte misafir yok","OK"))))))</f>
        <v/>
      </c>
      <c r="H488" s="25">
        <f>IF(AND(ISNUMBER(A488),A488=RaporTarihi),COUNTIFS($A$6:A488,RaporTarihi),"")</f>
        <v/>
      </c>
    </row>
    <row r="489">
      <c r="A489" s="23" t="n"/>
      <c r="B489" s="22" t="n"/>
      <c r="C489" s="22" t="n"/>
      <c r="D489" s="24" t="n"/>
      <c r="E489" s="22" t="n"/>
      <c r="F489" s="22" t="n"/>
      <c r="G489" s="25">
        <f>IF(COUNTA(A489:F489)=0,"",IF(OR(A489="",B489="",C489="",D489="",E489=""),"HATA: eksik bilgi",IF(OR(NOT(ISNUMBER(A489)),NOT(ISNUMBER(D489)),D489&lt;=0),"HATA: tarih/tutar geçersiz",IF(C489&lt;&gt;TRIM(C489),"HATA: isimde baştaki/sondaki boşluk",IF(COUNTIF(TurAralik,E489)=0,"HATA: ödeme türü geçersiz",IF(COUNTIFS(kOda,B489,kGiris,"&lt;="&amp;A489,kCikis,"&gt;="&amp;A489,kDurum,"&lt;&gt;İptal")=0,"HATA: bu odada o tarihte misafir yok","OK"))))))</f>
        <v/>
      </c>
      <c r="H489" s="25">
        <f>IF(AND(ISNUMBER(A489),A489=RaporTarihi),COUNTIFS($A$6:A489,RaporTarihi),"")</f>
        <v/>
      </c>
    </row>
    <row r="490">
      <c r="A490" s="23" t="n"/>
      <c r="B490" s="22" t="n"/>
      <c r="C490" s="22" t="n"/>
      <c r="D490" s="24" t="n"/>
      <c r="E490" s="22" t="n"/>
      <c r="F490" s="22" t="n"/>
      <c r="G490" s="25">
        <f>IF(COUNTA(A490:F490)=0,"",IF(OR(A490="",B490="",C490="",D490="",E490=""),"HATA: eksik bilgi",IF(OR(NOT(ISNUMBER(A490)),NOT(ISNUMBER(D490)),D490&lt;=0),"HATA: tarih/tutar geçersiz",IF(C490&lt;&gt;TRIM(C490),"HATA: isimde baştaki/sondaki boşluk",IF(COUNTIF(TurAralik,E490)=0,"HATA: ödeme türü geçersiz",IF(COUNTIFS(kOda,B490,kGiris,"&lt;="&amp;A490,kCikis,"&gt;="&amp;A490,kDurum,"&lt;&gt;İptal")=0,"HATA: bu odada o tarihte misafir yok","OK"))))))</f>
        <v/>
      </c>
      <c r="H490" s="25">
        <f>IF(AND(ISNUMBER(A490),A490=RaporTarihi),COUNTIFS($A$6:A490,RaporTarihi),"")</f>
        <v/>
      </c>
    </row>
    <row r="491">
      <c r="A491" s="23" t="n"/>
      <c r="B491" s="22" t="n"/>
      <c r="C491" s="22" t="n"/>
      <c r="D491" s="24" t="n"/>
      <c r="E491" s="22" t="n"/>
      <c r="F491" s="22" t="n"/>
      <c r="G491" s="25">
        <f>IF(COUNTA(A491:F491)=0,"",IF(OR(A491="",B491="",C491="",D491="",E491=""),"HATA: eksik bilgi",IF(OR(NOT(ISNUMBER(A491)),NOT(ISNUMBER(D491)),D491&lt;=0),"HATA: tarih/tutar geçersiz",IF(C491&lt;&gt;TRIM(C491),"HATA: isimde baştaki/sondaki boşluk",IF(COUNTIF(TurAralik,E491)=0,"HATA: ödeme türü geçersiz",IF(COUNTIFS(kOda,B491,kGiris,"&lt;="&amp;A491,kCikis,"&gt;="&amp;A491,kDurum,"&lt;&gt;İptal")=0,"HATA: bu odada o tarihte misafir yok","OK"))))))</f>
        <v/>
      </c>
      <c r="H491" s="25">
        <f>IF(AND(ISNUMBER(A491),A491=RaporTarihi),COUNTIFS($A$6:A491,RaporTarihi),"")</f>
        <v/>
      </c>
    </row>
    <row r="492">
      <c r="A492" s="23" t="n"/>
      <c r="B492" s="22" t="n"/>
      <c r="C492" s="22" t="n"/>
      <c r="D492" s="24" t="n"/>
      <c r="E492" s="22" t="n"/>
      <c r="F492" s="22" t="n"/>
      <c r="G492" s="25">
        <f>IF(COUNTA(A492:F492)=0,"",IF(OR(A492="",B492="",C492="",D492="",E492=""),"HATA: eksik bilgi",IF(OR(NOT(ISNUMBER(A492)),NOT(ISNUMBER(D492)),D492&lt;=0),"HATA: tarih/tutar geçersiz",IF(C492&lt;&gt;TRIM(C492),"HATA: isimde baştaki/sondaki boşluk",IF(COUNTIF(TurAralik,E492)=0,"HATA: ödeme türü geçersiz",IF(COUNTIFS(kOda,B492,kGiris,"&lt;="&amp;A492,kCikis,"&gt;="&amp;A492,kDurum,"&lt;&gt;İptal")=0,"HATA: bu odada o tarihte misafir yok","OK"))))))</f>
        <v/>
      </c>
      <c r="H492" s="25">
        <f>IF(AND(ISNUMBER(A492),A492=RaporTarihi),COUNTIFS($A$6:A492,RaporTarihi),"")</f>
        <v/>
      </c>
    </row>
    <row r="493">
      <c r="A493" s="23" t="n"/>
      <c r="B493" s="22" t="n"/>
      <c r="C493" s="22" t="n"/>
      <c r="D493" s="24" t="n"/>
      <c r="E493" s="22" t="n"/>
      <c r="F493" s="22" t="n"/>
      <c r="G493" s="25">
        <f>IF(COUNTA(A493:F493)=0,"",IF(OR(A493="",B493="",C493="",D493="",E493=""),"HATA: eksik bilgi",IF(OR(NOT(ISNUMBER(A493)),NOT(ISNUMBER(D493)),D493&lt;=0),"HATA: tarih/tutar geçersiz",IF(C493&lt;&gt;TRIM(C493),"HATA: isimde baştaki/sondaki boşluk",IF(COUNTIF(TurAralik,E493)=0,"HATA: ödeme türü geçersiz",IF(COUNTIFS(kOda,B493,kGiris,"&lt;="&amp;A493,kCikis,"&gt;="&amp;A493,kDurum,"&lt;&gt;İptal")=0,"HATA: bu odada o tarihte misafir yok","OK"))))))</f>
        <v/>
      </c>
      <c r="H493" s="25">
        <f>IF(AND(ISNUMBER(A493),A493=RaporTarihi),COUNTIFS($A$6:A493,RaporTarihi),"")</f>
        <v/>
      </c>
    </row>
    <row r="494">
      <c r="A494" s="23" t="n"/>
      <c r="B494" s="22" t="n"/>
      <c r="C494" s="22" t="n"/>
      <c r="D494" s="24" t="n"/>
      <c r="E494" s="22" t="n"/>
      <c r="F494" s="22" t="n"/>
      <c r="G494" s="25">
        <f>IF(COUNTA(A494:F494)=0,"",IF(OR(A494="",B494="",C494="",D494="",E494=""),"HATA: eksik bilgi",IF(OR(NOT(ISNUMBER(A494)),NOT(ISNUMBER(D494)),D494&lt;=0),"HATA: tarih/tutar geçersiz",IF(C494&lt;&gt;TRIM(C494),"HATA: isimde baştaki/sondaki boşluk",IF(COUNTIF(TurAralik,E494)=0,"HATA: ödeme türü geçersiz",IF(COUNTIFS(kOda,B494,kGiris,"&lt;="&amp;A494,kCikis,"&gt;="&amp;A494,kDurum,"&lt;&gt;İptal")=0,"HATA: bu odada o tarihte misafir yok","OK"))))))</f>
        <v/>
      </c>
      <c r="H494" s="25">
        <f>IF(AND(ISNUMBER(A494),A494=RaporTarihi),COUNTIFS($A$6:A494,RaporTarihi),"")</f>
        <v/>
      </c>
    </row>
    <row r="495">
      <c r="A495" s="23" t="n"/>
      <c r="B495" s="22" t="n"/>
      <c r="C495" s="22" t="n"/>
      <c r="D495" s="24" t="n"/>
      <c r="E495" s="22" t="n"/>
      <c r="F495" s="22" t="n"/>
      <c r="G495" s="25">
        <f>IF(COUNTA(A495:F495)=0,"",IF(OR(A495="",B495="",C495="",D495="",E495=""),"HATA: eksik bilgi",IF(OR(NOT(ISNUMBER(A495)),NOT(ISNUMBER(D495)),D495&lt;=0),"HATA: tarih/tutar geçersiz",IF(C495&lt;&gt;TRIM(C495),"HATA: isimde baştaki/sondaki boşluk",IF(COUNTIF(TurAralik,E495)=0,"HATA: ödeme türü geçersiz",IF(COUNTIFS(kOda,B495,kGiris,"&lt;="&amp;A495,kCikis,"&gt;="&amp;A495,kDurum,"&lt;&gt;İptal")=0,"HATA: bu odada o tarihte misafir yok","OK"))))))</f>
        <v/>
      </c>
      <c r="H495" s="25">
        <f>IF(AND(ISNUMBER(A495),A495=RaporTarihi),COUNTIFS($A$6:A495,RaporTarihi),"")</f>
        <v/>
      </c>
    </row>
    <row r="496">
      <c r="A496" s="23" t="n"/>
      <c r="B496" s="22" t="n"/>
      <c r="C496" s="22" t="n"/>
      <c r="D496" s="24" t="n"/>
      <c r="E496" s="22" t="n"/>
      <c r="F496" s="22" t="n"/>
      <c r="G496" s="25">
        <f>IF(COUNTA(A496:F496)=0,"",IF(OR(A496="",B496="",C496="",D496="",E496=""),"HATA: eksik bilgi",IF(OR(NOT(ISNUMBER(A496)),NOT(ISNUMBER(D496)),D496&lt;=0),"HATA: tarih/tutar geçersiz",IF(C496&lt;&gt;TRIM(C496),"HATA: isimde baştaki/sondaki boşluk",IF(COUNTIF(TurAralik,E496)=0,"HATA: ödeme türü geçersiz",IF(COUNTIFS(kOda,B496,kGiris,"&lt;="&amp;A496,kCikis,"&gt;="&amp;A496,kDurum,"&lt;&gt;İptal")=0,"HATA: bu odada o tarihte misafir yok","OK"))))))</f>
        <v/>
      </c>
      <c r="H496" s="25">
        <f>IF(AND(ISNUMBER(A496),A496=RaporTarihi),COUNTIFS($A$6:A496,RaporTarihi),"")</f>
        <v/>
      </c>
    </row>
    <row r="497">
      <c r="A497" s="23" t="n"/>
      <c r="B497" s="22" t="n"/>
      <c r="C497" s="22" t="n"/>
      <c r="D497" s="24" t="n"/>
      <c r="E497" s="22" t="n"/>
      <c r="F497" s="22" t="n"/>
      <c r="G497" s="25">
        <f>IF(COUNTA(A497:F497)=0,"",IF(OR(A497="",B497="",C497="",D497="",E497=""),"HATA: eksik bilgi",IF(OR(NOT(ISNUMBER(A497)),NOT(ISNUMBER(D497)),D497&lt;=0),"HATA: tarih/tutar geçersiz",IF(C497&lt;&gt;TRIM(C497),"HATA: isimde baştaki/sondaki boşluk",IF(COUNTIF(TurAralik,E497)=0,"HATA: ödeme türü geçersiz",IF(COUNTIFS(kOda,B497,kGiris,"&lt;="&amp;A497,kCikis,"&gt;="&amp;A497,kDurum,"&lt;&gt;İptal")=0,"HATA: bu odada o tarihte misafir yok","OK"))))))</f>
        <v/>
      </c>
      <c r="H497" s="25">
        <f>IF(AND(ISNUMBER(A497),A497=RaporTarihi),COUNTIFS($A$6:A497,RaporTarihi),"")</f>
        <v/>
      </c>
    </row>
    <row r="498">
      <c r="A498" s="23" t="n"/>
      <c r="B498" s="22" t="n"/>
      <c r="C498" s="22" t="n"/>
      <c r="D498" s="24" t="n"/>
      <c r="E498" s="22" t="n"/>
      <c r="F498" s="22" t="n"/>
      <c r="G498" s="25">
        <f>IF(COUNTA(A498:F498)=0,"",IF(OR(A498="",B498="",C498="",D498="",E498=""),"HATA: eksik bilgi",IF(OR(NOT(ISNUMBER(A498)),NOT(ISNUMBER(D498)),D498&lt;=0),"HATA: tarih/tutar geçersiz",IF(C498&lt;&gt;TRIM(C498),"HATA: isimde baştaki/sondaki boşluk",IF(COUNTIF(TurAralik,E498)=0,"HATA: ödeme türü geçersiz",IF(COUNTIFS(kOda,B498,kGiris,"&lt;="&amp;A498,kCikis,"&gt;="&amp;A498,kDurum,"&lt;&gt;İptal")=0,"HATA: bu odada o tarihte misafir yok","OK"))))))</f>
        <v/>
      </c>
      <c r="H498" s="25">
        <f>IF(AND(ISNUMBER(A498),A498=RaporTarihi),COUNTIFS($A$6:A498,RaporTarihi),"")</f>
        <v/>
      </c>
    </row>
    <row r="499">
      <c r="A499" s="23" t="n"/>
      <c r="B499" s="22" t="n"/>
      <c r="C499" s="22" t="n"/>
      <c r="D499" s="24" t="n"/>
      <c r="E499" s="22" t="n"/>
      <c r="F499" s="22" t="n"/>
      <c r="G499" s="25">
        <f>IF(COUNTA(A499:F499)=0,"",IF(OR(A499="",B499="",C499="",D499="",E499=""),"HATA: eksik bilgi",IF(OR(NOT(ISNUMBER(A499)),NOT(ISNUMBER(D499)),D499&lt;=0),"HATA: tarih/tutar geçersiz",IF(C499&lt;&gt;TRIM(C499),"HATA: isimde baştaki/sondaki boşluk",IF(COUNTIF(TurAralik,E499)=0,"HATA: ödeme türü geçersiz",IF(COUNTIFS(kOda,B499,kGiris,"&lt;="&amp;A499,kCikis,"&gt;="&amp;A499,kDurum,"&lt;&gt;İptal")=0,"HATA: bu odada o tarihte misafir yok","OK"))))))</f>
        <v/>
      </c>
      <c r="H499" s="25">
        <f>IF(AND(ISNUMBER(A499),A499=RaporTarihi),COUNTIFS($A$6:A499,RaporTarihi),"")</f>
        <v/>
      </c>
    </row>
    <row r="500">
      <c r="A500" s="23" t="n"/>
      <c r="B500" s="22" t="n"/>
      <c r="C500" s="22" t="n"/>
      <c r="D500" s="24" t="n"/>
      <c r="E500" s="22" t="n"/>
      <c r="F500" s="22" t="n"/>
      <c r="G500" s="25">
        <f>IF(COUNTA(A500:F500)=0,"",IF(OR(A500="",B500="",C500="",D500="",E500=""),"HATA: eksik bilgi",IF(OR(NOT(ISNUMBER(A500)),NOT(ISNUMBER(D500)),D500&lt;=0),"HATA: tarih/tutar geçersiz",IF(C500&lt;&gt;TRIM(C500),"HATA: isimde baştaki/sondaki boşluk",IF(COUNTIF(TurAralik,E500)=0,"HATA: ödeme türü geçersiz",IF(COUNTIFS(kOda,B500,kGiris,"&lt;="&amp;A500,kCikis,"&gt;="&amp;A500,kDurum,"&lt;&gt;İptal")=0,"HATA: bu odada o tarihte misafir yok","OK"))))))</f>
        <v/>
      </c>
      <c r="H500" s="25">
        <f>IF(AND(ISNUMBER(A500),A500=RaporTarihi),COUNTIFS($A$6:A500,RaporTarihi),"")</f>
        <v/>
      </c>
    </row>
    <row r="501">
      <c r="A501" s="23" t="n"/>
      <c r="B501" s="22" t="n"/>
      <c r="C501" s="22" t="n"/>
      <c r="D501" s="24" t="n"/>
      <c r="E501" s="22" t="n"/>
      <c r="F501" s="22" t="n"/>
      <c r="G501" s="25">
        <f>IF(COUNTA(A501:F501)=0,"",IF(OR(A501="",B501="",C501="",D501="",E501=""),"HATA: eksik bilgi",IF(OR(NOT(ISNUMBER(A501)),NOT(ISNUMBER(D501)),D501&lt;=0),"HATA: tarih/tutar geçersiz",IF(C501&lt;&gt;TRIM(C501),"HATA: isimde baştaki/sondaki boşluk",IF(COUNTIF(TurAralik,E501)=0,"HATA: ödeme türü geçersiz",IF(COUNTIFS(kOda,B501,kGiris,"&lt;="&amp;A501,kCikis,"&gt;="&amp;A501,kDurum,"&lt;&gt;İptal")=0,"HATA: bu odada o tarihte misafir yok","OK"))))))</f>
        <v/>
      </c>
      <c r="H501" s="25">
        <f>IF(AND(ISNUMBER(A501),A501=RaporTarihi),COUNTIFS($A$6:A501,RaporTarihi),"")</f>
        <v/>
      </c>
    </row>
    <row r="502">
      <c r="A502" s="23" t="n"/>
      <c r="B502" s="22" t="n"/>
      <c r="C502" s="22" t="n"/>
      <c r="D502" s="24" t="n"/>
      <c r="E502" s="22" t="n"/>
      <c r="F502" s="22" t="n"/>
      <c r="G502" s="25">
        <f>IF(COUNTA(A502:F502)=0,"",IF(OR(A502="",B502="",C502="",D502="",E502=""),"HATA: eksik bilgi",IF(OR(NOT(ISNUMBER(A502)),NOT(ISNUMBER(D502)),D502&lt;=0),"HATA: tarih/tutar geçersiz",IF(C502&lt;&gt;TRIM(C502),"HATA: isimde baştaki/sondaki boşluk",IF(COUNTIF(TurAralik,E502)=0,"HATA: ödeme türü geçersiz",IF(COUNTIFS(kOda,B502,kGiris,"&lt;="&amp;A502,kCikis,"&gt;="&amp;A502,kDurum,"&lt;&gt;İptal")=0,"HATA: bu odada o tarihte misafir yok","OK"))))))</f>
        <v/>
      </c>
      <c r="H502" s="25">
        <f>IF(AND(ISNUMBER(A502),A502=RaporTarihi),COUNTIFS($A$6:A502,RaporTarihi),"")</f>
        <v/>
      </c>
    </row>
    <row r="503">
      <c r="A503" s="23" t="n"/>
      <c r="B503" s="22" t="n"/>
      <c r="C503" s="22" t="n"/>
      <c r="D503" s="24" t="n"/>
      <c r="E503" s="22" t="n"/>
      <c r="F503" s="22" t="n"/>
      <c r="G503" s="25">
        <f>IF(COUNTA(A503:F503)=0,"",IF(OR(A503="",B503="",C503="",D503="",E503=""),"HATA: eksik bilgi",IF(OR(NOT(ISNUMBER(A503)),NOT(ISNUMBER(D503)),D503&lt;=0),"HATA: tarih/tutar geçersiz",IF(C503&lt;&gt;TRIM(C503),"HATA: isimde baştaki/sondaki boşluk",IF(COUNTIF(TurAralik,E503)=0,"HATA: ödeme türü geçersiz",IF(COUNTIFS(kOda,B503,kGiris,"&lt;="&amp;A503,kCikis,"&gt;="&amp;A503,kDurum,"&lt;&gt;İptal")=0,"HATA: bu odada o tarihte misafir yok","OK"))))))</f>
        <v/>
      </c>
      <c r="H503" s="25">
        <f>IF(AND(ISNUMBER(A503),A503=RaporTarihi),COUNTIFS($A$6:A503,RaporTarihi),"")</f>
        <v/>
      </c>
    </row>
    <row r="504">
      <c r="A504" s="23" t="n"/>
      <c r="B504" s="22" t="n"/>
      <c r="C504" s="22" t="n"/>
      <c r="D504" s="24" t="n"/>
      <c r="E504" s="22" t="n"/>
      <c r="F504" s="22" t="n"/>
      <c r="G504" s="25">
        <f>IF(COUNTA(A504:F504)=0,"",IF(OR(A504="",B504="",C504="",D504="",E504=""),"HATA: eksik bilgi",IF(OR(NOT(ISNUMBER(A504)),NOT(ISNUMBER(D504)),D504&lt;=0),"HATA: tarih/tutar geçersiz",IF(C504&lt;&gt;TRIM(C504),"HATA: isimde baştaki/sondaki boşluk",IF(COUNTIF(TurAralik,E504)=0,"HATA: ödeme türü geçersiz",IF(COUNTIFS(kOda,B504,kGiris,"&lt;="&amp;A504,kCikis,"&gt;="&amp;A504,kDurum,"&lt;&gt;İptal")=0,"HATA: bu odada o tarihte misafir yok","OK"))))))</f>
        <v/>
      </c>
      <c r="H504" s="25">
        <f>IF(AND(ISNUMBER(A504),A504=RaporTarihi),COUNTIFS($A$6:A504,RaporTarihi),"")</f>
        <v/>
      </c>
    </row>
    <row r="505">
      <c r="A505" s="23" t="n"/>
      <c r="B505" s="22" t="n"/>
      <c r="C505" s="22" t="n"/>
      <c r="D505" s="24" t="n"/>
      <c r="E505" s="22" t="n"/>
      <c r="F505" s="22" t="n"/>
      <c r="G505" s="25">
        <f>IF(COUNTA(A505:F505)=0,"",IF(OR(A505="",B505="",C505="",D505="",E505=""),"HATA: eksik bilgi",IF(OR(NOT(ISNUMBER(A505)),NOT(ISNUMBER(D505)),D505&lt;=0),"HATA: tarih/tutar geçersiz",IF(C505&lt;&gt;TRIM(C505),"HATA: isimde baştaki/sondaki boşluk",IF(COUNTIF(TurAralik,E505)=0,"HATA: ödeme türü geçersiz",IF(COUNTIFS(kOda,B505,kGiris,"&lt;="&amp;A505,kCikis,"&gt;="&amp;A505,kDurum,"&lt;&gt;İptal")=0,"HATA: bu odada o tarihte misafir yok","OK"))))))</f>
        <v/>
      </c>
      <c r="H505" s="25">
        <f>IF(AND(ISNUMBER(A505),A505=RaporTarihi),COUNTIFS($A$6:A505,RaporTarihi),"")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5:G505"/>
  <conditionalFormatting sqref="A6:G505">
    <cfRule type="expression" priority="1" dxfId="3">
      <formula>LEFT($G6,4)="HATA"</formula>
    </cfRule>
  </conditionalFormatting>
  <conditionalFormatting sqref="G6:G505">
    <cfRule type="expression" priority="2" dxfId="5">
      <formula>$G6="OK"</formula>
    </cfRule>
  </conditionalFormatting>
  <dataValidations count="5">
    <dataValidation sqref="A6:A505" showDropDown="0" showInputMessage="0" showErrorMessage="1" allowBlank="1" errorTitle="Geçersiz tarih" error="Gerçek bir tarih girin (gg.aa.yyyy). Metin yazılamaz." type="date" errorStyle="stop" operator="between">
      <formula1>43831</formula1>
      <formula2>73050</formula2>
    </dataValidation>
    <dataValidation sqref="B6:B505" showDropDown="0" showInputMessage="0" showErrorMessage="1" allowBlank="1" errorTitle="Geçersiz oda" error="Listeden oda no seçin." type="list" errorStyle="stop">
      <formula1>=OdaListesi</formula1>
    </dataValidation>
    <dataValidation sqref="C6:C505" showDropDown="0" showInputMessage="0" showErrorMessage="1" allowBlank="1" errorTitle="Geçersiz isim" error="İsim en az 3 harf olmalı; başında/sonunda boşluk olmamalı." type="custom" errorStyle="stop">
      <formula1>=AND(LEN(C6)&gt;=3,C6=TRIM(C6))</formula1>
    </dataValidation>
    <dataValidation sqref="D6:D505" showDropDown="0" showInputMessage="0" showErrorMessage="1" allowBlank="1" errorTitle="Geçersiz tutar" error="Tutar 0'dan büyük bir sayı olmalı." type="decimal" errorStyle="stop" operator="greaterThan">
      <formula1>0</formula1>
    </dataValidation>
    <dataValidation sqref="E6:E505" showDropDown="0" showInputMessage="0" showErrorMessage="1" allowBlank="1" errorTitle="Geçersiz tür" error="Listeden seçin." type="list" errorStyle="stop">
      <formula1>=TurListesi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3" max="3"/>
    <col width="22" customWidth="1" min="5" max="5"/>
    <col width="18" customWidth="1" min="7" max="7"/>
    <col width="10" customWidth="1" min="8" max="8"/>
  </cols>
  <sheetData>
    <row r="1">
      <c r="A1" s="27" t="inlineStr">
        <is>
          <t>AYARLAR (yalnızca yönetici değiştirir)</t>
        </is>
      </c>
    </row>
    <row r="3">
      <c r="A3" s="4" t="inlineStr">
        <is>
          <t>Oda No</t>
        </is>
      </c>
      <c r="B3" s="4" t="inlineStr"/>
      <c r="C3" s="4" t="inlineStr">
        <is>
          <t>Açıklama / Kaynak listesi</t>
        </is>
      </c>
      <c r="D3" s="4" t="inlineStr"/>
      <c r="E3" s="4" t="inlineStr">
        <is>
          <t>Ödeme türü listesi</t>
        </is>
      </c>
      <c r="F3" s="4" t="inlineStr"/>
      <c r="G3" s="4" t="inlineStr">
        <is>
          <t>Genel</t>
        </is>
      </c>
    </row>
    <row r="4">
      <c r="A4" s="28" t="n">
        <v>3</v>
      </c>
      <c r="C4" s="28" t="inlineStr">
        <is>
          <t>ÖĞRENCİ</t>
        </is>
      </c>
      <c r="E4" s="28" t="inlineStr">
        <is>
          <t>NAKİT</t>
        </is>
      </c>
      <c r="G4" t="inlineStr">
        <is>
          <t>Odada azami kişi</t>
        </is>
      </c>
      <c r="H4" s="28" t="n">
        <v>6</v>
      </c>
    </row>
    <row r="5">
      <c r="A5" s="28" t="n">
        <v>4</v>
      </c>
      <c r="C5" s="28" t="inlineStr">
        <is>
          <t>MÜNFERİT</t>
        </is>
      </c>
      <c r="E5" s="28" t="inlineStr">
        <is>
          <t>KK</t>
        </is>
      </c>
      <c r="G5" t="inlineStr">
        <is>
          <t>Yeni kaynak/ödeme türü eklemek için ilgili listenin altındaki boş hücreye yazın.</t>
        </is>
      </c>
    </row>
    <row r="6">
      <c r="A6" s="28" t="n">
        <v>5</v>
      </c>
      <c r="C6" s="28" t="inlineStr">
        <is>
          <t>ODAMAX</t>
        </is>
      </c>
      <c r="E6" s="28" t="inlineStr">
        <is>
          <t>HAVALE/EFT</t>
        </is>
      </c>
    </row>
    <row r="7">
      <c r="A7" s="28" t="n">
        <v>6</v>
      </c>
      <c r="C7" s="28" t="inlineStr">
        <is>
          <t>JOLLYTUR</t>
        </is>
      </c>
      <c r="E7" s="28" t="n"/>
    </row>
    <row r="8">
      <c r="A8" s="28" t="n">
        <v>7</v>
      </c>
      <c r="C8" s="28" t="inlineStr">
        <is>
          <t>COMP-MARATON</t>
        </is>
      </c>
      <c r="E8" s="28" t="n"/>
    </row>
    <row r="9">
      <c r="A9" s="28" t="n">
        <v>8</v>
      </c>
      <c r="C9" s="28" t="n"/>
      <c r="E9" s="28" t="n"/>
    </row>
    <row r="10">
      <c r="A10" s="28" t="n">
        <v>9</v>
      </c>
      <c r="C10" s="28" t="n"/>
      <c r="E10" s="28" t="n"/>
    </row>
    <row r="11">
      <c r="A11" s="28" t="n">
        <v>10</v>
      </c>
      <c r="C11" s="28" t="n"/>
      <c r="E11" s="28" t="n"/>
    </row>
    <row r="12">
      <c r="A12" s="28" t="n">
        <v>11</v>
      </c>
      <c r="C12" s="28" t="n"/>
      <c r="E12" s="28" t="n"/>
    </row>
    <row r="13">
      <c r="A13" s="28" t="n">
        <v>12</v>
      </c>
      <c r="C13" s="28" t="n"/>
      <c r="E13" s="28" t="n"/>
    </row>
    <row r="14">
      <c r="A14" s="28" t="n">
        <v>13</v>
      </c>
      <c r="C14" s="28" t="n"/>
      <c r="E14" s="28" t="n"/>
    </row>
    <row r="15">
      <c r="A15" s="28" t="n">
        <v>14</v>
      </c>
      <c r="C15" s="28" t="n"/>
      <c r="E15" s="28" t="n"/>
    </row>
    <row r="16">
      <c r="A16" s="28" t="n">
        <v>15</v>
      </c>
      <c r="C16" s="28" t="n"/>
      <c r="E16" s="28" t="n"/>
    </row>
    <row r="17">
      <c r="A17" s="28" t="n">
        <v>16</v>
      </c>
      <c r="C17" s="28" t="n"/>
      <c r="E17" s="28" t="n"/>
    </row>
    <row r="18">
      <c r="A18" s="28" t="n">
        <v>17</v>
      </c>
      <c r="C18" s="28" t="n"/>
      <c r="E18" s="28" t="n"/>
    </row>
    <row r="19">
      <c r="A19" s="28" t="n">
        <v>18</v>
      </c>
      <c r="C19" s="28" t="n"/>
      <c r="E19" s="28" t="n"/>
    </row>
    <row r="20">
      <c r="A20" s="28" t="n">
        <v>19</v>
      </c>
      <c r="C20" s="28" t="n"/>
      <c r="E20" s="28" t="n"/>
    </row>
    <row r="21">
      <c r="A21" s="28" t="n">
        <v>20</v>
      </c>
      <c r="C21" s="28" t="n"/>
      <c r="E21" s="28" t="n"/>
    </row>
    <row r="22">
      <c r="A22" s="28" t="n">
        <v>21</v>
      </c>
      <c r="C22" s="28" t="n"/>
      <c r="E22" s="28" t="n"/>
    </row>
    <row r="23">
      <c r="A23" s="28" t="n">
        <v>22</v>
      </c>
      <c r="C23" s="28" t="n"/>
      <c r="E23" s="28" t="n"/>
    </row>
    <row r="24">
      <c r="A24" s="28" t="n">
        <v>23</v>
      </c>
      <c r="C24" s="28" t="n"/>
      <c r="E24" s="28" t="n"/>
    </row>
    <row r="25">
      <c r="A25" s="28" t="n">
        <v>24</v>
      </c>
      <c r="C25" s="28" t="n"/>
      <c r="E25" s="28" t="n"/>
    </row>
    <row r="26">
      <c r="A26" s="28" t="n">
        <v>25</v>
      </c>
      <c r="C26" s="28" t="n"/>
      <c r="E26" s="28" t="n"/>
    </row>
    <row r="27">
      <c r="A27" s="28" t="n">
        <v>26</v>
      </c>
      <c r="C27" s="28" t="n"/>
      <c r="E27" s="28" t="n"/>
    </row>
    <row r="28">
      <c r="A28" s="28" t="n">
        <v>27</v>
      </c>
      <c r="C28" s="28" t="n"/>
      <c r="E28" s="28" t="n"/>
    </row>
    <row r="29">
      <c r="A29" s="28" t="n">
        <v>28</v>
      </c>
      <c r="C29" s="28" t="n"/>
      <c r="E29" s="28" t="n"/>
    </row>
    <row r="30">
      <c r="A30" s="28" t="n">
        <v>29</v>
      </c>
      <c r="C30" s="28" t="n"/>
      <c r="E30" s="28" t="n"/>
    </row>
    <row r="31">
      <c r="A31" s="28" t="n">
        <v>30</v>
      </c>
      <c r="C31" s="28" t="n"/>
      <c r="E31" s="28" t="n"/>
    </row>
    <row r="32">
      <c r="A32" s="28" t="n">
        <v>31</v>
      </c>
      <c r="C32" s="28" t="n"/>
      <c r="E32" s="28" t="n"/>
    </row>
    <row r="33">
      <c r="A33" s="28" t="n">
        <v>32</v>
      </c>
      <c r="C33" s="28" t="n"/>
      <c r="E33" s="2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Oda</t>
        </is>
      </c>
      <c r="B1" s="4" t="inlineStr">
        <is>
          <t>GünBaşı</t>
        </is>
      </c>
      <c r="C1" s="4" t="inlineStr">
        <is>
          <t>Gelen</t>
        </is>
      </c>
      <c r="D1" s="4" t="inlineStr">
        <is>
          <t>Gelecek</t>
        </is>
      </c>
      <c r="E1" s="4" t="inlineStr">
        <is>
          <t>Giden</t>
        </is>
      </c>
      <c r="F1" s="4" t="inlineStr">
        <is>
          <t>GünSonu</t>
        </is>
      </c>
      <c r="G1" s="4" t="inlineStr">
        <is>
          <t>Boş</t>
        </is>
      </c>
      <c r="H1" s="4" t="inlineStr">
        <is>
          <t>tGB</t>
        </is>
      </c>
      <c r="I1" s="4" t="inlineStr">
        <is>
          <t>tGel</t>
        </is>
      </c>
      <c r="J1" s="4" t="inlineStr">
        <is>
          <t>tGlc</t>
        </is>
      </c>
      <c r="K1" s="4" t="inlineStr">
        <is>
          <t>tGid</t>
        </is>
      </c>
      <c r="L1" s="4" t="inlineStr">
        <is>
          <t>tGS</t>
        </is>
      </c>
      <c r="M1" s="4" t="inlineStr">
        <is>
          <t>tBoş</t>
        </is>
      </c>
      <c r="N1" s="4" t="inlineStr">
        <is>
          <t>Sıra</t>
        </is>
      </c>
    </row>
    <row r="2">
      <c r="A2">
        <f>Ayarlar!A4</f>
        <v/>
      </c>
      <c r="B2">
        <f>IF(COUNTIFS(kOda,A2,kGiris,"&lt;"&amp;RaporTarihi,kCikis,"&gt;="&amp;RaporTarihi,kDurum,"Geldi")&gt;0,1,0)</f>
        <v/>
      </c>
      <c r="C2">
        <f>IF(COUNTIFS(kOda,A2,kGiris,RaporTarihi,kDurum,"Geldi")&gt;0,1,0)</f>
        <v/>
      </c>
      <c r="D2">
        <f>IF(COUNTIFS(kOda,A2,kGiris,RaporTarihi,kDurum,"Bekleniyor")&gt;0,1,0)</f>
        <v/>
      </c>
      <c r="E2">
        <f>IF(COUNTIFS(kOda,A2,kCikis,RaporTarihi,kDurum,"Geldi")&gt;0,1,0)</f>
        <v/>
      </c>
      <c r="F2">
        <f>IF(COUNTIFS(kOda,A2,kGiris,"&lt;="&amp;RaporTarihi,kCikis,"&gt;"&amp;RaporTarihi,kDurum,"&lt;&gt;İptal")&gt;0,1,0)</f>
        <v/>
      </c>
      <c r="G2">
        <f>1-F2</f>
        <v/>
      </c>
      <c r="H2">
        <f>IF(B2=1,TEXT($A2,"00"),"")</f>
        <v/>
      </c>
      <c r="I2">
        <f>IF(C2=1,TEXT($A2,"00"),"")</f>
        <v/>
      </c>
      <c r="J2">
        <f>IF(D2=1,TEXT($A2,"00"),"")</f>
        <v/>
      </c>
      <c r="K2">
        <f>IF(E2=1,TEXT($A2,"00"),"")</f>
        <v/>
      </c>
      <c r="L2">
        <f>IF(F2=1,TEXT($A2,"00"),"")</f>
        <v/>
      </c>
      <c r="M2">
        <f>IF(G2=1,TEXT($A2,"00"),"")</f>
        <v/>
      </c>
      <c r="N2">
        <f>IF(F2=1,COUNTIF(F$2:F2,1),"")</f>
        <v/>
      </c>
    </row>
    <row r="3">
      <c r="A3">
        <f>Ayarlar!A5</f>
        <v/>
      </c>
      <c r="B3">
        <f>IF(COUNTIFS(kOda,A3,kGiris,"&lt;"&amp;RaporTarihi,kCikis,"&gt;="&amp;RaporTarihi,kDurum,"Geldi")&gt;0,1,0)</f>
        <v/>
      </c>
      <c r="C3">
        <f>IF(COUNTIFS(kOda,A3,kGiris,RaporTarihi,kDurum,"Geldi")&gt;0,1,0)</f>
        <v/>
      </c>
      <c r="D3">
        <f>IF(COUNTIFS(kOda,A3,kGiris,RaporTarihi,kDurum,"Bekleniyor")&gt;0,1,0)</f>
        <v/>
      </c>
      <c r="E3">
        <f>IF(COUNTIFS(kOda,A3,kCikis,RaporTarihi,kDurum,"Geldi")&gt;0,1,0)</f>
        <v/>
      </c>
      <c r="F3">
        <f>IF(COUNTIFS(kOda,A3,kGiris,"&lt;="&amp;RaporTarihi,kCikis,"&gt;"&amp;RaporTarihi,kDurum,"&lt;&gt;İptal")&gt;0,1,0)</f>
        <v/>
      </c>
      <c r="G3">
        <f>1-F3</f>
        <v/>
      </c>
      <c r="H3">
        <f>IF(B3=1,TEXT($A3,"00"),"")</f>
        <v/>
      </c>
      <c r="I3">
        <f>IF(C3=1,TEXT($A3,"00"),"")</f>
        <v/>
      </c>
      <c r="J3">
        <f>IF(D3=1,TEXT($A3,"00"),"")</f>
        <v/>
      </c>
      <c r="K3">
        <f>IF(E3=1,TEXT($A3,"00"),"")</f>
        <v/>
      </c>
      <c r="L3">
        <f>IF(F3=1,TEXT($A3,"00"),"")</f>
        <v/>
      </c>
      <c r="M3">
        <f>IF(G3=1,TEXT($A3,"00"),"")</f>
        <v/>
      </c>
      <c r="N3">
        <f>IF(F3=1,COUNTIF(F$2:F3,1),"")</f>
        <v/>
      </c>
    </row>
    <row r="4">
      <c r="A4">
        <f>Ayarlar!A6</f>
        <v/>
      </c>
      <c r="B4">
        <f>IF(COUNTIFS(kOda,A4,kGiris,"&lt;"&amp;RaporTarihi,kCikis,"&gt;="&amp;RaporTarihi,kDurum,"Geldi")&gt;0,1,0)</f>
        <v/>
      </c>
      <c r="C4">
        <f>IF(COUNTIFS(kOda,A4,kGiris,RaporTarihi,kDurum,"Geldi")&gt;0,1,0)</f>
        <v/>
      </c>
      <c r="D4">
        <f>IF(COUNTIFS(kOda,A4,kGiris,RaporTarihi,kDurum,"Bekleniyor")&gt;0,1,0)</f>
        <v/>
      </c>
      <c r="E4">
        <f>IF(COUNTIFS(kOda,A4,kCikis,RaporTarihi,kDurum,"Geldi")&gt;0,1,0)</f>
        <v/>
      </c>
      <c r="F4">
        <f>IF(COUNTIFS(kOda,A4,kGiris,"&lt;="&amp;RaporTarihi,kCikis,"&gt;"&amp;RaporTarihi,kDurum,"&lt;&gt;İptal")&gt;0,1,0)</f>
        <v/>
      </c>
      <c r="G4">
        <f>1-F4</f>
        <v/>
      </c>
      <c r="H4">
        <f>IF(B4=1,TEXT($A4,"00"),"")</f>
        <v/>
      </c>
      <c r="I4">
        <f>IF(C4=1,TEXT($A4,"00"),"")</f>
        <v/>
      </c>
      <c r="J4">
        <f>IF(D4=1,TEXT($A4,"00"),"")</f>
        <v/>
      </c>
      <c r="K4">
        <f>IF(E4=1,TEXT($A4,"00"),"")</f>
        <v/>
      </c>
      <c r="L4">
        <f>IF(F4=1,TEXT($A4,"00"),"")</f>
        <v/>
      </c>
      <c r="M4">
        <f>IF(G4=1,TEXT($A4,"00"),"")</f>
        <v/>
      </c>
      <c r="N4">
        <f>IF(F4=1,COUNTIF(F$2:F4,1),"")</f>
        <v/>
      </c>
    </row>
    <row r="5">
      <c r="A5">
        <f>Ayarlar!A7</f>
        <v/>
      </c>
      <c r="B5">
        <f>IF(COUNTIFS(kOda,A5,kGiris,"&lt;"&amp;RaporTarihi,kCikis,"&gt;="&amp;RaporTarihi,kDurum,"Geldi")&gt;0,1,0)</f>
        <v/>
      </c>
      <c r="C5">
        <f>IF(COUNTIFS(kOda,A5,kGiris,RaporTarihi,kDurum,"Geldi")&gt;0,1,0)</f>
        <v/>
      </c>
      <c r="D5">
        <f>IF(COUNTIFS(kOda,A5,kGiris,RaporTarihi,kDurum,"Bekleniyor")&gt;0,1,0)</f>
        <v/>
      </c>
      <c r="E5">
        <f>IF(COUNTIFS(kOda,A5,kCikis,RaporTarihi,kDurum,"Geldi")&gt;0,1,0)</f>
        <v/>
      </c>
      <c r="F5">
        <f>IF(COUNTIFS(kOda,A5,kGiris,"&lt;="&amp;RaporTarihi,kCikis,"&gt;"&amp;RaporTarihi,kDurum,"&lt;&gt;İptal")&gt;0,1,0)</f>
        <v/>
      </c>
      <c r="G5">
        <f>1-F5</f>
        <v/>
      </c>
      <c r="H5">
        <f>IF(B5=1,TEXT($A5,"00"),"")</f>
        <v/>
      </c>
      <c r="I5">
        <f>IF(C5=1,TEXT($A5,"00"),"")</f>
        <v/>
      </c>
      <c r="J5">
        <f>IF(D5=1,TEXT($A5,"00"),"")</f>
        <v/>
      </c>
      <c r="K5">
        <f>IF(E5=1,TEXT($A5,"00"),"")</f>
        <v/>
      </c>
      <c r="L5">
        <f>IF(F5=1,TEXT($A5,"00"),"")</f>
        <v/>
      </c>
      <c r="M5">
        <f>IF(G5=1,TEXT($A5,"00"),"")</f>
        <v/>
      </c>
      <c r="N5">
        <f>IF(F5=1,COUNTIF(F$2:F5,1),"")</f>
        <v/>
      </c>
    </row>
    <row r="6">
      <c r="A6">
        <f>Ayarlar!A8</f>
        <v/>
      </c>
      <c r="B6">
        <f>IF(COUNTIFS(kOda,A6,kGiris,"&lt;"&amp;RaporTarihi,kCikis,"&gt;="&amp;RaporTarihi,kDurum,"Geldi")&gt;0,1,0)</f>
        <v/>
      </c>
      <c r="C6">
        <f>IF(COUNTIFS(kOda,A6,kGiris,RaporTarihi,kDurum,"Geldi")&gt;0,1,0)</f>
        <v/>
      </c>
      <c r="D6">
        <f>IF(COUNTIFS(kOda,A6,kGiris,RaporTarihi,kDurum,"Bekleniyor")&gt;0,1,0)</f>
        <v/>
      </c>
      <c r="E6">
        <f>IF(COUNTIFS(kOda,A6,kCikis,RaporTarihi,kDurum,"Geldi")&gt;0,1,0)</f>
        <v/>
      </c>
      <c r="F6">
        <f>IF(COUNTIFS(kOda,A6,kGiris,"&lt;="&amp;RaporTarihi,kCikis,"&gt;"&amp;RaporTarihi,kDurum,"&lt;&gt;İptal")&gt;0,1,0)</f>
        <v/>
      </c>
      <c r="G6">
        <f>1-F6</f>
        <v/>
      </c>
      <c r="H6">
        <f>IF(B6=1,TEXT($A6,"00"),"")</f>
        <v/>
      </c>
      <c r="I6">
        <f>IF(C6=1,TEXT($A6,"00"),"")</f>
        <v/>
      </c>
      <c r="J6">
        <f>IF(D6=1,TEXT($A6,"00"),"")</f>
        <v/>
      </c>
      <c r="K6">
        <f>IF(E6=1,TEXT($A6,"00"),"")</f>
        <v/>
      </c>
      <c r="L6">
        <f>IF(F6=1,TEXT($A6,"00"),"")</f>
        <v/>
      </c>
      <c r="M6">
        <f>IF(G6=1,TEXT($A6,"00"),"")</f>
        <v/>
      </c>
      <c r="N6">
        <f>IF(F6=1,COUNTIF(F$2:F6,1),"")</f>
        <v/>
      </c>
    </row>
    <row r="7">
      <c r="A7">
        <f>Ayarlar!A9</f>
        <v/>
      </c>
      <c r="B7">
        <f>IF(COUNTIFS(kOda,A7,kGiris,"&lt;"&amp;RaporTarihi,kCikis,"&gt;="&amp;RaporTarihi,kDurum,"Geldi")&gt;0,1,0)</f>
        <v/>
      </c>
      <c r="C7">
        <f>IF(COUNTIFS(kOda,A7,kGiris,RaporTarihi,kDurum,"Geldi")&gt;0,1,0)</f>
        <v/>
      </c>
      <c r="D7">
        <f>IF(COUNTIFS(kOda,A7,kGiris,RaporTarihi,kDurum,"Bekleniyor")&gt;0,1,0)</f>
        <v/>
      </c>
      <c r="E7">
        <f>IF(COUNTIFS(kOda,A7,kCikis,RaporTarihi,kDurum,"Geldi")&gt;0,1,0)</f>
        <v/>
      </c>
      <c r="F7">
        <f>IF(COUNTIFS(kOda,A7,kGiris,"&lt;="&amp;RaporTarihi,kCikis,"&gt;"&amp;RaporTarihi,kDurum,"&lt;&gt;İptal")&gt;0,1,0)</f>
        <v/>
      </c>
      <c r="G7">
        <f>1-F7</f>
        <v/>
      </c>
      <c r="H7">
        <f>IF(B7=1,TEXT($A7,"00"),"")</f>
        <v/>
      </c>
      <c r="I7">
        <f>IF(C7=1,TEXT($A7,"00"),"")</f>
        <v/>
      </c>
      <c r="J7">
        <f>IF(D7=1,TEXT($A7,"00"),"")</f>
        <v/>
      </c>
      <c r="K7">
        <f>IF(E7=1,TEXT($A7,"00"),"")</f>
        <v/>
      </c>
      <c r="L7">
        <f>IF(F7=1,TEXT($A7,"00"),"")</f>
        <v/>
      </c>
      <c r="M7">
        <f>IF(G7=1,TEXT($A7,"00"),"")</f>
        <v/>
      </c>
      <c r="N7">
        <f>IF(F7=1,COUNTIF(F$2:F7,1),"")</f>
        <v/>
      </c>
    </row>
    <row r="8">
      <c r="A8">
        <f>Ayarlar!A10</f>
        <v/>
      </c>
      <c r="B8">
        <f>IF(COUNTIFS(kOda,A8,kGiris,"&lt;"&amp;RaporTarihi,kCikis,"&gt;="&amp;RaporTarihi,kDurum,"Geldi")&gt;0,1,0)</f>
        <v/>
      </c>
      <c r="C8">
        <f>IF(COUNTIFS(kOda,A8,kGiris,RaporTarihi,kDurum,"Geldi")&gt;0,1,0)</f>
        <v/>
      </c>
      <c r="D8">
        <f>IF(COUNTIFS(kOda,A8,kGiris,RaporTarihi,kDurum,"Bekleniyor")&gt;0,1,0)</f>
        <v/>
      </c>
      <c r="E8">
        <f>IF(COUNTIFS(kOda,A8,kCikis,RaporTarihi,kDurum,"Geldi")&gt;0,1,0)</f>
        <v/>
      </c>
      <c r="F8">
        <f>IF(COUNTIFS(kOda,A8,kGiris,"&lt;="&amp;RaporTarihi,kCikis,"&gt;"&amp;RaporTarihi,kDurum,"&lt;&gt;İptal")&gt;0,1,0)</f>
        <v/>
      </c>
      <c r="G8">
        <f>1-F8</f>
        <v/>
      </c>
      <c r="H8">
        <f>IF(B8=1,TEXT($A8,"00"),"")</f>
        <v/>
      </c>
      <c r="I8">
        <f>IF(C8=1,TEXT($A8,"00"),"")</f>
        <v/>
      </c>
      <c r="J8">
        <f>IF(D8=1,TEXT($A8,"00"),"")</f>
        <v/>
      </c>
      <c r="K8">
        <f>IF(E8=1,TEXT($A8,"00"),"")</f>
        <v/>
      </c>
      <c r="L8">
        <f>IF(F8=1,TEXT($A8,"00"),"")</f>
        <v/>
      </c>
      <c r="M8">
        <f>IF(G8=1,TEXT($A8,"00"),"")</f>
        <v/>
      </c>
      <c r="N8">
        <f>IF(F8=1,COUNTIF(F$2:F8,1),"")</f>
        <v/>
      </c>
    </row>
    <row r="9">
      <c r="A9">
        <f>Ayarlar!A11</f>
        <v/>
      </c>
      <c r="B9">
        <f>IF(COUNTIFS(kOda,A9,kGiris,"&lt;"&amp;RaporTarihi,kCikis,"&gt;="&amp;RaporTarihi,kDurum,"Geldi")&gt;0,1,0)</f>
        <v/>
      </c>
      <c r="C9">
        <f>IF(COUNTIFS(kOda,A9,kGiris,RaporTarihi,kDurum,"Geldi")&gt;0,1,0)</f>
        <v/>
      </c>
      <c r="D9">
        <f>IF(COUNTIFS(kOda,A9,kGiris,RaporTarihi,kDurum,"Bekleniyor")&gt;0,1,0)</f>
        <v/>
      </c>
      <c r="E9">
        <f>IF(COUNTIFS(kOda,A9,kCikis,RaporTarihi,kDurum,"Geldi")&gt;0,1,0)</f>
        <v/>
      </c>
      <c r="F9">
        <f>IF(COUNTIFS(kOda,A9,kGiris,"&lt;="&amp;RaporTarihi,kCikis,"&gt;"&amp;RaporTarihi,kDurum,"&lt;&gt;İptal")&gt;0,1,0)</f>
        <v/>
      </c>
      <c r="G9">
        <f>1-F9</f>
        <v/>
      </c>
      <c r="H9">
        <f>IF(B9=1,TEXT($A9,"00"),"")</f>
        <v/>
      </c>
      <c r="I9">
        <f>IF(C9=1,TEXT($A9,"00"),"")</f>
        <v/>
      </c>
      <c r="J9">
        <f>IF(D9=1,TEXT($A9,"00"),"")</f>
        <v/>
      </c>
      <c r="K9">
        <f>IF(E9=1,TEXT($A9,"00"),"")</f>
        <v/>
      </c>
      <c r="L9">
        <f>IF(F9=1,TEXT($A9,"00"),"")</f>
        <v/>
      </c>
      <c r="M9">
        <f>IF(G9=1,TEXT($A9,"00"),"")</f>
        <v/>
      </c>
      <c r="N9">
        <f>IF(F9=1,COUNTIF(F$2:F9,1),"")</f>
        <v/>
      </c>
    </row>
    <row r="10">
      <c r="A10">
        <f>Ayarlar!A12</f>
        <v/>
      </c>
      <c r="B10">
        <f>IF(COUNTIFS(kOda,A10,kGiris,"&lt;"&amp;RaporTarihi,kCikis,"&gt;="&amp;RaporTarihi,kDurum,"Geldi")&gt;0,1,0)</f>
        <v/>
      </c>
      <c r="C10">
        <f>IF(COUNTIFS(kOda,A10,kGiris,RaporTarihi,kDurum,"Geldi")&gt;0,1,0)</f>
        <v/>
      </c>
      <c r="D10">
        <f>IF(COUNTIFS(kOda,A10,kGiris,RaporTarihi,kDurum,"Bekleniyor")&gt;0,1,0)</f>
        <v/>
      </c>
      <c r="E10">
        <f>IF(COUNTIFS(kOda,A10,kCikis,RaporTarihi,kDurum,"Geldi")&gt;0,1,0)</f>
        <v/>
      </c>
      <c r="F10">
        <f>IF(COUNTIFS(kOda,A10,kGiris,"&lt;="&amp;RaporTarihi,kCikis,"&gt;"&amp;RaporTarihi,kDurum,"&lt;&gt;İptal")&gt;0,1,0)</f>
        <v/>
      </c>
      <c r="G10">
        <f>1-F10</f>
        <v/>
      </c>
      <c r="H10">
        <f>IF(B10=1,TEXT($A10,"00"),"")</f>
        <v/>
      </c>
      <c r="I10">
        <f>IF(C10=1,TEXT($A10,"00"),"")</f>
        <v/>
      </c>
      <c r="J10">
        <f>IF(D10=1,TEXT($A10,"00"),"")</f>
        <v/>
      </c>
      <c r="K10">
        <f>IF(E10=1,TEXT($A10,"00"),"")</f>
        <v/>
      </c>
      <c r="L10">
        <f>IF(F10=1,TEXT($A10,"00"),"")</f>
        <v/>
      </c>
      <c r="M10">
        <f>IF(G10=1,TEXT($A10,"00"),"")</f>
        <v/>
      </c>
      <c r="N10">
        <f>IF(F10=1,COUNTIF(F$2:F10,1),"")</f>
        <v/>
      </c>
    </row>
    <row r="11">
      <c r="A11">
        <f>Ayarlar!A13</f>
        <v/>
      </c>
      <c r="B11">
        <f>IF(COUNTIFS(kOda,A11,kGiris,"&lt;"&amp;RaporTarihi,kCikis,"&gt;="&amp;RaporTarihi,kDurum,"Geldi")&gt;0,1,0)</f>
        <v/>
      </c>
      <c r="C11">
        <f>IF(COUNTIFS(kOda,A11,kGiris,RaporTarihi,kDurum,"Geldi")&gt;0,1,0)</f>
        <v/>
      </c>
      <c r="D11">
        <f>IF(COUNTIFS(kOda,A11,kGiris,RaporTarihi,kDurum,"Bekleniyor")&gt;0,1,0)</f>
        <v/>
      </c>
      <c r="E11">
        <f>IF(COUNTIFS(kOda,A11,kCikis,RaporTarihi,kDurum,"Geldi")&gt;0,1,0)</f>
        <v/>
      </c>
      <c r="F11">
        <f>IF(COUNTIFS(kOda,A11,kGiris,"&lt;="&amp;RaporTarihi,kCikis,"&gt;"&amp;RaporTarihi,kDurum,"&lt;&gt;İptal")&gt;0,1,0)</f>
        <v/>
      </c>
      <c r="G11">
        <f>1-F11</f>
        <v/>
      </c>
      <c r="H11">
        <f>IF(B11=1,TEXT($A11,"00"),"")</f>
        <v/>
      </c>
      <c r="I11">
        <f>IF(C11=1,TEXT($A11,"00"),"")</f>
        <v/>
      </c>
      <c r="J11">
        <f>IF(D11=1,TEXT($A11,"00"),"")</f>
        <v/>
      </c>
      <c r="K11">
        <f>IF(E11=1,TEXT($A11,"00"),"")</f>
        <v/>
      </c>
      <c r="L11">
        <f>IF(F11=1,TEXT($A11,"00"),"")</f>
        <v/>
      </c>
      <c r="M11">
        <f>IF(G11=1,TEXT($A11,"00"),"")</f>
        <v/>
      </c>
      <c r="N11">
        <f>IF(F11=1,COUNTIF(F$2:F11,1),"")</f>
        <v/>
      </c>
    </row>
    <row r="12">
      <c r="A12">
        <f>Ayarlar!A14</f>
        <v/>
      </c>
      <c r="B12">
        <f>IF(COUNTIFS(kOda,A12,kGiris,"&lt;"&amp;RaporTarihi,kCikis,"&gt;="&amp;RaporTarihi,kDurum,"Geldi")&gt;0,1,0)</f>
        <v/>
      </c>
      <c r="C12">
        <f>IF(COUNTIFS(kOda,A12,kGiris,RaporTarihi,kDurum,"Geldi")&gt;0,1,0)</f>
        <v/>
      </c>
      <c r="D12">
        <f>IF(COUNTIFS(kOda,A12,kGiris,RaporTarihi,kDurum,"Bekleniyor")&gt;0,1,0)</f>
        <v/>
      </c>
      <c r="E12">
        <f>IF(COUNTIFS(kOda,A12,kCikis,RaporTarihi,kDurum,"Geldi")&gt;0,1,0)</f>
        <v/>
      </c>
      <c r="F12">
        <f>IF(COUNTIFS(kOda,A12,kGiris,"&lt;="&amp;RaporTarihi,kCikis,"&gt;"&amp;RaporTarihi,kDurum,"&lt;&gt;İptal")&gt;0,1,0)</f>
        <v/>
      </c>
      <c r="G12">
        <f>1-F12</f>
        <v/>
      </c>
      <c r="H12">
        <f>IF(B12=1,TEXT($A12,"00"),"")</f>
        <v/>
      </c>
      <c r="I12">
        <f>IF(C12=1,TEXT($A12,"00"),"")</f>
        <v/>
      </c>
      <c r="J12">
        <f>IF(D12=1,TEXT($A12,"00"),"")</f>
        <v/>
      </c>
      <c r="K12">
        <f>IF(E12=1,TEXT($A12,"00"),"")</f>
        <v/>
      </c>
      <c r="L12">
        <f>IF(F12=1,TEXT($A12,"00"),"")</f>
        <v/>
      </c>
      <c r="M12">
        <f>IF(G12=1,TEXT($A12,"00"),"")</f>
        <v/>
      </c>
      <c r="N12">
        <f>IF(F12=1,COUNTIF(F$2:F12,1),"")</f>
        <v/>
      </c>
    </row>
    <row r="13">
      <c r="A13">
        <f>Ayarlar!A15</f>
        <v/>
      </c>
      <c r="B13">
        <f>IF(COUNTIFS(kOda,A13,kGiris,"&lt;"&amp;RaporTarihi,kCikis,"&gt;="&amp;RaporTarihi,kDurum,"Geldi")&gt;0,1,0)</f>
        <v/>
      </c>
      <c r="C13">
        <f>IF(COUNTIFS(kOda,A13,kGiris,RaporTarihi,kDurum,"Geldi")&gt;0,1,0)</f>
        <v/>
      </c>
      <c r="D13">
        <f>IF(COUNTIFS(kOda,A13,kGiris,RaporTarihi,kDurum,"Bekleniyor")&gt;0,1,0)</f>
        <v/>
      </c>
      <c r="E13">
        <f>IF(COUNTIFS(kOda,A13,kCikis,RaporTarihi,kDurum,"Geldi")&gt;0,1,0)</f>
        <v/>
      </c>
      <c r="F13">
        <f>IF(COUNTIFS(kOda,A13,kGiris,"&lt;="&amp;RaporTarihi,kCikis,"&gt;"&amp;RaporTarihi,kDurum,"&lt;&gt;İptal")&gt;0,1,0)</f>
        <v/>
      </c>
      <c r="G13">
        <f>1-F13</f>
        <v/>
      </c>
      <c r="H13">
        <f>IF(B13=1,TEXT($A13,"00"),"")</f>
        <v/>
      </c>
      <c r="I13">
        <f>IF(C13=1,TEXT($A13,"00"),"")</f>
        <v/>
      </c>
      <c r="J13">
        <f>IF(D13=1,TEXT($A13,"00"),"")</f>
        <v/>
      </c>
      <c r="K13">
        <f>IF(E13=1,TEXT($A13,"00"),"")</f>
        <v/>
      </c>
      <c r="L13">
        <f>IF(F13=1,TEXT($A13,"00"),"")</f>
        <v/>
      </c>
      <c r="M13">
        <f>IF(G13=1,TEXT($A13,"00"),"")</f>
        <v/>
      </c>
      <c r="N13">
        <f>IF(F13=1,COUNTIF(F$2:F13,1),"")</f>
        <v/>
      </c>
    </row>
    <row r="14">
      <c r="A14">
        <f>Ayarlar!A16</f>
        <v/>
      </c>
      <c r="B14">
        <f>IF(COUNTIFS(kOda,A14,kGiris,"&lt;"&amp;RaporTarihi,kCikis,"&gt;="&amp;RaporTarihi,kDurum,"Geldi")&gt;0,1,0)</f>
        <v/>
      </c>
      <c r="C14">
        <f>IF(COUNTIFS(kOda,A14,kGiris,RaporTarihi,kDurum,"Geldi")&gt;0,1,0)</f>
        <v/>
      </c>
      <c r="D14">
        <f>IF(COUNTIFS(kOda,A14,kGiris,RaporTarihi,kDurum,"Bekleniyor")&gt;0,1,0)</f>
        <v/>
      </c>
      <c r="E14">
        <f>IF(COUNTIFS(kOda,A14,kCikis,RaporTarihi,kDurum,"Geldi")&gt;0,1,0)</f>
        <v/>
      </c>
      <c r="F14">
        <f>IF(COUNTIFS(kOda,A14,kGiris,"&lt;="&amp;RaporTarihi,kCikis,"&gt;"&amp;RaporTarihi,kDurum,"&lt;&gt;İptal")&gt;0,1,0)</f>
        <v/>
      </c>
      <c r="G14">
        <f>1-F14</f>
        <v/>
      </c>
      <c r="H14">
        <f>IF(B14=1,TEXT($A14,"00"),"")</f>
        <v/>
      </c>
      <c r="I14">
        <f>IF(C14=1,TEXT($A14,"00"),"")</f>
        <v/>
      </c>
      <c r="J14">
        <f>IF(D14=1,TEXT($A14,"00"),"")</f>
        <v/>
      </c>
      <c r="K14">
        <f>IF(E14=1,TEXT($A14,"00"),"")</f>
        <v/>
      </c>
      <c r="L14">
        <f>IF(F14=1,TEXT($A14,"00"),"")</f>
        <v/>
      </c>
      <c r="M14">
        <f>IF(G14=1,TEXT($A14,"00"),"")</f>
        <v/>
      </c>
      <c r="N14">
        <f>IF(F14=1,COUNTIF(F$2:F14,1),"")</f>
        <v/>
      </c>
    </row>
    <row r="15">
      <c r="A15">
        <f>Ayarlar!A17</f>
        <v/>
      </c>
      <c r="B15">
        <f>IF(COUNTIFS(kOda,A15,kGiris,"&lt;"&amp;RaporTarihi,kCikis,"&gt;="&amp;RaporTarihi,kDurum,"Geldi")&gt;0,1,0)</f>
        <v/>
      </c>
      <c r="C15">
        <f>IF(COUNTIFS(kOda,A15,kGiris,RaporTarihi,kDurum,"Geldi")&gt;0,1,0)</f>
        <v/>
      </c>
      <c r="D15">
        <f>IF(COUNTIFS(kOda,A15,kGiris,RaporTarihi,kDurum,"Bekleniyor")&gt;0,1,0)</f>
        <v/>
      </c>
      <c r="E15">
        <f>IF(COUNTIFS(kOda,A15,kCikis,RaporTarihi,kDurum,"Geldi")&gt;0,1,0)</f>
        <v/>
      </c>
      <c r="F15">
        <f>IF(COUNTIFS(kOda,A15,kGiris,"&lt;="&amp;RaporTarihi,kCikis,"&gt;"&amp;RaporTarihi,kDurum,"&lt;&gt;İptal")&gt;0,1,0)</f>
        <v/>
      </c>
      <c r="G15">
        <f>1-F15</f>
        <v/>
      </c>
      <c r="H15">
        <f>IF(B15=1,TEXT($A15,"00"),"")</f>
        <v/>
      </c>
      <c r="I15">
        <f>IF(C15=1,TEXT($A15,"00"),"")</f>
        <v/>
      </c>
      <c r="J15">
        <f>IF(D15=1,TEXT($A15,"00"),"")</f>
        <v/>
      </c>
      <c r="K15">
        <f>IF(E15=1,TEXT($A15,"00"),"")</f>
        <v/>
      </c>
      <c r="L15">
        <f>IF(F15=1,TEXT($A15,"00"),"")</f>
        <v/>
      </c>
      <c r="M15">
        <f>IF(G15=1,TEXT($A15,"00"),"")</f>
        <v/>
      </c>
      <c r="N15">
        <f>IF(F15=1,COUNTIF(F$2:F15,1),"")</f>
        <v/>
      </c>
    </row>
    <row r="16">
      <c r="A16">
        <f>Ayarlar!A18</f>
        <v/>
      </c>
      <c r="B16">
        <f>IF(COUNTIFS(kOda,A16,kGiris,"&lt;"&amp;RaporTarihi,kCikis,"&gt;="&amp;RaporTarihi,kDurum,"Geldi")&gt;0,1,0)</f>
        <v/>
      </c>
      <c r="C16">
        <f>IF(COUNTIFS(kOda,A16,kGiris,RaporTarihi,kDurum,"Geldi")&gt;0,1,0)</f>
        <v/>
      </c>
      <c r="D16">
        <f>IF(COUNTIFS(kOda,A16,kGiris,RaporTarihi,kDurum,"Bekleniyor")&gt;0,1,0)</f>
        <v/>
      </c>
      <c r="E16">
        <f>IF(COUNTIFS(kOda,A16,kCikis,RaporTarihi,kDurum,"Geldi")&gt;0,1,0)</f>
        <v/>
      </c>
      <c r="F16">
        <f>IF(COUNTIFS(kOda,A16,kGiris,"&lt;="&amp;RaporTarihi,kCikis,"&gt;"&amp;RaporTarihi,kDurum,"&lt;&gt;İptal")&gt;0,1,0)</f>
        <v/>
      </c>
      <c r="G16">
        <f>1-F16</f>
        <v/>
      </c>
      <c r="H16">
        <f>IF(B16=1,TEXT($A16,"00"),"")</f>
        <v/>
      </c>
      <c r="I16">
        <f>IF(C16=1,TEXT($A16,"00"),"")</f>
        <v/>
      </c>
      <c r="J16">
        <f>IF(D16=1,TEXT($A16,"00"),"")</f>
        <v/>
      </c>
      <c r="K16">
        <f>IF(E16=1,TEXT($A16,"00"),"")</f>
        <v/>
      </c>
      <c r="L16">
        <f>IF(F16=1,TEXT($A16,"00"),"")</f>
        <v/>
      </c>
      <c r="M16">
        <f>IF(G16=1,TEXT($A16,"00"),"")</f>
        <v/>
      </c>
      <c r="N16">
        <f>IF(F16=1,COUNTIF(F$2:F16,1),"")</f>
        <v/>
      </c>
    </row>
    <row r="17">
      <c r="A17">
        <f>Ayarlar!A19</f>
        <v/>
      </c>
      <c r="B17">
        <f>IF(COUNTIFS(kOda,A17,kGiris,"&lt;"&amp;RaporTarihi,kCikis,"&gt;="&amp;RaporTarihi,kDurum,"Geldi")&gt;0,1,0)</f>
        <v/>
      </c>
      <c r="C17">
        <f>IF(COUNTIFS(kOda,A17,kGiris,RaporTarihi,kDurum,"Geldi")&gt;0,1,0)</f>
        <v/>
      </c>
      <c r="D17">
        <f>IF(COUNTIFS(kOda,A17,kGiris,RaporTarihi,kDurum,"Bekleniyor")&gt;0,1,0)</f>
        <v/>
      </c>
      <c r="E17">
        <f>IF(COUNTIFS(kOda,A17,kCikis,RaporTarihi,kDurum,"Geldi")&gt;0,1,0)</f>
        <v/>
      </c>
      <c r="F17">
        <f>IF(COUNTIFS(kOda,A17,kGiris,"&lt;="&amp;RaporTarihi,kCikis,"&gt;"&amp;RaporTarihi,kDurum,"&lt;&gt;İptal")&gt;0,1,0)</f>
        <v/>
      </c>
      <c r="G17">
        <f>1-F17</f>
        <v/>
      </c>
      <c r="H17">
        <f>IF(B17=1,TEXT($A17,"00"),"")</f>
        <v/>
      </c>
      <c r="I17">
        <f>IF(C17=1,TEXT($A17,"00"),"")</f>
        <v/>
      </c>
      <c r="J17">
        <f>IF(D17=1,TEXT($A17,"00"),"")</f>
        <v/>
      </c>
      <c r="K17">
        <f>IF(E17=1,TEXT($A17,"00"),"")</f>
        <v/>
      </c>
      <c r="L17">
        <f>IF(F17=1,TEXT($A17,"00"),"")</f>
        <v/>
      </c>
      <c r="M17">
        <f>IF(G17=1,TEXT($A17,"00"),"")</f>
        <v/>
      </c>
      <c r="N17">
        <f>IF(F17=1,COUNTIF(F$2:F17,1),"")</f>
        <v/>
      </c>
    </row>
    <row r="18">
      <c r="A18">
        <f>Ayarlar!A20</f>
        <v/>
      </c>
      <c r="B18">
        <f>IF(COUNTIFS(kOda,A18,kGiris,"&lt;"&amp;RaporTarihi,kCikis,"&gt;="&amp;RaporTarihi,kDurum,"Geldi")&gt;0,1,0)</f>
        <v/>
      </c>
      <c r="C18">
        <f>IF(COUNTIFS(kOda,A18,kGiris,RaporTarihi,kDurum,"Geldi")&gt;0,1,0)</f>
        <v/>
      </c>
      <c r="D18">
        <f>IF(COUNTIFS(kOda,A18,kGiris,RaporTarihi,kDurum,"Bekleniyor")&gt;0,1,0)</f>
        <v/>
      </c>
      <c r="E18">
        <f>IF(COUNTIFS(kOda,A18,kCikis,RaporTarihi,kDurum,"Geldi")&gt;0,1,0)</f>
        <v/>
      </c>
      <c r="F18">
        <f>IF(COUNTIFS(kOda,A18,kGiris,"&lt;="&amp;RaporTarihi,kCikis,"&gt;"&amp;RaporTarihi,kDurum,"&lt;&gt;İptal")&gt;0,1,0)</f>
        <v/>
      </c>
      <c r="G18">
        <f>1-F18</f>
        <v/>
      </c>
      <c r="H18">
        <f>IF(B18=1,TEXT($A18,"00"),"")</f>
        <v/>
      </c>
      <c r="I18">
        <f>IF(C18=1,TEXT($A18,"00"),"")</f>
        <v/>
      </c>
      <c r="J18">
        <f>IF(D18=1,TEXT($A18,"00"),"")</f>
        <v/>
      </c>
      <c r="K18">
        <f>IF(E18=1,TEXT($A18,"00"),"")</f>
        <v/>
      </c>
      <c r="L18">
        <f>IF(F18=1,TEXT($A18,"00"),"")</f>
        <v/>
      </c>
      <c r="M18">
        <f>IF(G18=1,TEXT($A18,"00"),"")</f>
        <v/>
      </c>
      <c r="N18">
        <f>IF(F18=1,COUNTIF(F$2:F18,1),"")</f>
        <v/>
      </c>
    </row>
    <row r="19">
      <c r="A19">
        <f>Ayarlar!A21</f>
        <v/>
      </c>
      <c r="B19">
        <f>IF(COUNTIFS(kOda,A19,kGiris,"&lt;"&amp;RaporTarihi,kCikis,"&gt;="&amp;RaporTarihi,kDurum,"Geldi")&gt;0,1,0)</f>
        <v/>
      </c>
      <c r="C19">
        <f>IF(COUNTIFS(kOda,A19,kGiris,RaporTarihi,kDurum,"Geldi")&gt;0,1,0)</f>
        <v/>
      </c>
      <c r="D19">
        <f>IF(COUNTIFS(kOda,A19,kGiris,RaporTarihi,kDurum,"Bekleniyor")&gt;0,1,0)</f>
        <v/>
      </c>
      <c r="E19">
        <f>IF(COUNTIFS(kOda,A19,kCikis,RaporTarihi,kDurum,"Geldi")&gt;0,1,0)</f>
        <v/>
      </c>
      <c r="F19">
        <f>IF(COUNTIFS(kOda,A19,kGiris,"&lt;="&amp;RaporTarihi,kCikis,"&gt;"&amp;RaporTarihi,kDurum,"&lt;&gt;İptal")&gt;0,1,0)</f>
        <v/>
      </c>
      <c r="G19">
        <f>1-F19</f>
        <v/>
      </c>
      <c r="H19">
        <f>IF(B19=1,TEXT($A19,"00"),"")</f>
        <v/>
      </c>
      <c r="I19">
        <f>IF(C19=1,TEXT($A19,"00"),"")</f>
        <v/>
      </c>
      <c r="J19">
        <f>IF(D19=1,TEXT($A19,"00"),"")</f>
        <v/>
      </c>
      <c r="K19">
        <f>IF(E19=1,TEXT($A19,"00"),"")</f>
        <v/>
      </c>
      <c r="L19">
        <f>IF(F19=1,TEXT($A19,"00"),"")</f>
        <v/>
      </c>
      <c r="M19">
        <f>IF(G19=1,TEXT($A19,"00"),"")</f>
        <v/>
      </c>
      <c r="N19">
        <f>IF(F19=1,COUNTIF(F$2:F19,1),"")</f>
        <v/>
      </c>
    </row>
    <row r="20">
      <c r="A20">
        <f>Ayarlar!A22</f>
        <v/>
      </c>
      <c r="B20">
        <f>IF(COUNTIFS(kOda,A20,kGiris,"&lt;"&amp;RaporTarihi,kCikis,"&gt;="&amp;RaporTarihi,kDurum,"Geldi")&gt;0,1,0)</f>
        <v/>
      </c>
      <c r="C20">
        <f>IF(COUNTIFS(kOda,A20,kGiris,RaporTarihi,kDurum,"Geldi")&gt;0,1,0)</f>
        <v/>
      </c>
      <c r="D20">
        <f>IF(COUNTIFS(kOda,A20,kGiris,RaporTarihi,kDurum,"Bekleniyor")&gt;0,1,0)</f>
        <v/>
      </c>
      <c r="E20">
        <f>IF(COUNTIFS(kOda,A20,kCikis,RaporTarihi,kDurum,"Geldi")&gt;0,1,0)</f>
        <v/>
      </c>
      <c r="F20">
        <f>IF(COUNTIFS(kOda,A20,kGiris,"&lt;="&amp;RaporTarihi,kCikis,"&gt;"&amp;RaporTarihi,kDurum,"&lt;&gt;İptal")&gt;0,1,0)</f>
        <v/>
      </c>
      <c r="G20">
        <f>1-F20</f>
        <v/>
      </c>
      <c r="H20">
        <f>IF(B20=1,TEXT($A20,"00"),"")</f>
        <v/>
      </c>
      <c r="I20">
        <f>IF(C20=1,TEXT($A20,"00"),"")</f>
        <v/>
      </c>
      <c r="J20">
        <f>IF(D20=1,TEXT($A20,"00"),"")</f>
        <v/>
      </c>
      <c r="K20">
        <f>IF(E20=1,TEXT($A20,"00"),"")</f>
        <v/>
      </c>
      <c r="L20">
        <f>IF(F20=1,TEXT($A20,"00"),"")</f>
        <v/>
      </c>
      <c r="M20">
        <f>IF(G20=1,TEXT($A20,"00"),"")</f>
        <v/>
      </c>
      <c r="N20">
        <f>IF(F20=1,COUNTIF(F$2:F20,1),"")</f>
        <v/>
      </c>
    </row>
    <row r="21">
      <c r="A21">
        <f>Ayarlar!A23</f>
        <v/>
      </c>
      <c r="B21">
        <f>IF(COUNTIFS(kOda,A21,kGiris,"&lt;"&amp;RaporTarihi,kCikis,"&gt;="&amp;RaporTarihi,kDurum,"Geldi")&gt;0,1,0)</f>
        <v/>
      </c>
      <c r="C21">
        <f>IF(COUNTIFS(kOda,A21,kGiris,RaporTarihi,kDurum,"Geldi")&gt;0,1,0)</f>
        <v/>
      </c>
      <c r="D21">
        <f>IF(COUNTIFS(kOda,A21,kGiris,RaporTarihi,kDurum,"Bekleniyor")&gt;0,1,0)</f>
        <v/>
      </c>
      <c r="E21">
        <f>IF(COUNTIFS(kOda,A21,kCikis,RaporTarihi,kDurum,"Geldi")&gt;0,1,0)</f>
        <v/>
      </c>
      <c r="F21">
        <f>IF(COUNTIFS(kOda,A21,kGiris,"&lt;="&amp;RaporTarihi,kCikis,"&gt;"&amp;RaporTarihi,kDurum,"&lt;&gt;İptal")&gt;0,1,0)</f>
        <v/>
      </c>
      <c r="G21">
        <f>1-F21</f>
        <v/>
      </c>
      <c r="H21">
        <f>IF(B21=1,TEXT($A21,"00"),"")</f>
        <v/>
      </c>
      <c r="I21">
        <f>IF(C21=1,TEXT($A21,"00"),"")</f>
        <v/>
      </c>
      <c r="J21">
        <f>IF(D21=1,TEXT($A21,"00"),"")</f>
        <v/>
      </c>
      <c r="K21">
        <f>IF(E21=1,TEXT($A21,"00"),"")</f>
        <v/>
      </c>
      <c r="L21">
        <f>IF(F21=1,TEXT($A21,"00"),"")</f>
        <v/>
      </c>
      <c r="M21">
        <f>IF(G21=1,TEXT($A21,"00"),"")</f>
        <v/>
      </c>
      <c r="N21">
        <f>IF(F21=1,COUNTIF(F$2:F21,1),"")</f>
        <v/>
      </c>
    </row>
    <row r="22">
      <c r="A22">
        <f>Ayarlar!A24</f>
        <v/>
      </c>
      <c r="B22">
        <f>IF(COUNTIFS(kOda,A22,kGiris,"&lt;"&amp;RaporTarihi,kCikis,"&gt;="&amp;RaporTarihi,kDurum,"Geldi")&gt;0,1,0)</f>
        <v/>
      </c>
      <c r="C22">
        <f>IF(COUNTIFS(kOda,A22,kGiris,RaporTarihi,kDurum,"Geldi")&gt;0,1,0)</f>
        <v/>
      </c>
      <c r="D22">
        <f>IF(COUNTIFS(kOda,A22,kGiris,RaporTarihi,kDurum,"Bekleniyor")&gt;0,1,0)</f>
        <v/>
      </c>
      <c r="E22">
        <f>IF(COUNTIFS(kOda,A22,kCikis,RaporTarihi,kDurum,"Geldi")&gt;0,1,0)</f>
        <v/>
      </c>
      <c r="F22">
        <f>IF(COUNTIFS(kOda,A22,kGiris,"&lt;="&amp;RaporTarihi,kCikis,"&gt;"&amp;RaporTarihi,kDurum,"&lt;&gt;İptal")&gt;0,1,0)</f>
        <v/>
      </c>
      <c r="G22">
        <f>1-F22</f>
        <v/>
      </c>
      <c r="H22">
        <f>IF(B22=1,TEXT($A22,"00"),"")</f>
        <v/>
      </c>
      <c r="I22">
        <f>IF(C22=1,TEXT($A22,"00"),"")</f>
        <v/>
      </c>
      <c r="J22">
        <f>IF(D22=1,TEXT($A22,"00"),"")</f>
        <v/>
      </c>
      <c r="K22">
        <f>IF(E22=1,TEXT($A22,"00"),"")</f>
        <v/>
      </c>
      <c r="L22">
        <f>IF(F22=1,TEXT($A22,"00"),"")</f>
        <v/>
      </c>
      <c r="M22">
        <f>IF(G22=1,TEXT($A22,"00"),"")</f>
        <v/>
      </c>
      <c r="N22">
        <f>IF(F22=1,COUNTIF(F$2:F22,1),"")</f>
        <v/>
      </c>
    </row>
    <row r="23">
      <c r="A23">
        <f>Ayarlar!A25</f>
        <v/>
      </c>
      <c r="B23">
        <f>IF(COUNTIFS(kOda,A23,kGiris,"&lt;"&amp;RaporTarihi,kCikis,"&gt;="&amp;RaporTarihi,kDurum,"Geldi")&gt;0,1,0)</f>
        <v/>
      </c>
      <c r="C23">
        <f>IF(COUNTIFS(kOda,A23,kGiris,RaporTarihi,kDurum,"Geldi")&gt;0,1,0)</f>
        <v/>
      </c>
      <c r="D23">
        <f>IF(COUNTIFS(kOda,A23,kGiris,RaporTarihi,kDurum,"Bekleniyor")&gt;0,1,0)</f>
        <v/>
      </c>
      <c r="E23">
        <f>IF(COUNTIFS(kOda,A23,kCikis,RaporTarihi,kDurum,"Geldi")&gt;0,1,0)</f>
        <v/>
      </c>
      <c r="F23">
        <f>IF(COUNTIFS(kOda,A23,kGiris,"&lt;="&amp;RaporTarihi,kCikis,"&gt;"&amp;RaporTarihi,kDurum,"&lt;&gt;İptal")&gt;0,1,0)</f>
        <v/>
      </c>
      <c r="G23">
        <f>1-F23</f>
        <v/>
      </c>
      <c r="H23">
        <f>IF(B23=1,TEXT($A23,"00"),"")</f>
        <v/>
      </c>
      <c r="I23">
        <f>IF(C23=1,TEXT($A23,"00"),"")</f>
        <v/>
      </c>
      <c r="J23">
        <f>IF(D23=1,TEXT($A23,"00"),"")</f>
        <v/>
      </c>
      <c r="K23">
        <f>IF(E23=1,TEXT($A23,"00"),"")</f>
        <v/>
      </c>
      <c r="L23">
        <f>IF(F23=1,TEXT($A23,"00"),"")</f>
        <v/>
      </c>
      <c r="M23">
        <f>IF(G23=1,TEXT($A23,"00"),"")</f>
        <v/>
      </c>
      <c r="N23">
        <f>IF(F23=1,COUNTIF(F$2:F23,1),"")</f>
        <v/>
      </c>
    </row>
    <row r="24">
      <c r="A24">
        <f>Ayarlar!A26</f>
        <v/>
      </c>
      <c r="B24">
        <f>IF(COUNTIFS(kOda,A24,kGiris,"&lt;"&amp;RaporTarihi,kCikis,"&gt;="&amp;RaporTarihi,kDurum,"Geldi")&gt;0,1,0)</f>
        <v/>
      </c>
      <c r="C24">
        <f>IF(COUNTIFS(kOda,A24,kGiris,RaporTarihi,kDurum,"Geldi")&gt;0,1,0)</f>
        <v/>
      </c>
      <c r="D24">
        <f>IF(COUNTIFS(kOda,A24,kGiris,RaporTarihi,kDurum,"Bekleniyor")&gt;0,1,0)</f>
        <v/>
      </c>
      <c r="E24">
        <f>IF(COUNTIFS(kOda,A24,kCikis,RaporTarihi,kDurum,"Geldi")&gt;0,1,0)</f>
        <v/>
      </c>
      <c r="F24">
        <f>IF(COUNTIFS(kOda,A24,kGiris,"&lt;="&amp;RaporTarihi,kCikis,"&gt;"&amp;RaporTarihi,kDurum,"&lt;&gt;İptal")&gt;0,1,0)</f>
        <v/>
      </c>
      <c r="G24">
        <f>1-F24</f>
        <v/>
      </c>
      <c r="H24">
        <f>IF(B24=1,TEXT($A24,"00"),"")</f>
        <v/>
      </c>
      <c r="I24">
        <f>IF(C24=1,TEXT($A24,"00"),"")</f>
        <v/>
      </c>
      <c r="J24">
        <f>IF(D24=1,TEXT($A24,"00"),"")</f>
        <v/>
      </c>
      <c r="K24">
        <f>IF(E24=1,TEXT($A24,"00"),"")</f>
        <v/>
      </c>
      <c r="L24">
        <f>IF(F24=1,TEXT($A24,"00"),"")</f>
        <v/>
      </c>
      <c r="M24">
        <f>IF(G24=1,TEXT($A24,"00"),"")</f>
        <v/>
      </c>
      <c r="N24">
        <f>IF(F24=1,COUNTIF(F$2:F24,1),"")</f>
        <v/>
      </c>
    </row>
    <row r="25">
      <c r="A25">
        <f>Ayarlar!A27</f>
        <v/>
      </c>
      <c r="B25">
        <f>IF(COUNTIFS(kOda,A25,kGiris,"&lt;"&amp;RaporTarihi,kCikis,"&gt;="&amp;RaporTarihi,kDurum,"Geldi")&gt;0,1,0)</f>
        <v/>
      </c>
      <c r="C25">
        <f>IF(COUNTIFS(kOda,A25,kGiris,RaporTarihi,kDurum,"Geldi")&gt;0,1,0)</f>
        <v/>
      </c>
      <c r="D25">
        <f>IF(COUNTIFS(kOda,A25,kGiris,RaporTarihi,kDurum,"Bekleniyor")&gt;0,1,0)</f>
        <v/>
      </c>
      <c r="E25">
        <f>IF(COUNTIFS(kOda,A25,kCikis,RaporTarihi,kDurum,"Geldi")&gt;0,1,0)</f>
        <v/>
      </c>
      <c r="F25">
        <f>IF(COUNTIFS(kOda,A25,kGiris,"&lt;="&amp;RaporTarihi,kCikis,"&gt;"&amp;RaporTarihi,kDurum,"&lt;&gt;İptal")&gt;0,1,0)</f>
        <v/>
      </c>
      <c r="G25">
        <f>1-F25</f>
        <v/>
      </c>
      <c r="H25">
        <f>IF(B25=1,TEXT($A25,"00"),"")</f>
        <v/>
      </c>
      <c r="I25">
        <f>IF(C25=1,TEXT($A25,"00"),"")</f>
        <v/>
      </c>
      <c r="J25">
        <f>IF(D25=1,TEXT($A25,"00"),"")</f>
        <v/>
      </c>
      <c r="K25">
        <f>IF(E25=1,TEXT($A25,"00"),"")</f>
        <v/>
      </c>
      <c r="L25">
        <f>IF(F25=1,TEXT($A25,"00"),"")</f>
        <v/>
      </c>
      <c r="M25">
        <f>IF(G25=1,TEXT($A25,"00"),"")</f>
        <v/>
      </c>
      <c r="N25">
        <f>IF(F25=1,COUNTIF(F$2:F25,1),"")</f>
        <v/>
      </c>
    </row>
    <row r="26">
      <c r="A26">
        <f>Ayarlar!A28</f>
        <v/>
      </c>
      <c r="B26">
        <f>IF(COUNTIFS(kOda,A26,kGiris,"&lt;"&amp;RaporTarihi,kCikis,"&gt;="&amp;RaporTarihi,kDurum,"Geldi")&gt;0,1,0)</f>
        <v/>
      </c>
      <c r="C26">
        <f>IF(COUNTIFS(kOda,A26,kGiris,RaporTarihi,kDurum,"Geldi")&gt;0,1,0)</f>
        <v/>
      </c>
      <c r="D26">
        <f>IF(COUNTIFS(kOda,A26,kGiris,RaporTarihi,kDurum,"Bekleniyor")&gt;0,1,0)</f>
        <v/>
      </c>
      <c r="E26">
        <f>IF(COUNTIFS(kOda,A26,kCikis,RaporTarihi,kDurum,"Geldi")&gt;0,1,0)</f>
        <v/>
      </c>
      <c r="F26">
        <f>IF(COUNTIFS(kOda,A26,kGiris,"&lt;="&amp;RaporTarihi,kCikis,"&gt;"&amp;RaporTarihi,kDurum,"&lt;&gt;İptal")&gt;0,1,0)</f>
        <v/>
      </c>
      <c r="G26">
        <f>1-F26</f>
        <v/>
      </c>
      <c r="H26">
        <f>IF(B26=1,TEXT($A26,"00"),"")</f>
        <v/>
      </c>
      <c r="I26">
        <f>IF(C26=1,TEXT($A26,"00"),"")</f>
        <v/>
      </c>
      <c r="J26">
        <f>IF(D26=1,TEXT($A26,"00"),"")</f>
        <v/>
      </c>
      <c r="K26">
        <f>IF(E26=1,TEXT($A26,"00"),"")</f>
        <v/>
      </c>
      <c r="L26">
        <f>IF(F26=1,TEXT($A26,"00"),"")</f>
        <v/>
      </c>
      <c r="M26">
        <f>IF(G26=1,TEXT($A26,"00"),"")</f>
        <v/>
      </c>
      <c r="N26">
        <f>IF(F26=1,COUNTIF(F$2:F26,1),"")</f>
        <v/>
      </c>
    </row>
    <row r="27">
      <c r="A27">
        <f>Ayarlar!A29</f>
        <v/>
      </c>
      <c r="B27">
        <f>IF(COUNTIFS(kOda,A27,kGiris,"&lt;"&amp;RaporTarihi,kCikis,"&gt;="&amp;RaporTarihi,kDurum,"Geldi")&gt;0,1,0)</f>
        <v/>
      </c>
      <c r="C27">
        <f>IF(COUNTIFS(kOda,A27,kGiris,RaporTarihi,kDurum,"Geldi")&gt;0,1,0)</f>
        <v/>
      </c>
      <c r="D27">
        <f>IF(COUNTIFS(kOda,A27,kGiris,RaporTarihi,kDurum,"Bekleniyor")&gt;0,1,0)</f>
        <v/>
      </c>
      <c r="E27">
        <f>IF(COUNTIFS(kOda,A27,kCikis,RaporTarihi,kDurum,"Geldi")&gt;0,1,0)</f>
        <v/>
      </c>
      <c r="F27">
        <f>IF(COUNTIFS(kOda,A27,kGiris,"&lt;="&amp;RaporTarihi,kCikis,"&gt;"&amp;RaporTarihi,kDurum,"&lt;&gt;İptal")&gt;0,1,0)</f>
        <v/>
      </c>
      <c r="G27">
        <f>1-F27</f>
        <v/>
      </c>
      <c r="H27">
        <f>IF(B27=1,TEXT($A27,"00"),"")</f>
        <v/>
      </c>
      <c r="I27">
        <f>IF(C27=1,TEXT($A27,"00"),"")</f>
        <v/>
      </c>
      <c r="J27">
        <f>IF(D27=1,TEXT($A27,"00"),"")</f>
        <v/>
      </c>
      <c r="K27">
        <f>IF(E27=1,TEXT($A27,"00"),"")</f>
        <v/>
      </c>
      <c r="L27">
        <f>IF(F27=1,TEXT($A27,"00"),"")</f>
        <v/>
      </c>
      <c r="M27">
        <f>IF(G27=1,TEXT($A27,"00"),"")</f>
        <v/>
      </c>
      <c r="N27">
        <f>IF(F27=1,COUNTIF(F$2:F27,1),"")</f>
        <v/>
      </c>
    </row>
    <row r="28">
      <c r="A28">
        <f>Ayarlar!A30</f>
        <v/>
      </c>
      <c r="B28">
        <f>IF(COUNTIFS(kOda,A28,kGiris,"&lt;"&amp;RaporTarihi,kCikis,"&gt;="&amp;RaporTarihi,kDurum,"Geldi")&gt;0,1,0)</f>
        <v/>
      </c>
      <c r="C28">
        <f>IF(COUNTIFS(kOda,A28,kGiris,RaporTarihi,kDurum,"Geldi")&gt;0,1,0)</f>
        <v/>
      </c>
      <c r="D28">
        <f>IF(COUNTIFS(kOda,A28,kGiris,RaporTarihi,kDurum,"Bekleniyor")&gt;0,1,0)</f>
        <v/>
      </c>
      <c r="E28">
        <f>IF(COUNTIFS(kOda,A28,kCikis,RaporTarihi,kDurum,"Geldi")&gt;0,1,0)</f>
        <v/>
      </c>
      <c r="F28">
        <f>IF(COUNTIFS(kOda,A28,kGiris,"&lt;="&amp;RaporTarihi,kCikis,"&gt;"&amp;RaporTarihi,kDurum,"&lt;&gt;İptal")&gt;0,1,0)</f>
        <v/>
      </c>
      <c r="G28">
        <f>1-F28</f>
        <v/>
      </c>
      <c r="H28">
        <f>IF(B28=1,TEXT($A28,"00"),"")</f>
        <v/>
      </c>
      <c r="I28">
        <f>IF(C28=1,TEXT($A28,"00"),"")</f>
        <v/>
      </c>
      <c r="J28">
        <f>IF(D28=1,TEXT($A28,"00"),"")</f>
        <v/>
      </c>
      <c r="K28">
        <f>IF(E28=1,TEXT($A28,"00"),"")</f>
        <v/>
      </c>
      <c r="L28">
        <f>IF(F28=1,TEXT($A28,"00"),"")</f>
        <v/>
      </c>
      <c r="M28">
        <f>IF(G28=1,TEXT($A28,"00"),"")</f>
        <v/>
      </c>
      <c r="N28">
        <f>IF(F28=1,COUNTIF(F$2:F28,1),"")</f>
        <v/>
      </c>
    </row>
    <row r="29">
      <c r="A29">
        <f>Ayarlar!A31</f>
        <v/>
      </c>
      <c r="B29">
        <f>IF(COUNTIFS(kOda,A29,kGiris,"&lt;"&amp;RaporTarihi,kCikis,"&gt;="&amp;RaporTarihi,kDurum,"Geldi")&gt;0,1,0)</f>
        <v/>
      </c>
      <c r="C29">
        <f>IF(COUNTIFS(kOda,A29,kGiris,RaporTarihi,kDurum,"Geldi")&gt;0,1,0)</f>
        <v/>
      </c>
      <c r="D29">
        <f>IF(COUNTIFS(kOda,A29,kGiris,RaporTarihi,kDurum,"Bekleniyor")&gt;0,1,0)</f>
        <v/>
      </c>
      <c r="E29">
        <f>IF(COUNTIFS(kOda,A29,kCikis,RaporTarihi,kDurum,"Geldi")&gt;0,1,0)</f>
        <v/>
      </c>
      <c r="F29">
        <f>IF(COUNTIFS(kOda,A29,kGiris,"&lt;="&amp;RaporTarihi,kCikis,"&gt;"&amp;RaporTarihi,kDurum,"&lt;&gt;İptal")&gt;0,1,0)</f>
        <v/>
      </c>
      <c r="G29">
        <f>1-F29</f>
        <v/>
      </c>
      <c r="H29">
        <f>IF(B29=1,TEXT($A29,"00"),"")</f>
        <v/>
      </c>
      <c r="I29">
        <f>IF(C29=1,TEXT($A29,"00"),"")</f>
        <v/>
      </c>
      <c r="J29">
        <f>IF(D29=1,TEXT($A29,"00"),"")</f>
        <v/>
      </c>
      <c r="K29">
        <f>IF(E29=1,TEXT($A29,"00"),"")</f>
        <v/>
      </c>
      <c r="L29">
        <f>IF(F29=1,TEXT($A29,"00"),"")</f>
        <v/>
      </c>
      <c r="M29">
        <f>IF(G29=1,TEXT($A29,"00"),"")</f>
        <v/>
      </c>
      <c r="N29">
        <f>IF(F29=1,COUNTIF(F$2:F29,1),"")</f>
        <v/>
      </c>
    </row>
    <row r="30">
      <c r="A30">
        <f>Ayarlar!A32</f>
        <v/>
      </c>
      <c r="B30">
        <f>IF(COUNTIFS(kOda,A30,kGiris,"&lt;"&amp;RaporTarihi,kCikis,"&gt;="&amp;RaporTarihi,kDurum,"Geldi")&gt;0,1,0)</f>
        <v/>
      </c>
      <c r="C30">
        <f>IF(COUNTIFS(kOda,A30,kGiris,RaporTarihi,kDurum,"Geldi")&gt;0,1,0)</f>
        <v/>
      </c>
      <c r="D30">
        <f>IF(COUNTIFS(kOda,A30,kGiris,RaporTarihi,kDurum,"Bekleniyor")&gt;0,1,0)</f>
        <v/>
      </c>
      <c r="E30">
        <f>IF(COUNTIFS(kOda,A30,kCikis,RaporTarihi,kDurum,"Geldi")&gt;0,1,0)</f>
        <v/>
      </c>
      <c r="F30">
        <f>IF(COUNTIFS(kOda,A30,kGiris,"&lt;="&amp;RaporTarihi,kCikis,"&gt;"&amp;RaporTarihi,kDurum,"&lt;&gt;İptal")&gt;0,1,0)</f>
        <v/>
      </c>
      <c r="G30">
        <f>1-F30</f>
        <v/>
      </c>
      <c r="H30">
        <f>IF(B30=1,TEXT($A30,"00"),"")</f>
        <v/>
      </c>
      <c r="I30">
        <f>IF(C30=1,TEXT($A30,"00"),"")</f>
        <v/>
      </c>
      <c r="J30">
        <f>IF(D30=1,TEXT($A30,"00"),"")</f>
        <v/>
      </c>
      <c r="K30">
        <f>IF(E30=1,TEXT($A30,"00"),"")</f>
        <v/>
      </c>
      <c r="L30">
        <f>IF(F30=1,TEXT($A30,"00"),"")</f>
        <v/>
      </c>
      <c r="M30">
        <f>IF(G30=1,TEXT($A30,"00"),"")</f>
        <v/>
      </c>
      <c r="N30">
        <f>IF(F30=1,COUNTIF(F$2:F30,1),"")</f>
        <v/>
      </c>
    </row>
    <row r="31">
      <c r="A31">
        <f>Ayarlar!A33</f>
        <v/>
      </c>
      <c r="B31">
        <f>IF(COUNTIFS(kOda,A31,kGiris,"&lt;"&amp;RaporTarihi,kCikis,"&gt;="&amp;RaporTarihi,kDurum,"Geldi")&gt;0,1,0)</f>
        <v/>
      </c>
      <c r="C31">
        <f>IF(COUNTIFS(kOda,A31,kGiris,RaporTarihi,kDurum,"Geldi")&gt;0,1,0)</f>
        <v/>
      </c>
      <c r="D31">
        <f>IF(COUNTIFS(kOda,A31,kGiris,RaporTarihi,kDurum,"Bekleniyor")&gt;0,1,0)</f>
        <v/>
      </c>
      <c r="E31">
        <f>IF(COUNTIFS(kOda,A31,kCikis,RaporTarihi,kDurum,"Geldi")&gt;0,1,0)</f>
        <v/>
      </c>
      <c r="F31">
        <f>IF(COUNTIFS(kOda,A31,kGiris,"&lt;="&amp;RaporTarihi,kCikis,"&gt;"&amp;RaporTarihi,kDurum,"&lt;&gt;İptal")&gt;0,1,0)</f>
        <v/>
      </c>
      <c r="G31">
        <f>1-F31</f>
        <v/>
      </c>
      <c r="H31">
        <f>IF(B31=1,TEXT($A31,"00"),"")</f>
        <v/>
      </c>
      <c r="I31">
        <f>IF(C31=1,TEXT($A31,"00"),"")</f>
        <v/>
      </c>
      <c r="J31">
        <f>IF(D31=1,TEXT($A31,"00"),"")</f>
        <v/>
      </c>
      <c r="K31">
        <f>IF(E31=1,TEXT($A31,"00"),"")</f>
        <v/>
      </c>
      <c r="L31">
        <f>IF(F31=1,TEXT($A31,"00"),"")</f>
        <v/>
      </c>
      <c r="M31">
        <f>IF(G31=1,TEXT($A31,"00"),"")</f>
        <v/>
      </c>
      <c r="N31">
        <f>IF(F31=1,COUNTIF(F$2:F31,1),"")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2026-10-01T19:11:53Z</dcterms:created>
  <dcterms:modified xsi:type="dcterms:W3CDTF">2026-10-01T19:11:54Z</dcterms:modified>
</cp:coreProperties>
</file>